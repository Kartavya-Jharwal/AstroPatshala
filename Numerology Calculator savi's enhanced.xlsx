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D:\KJ\Personal_projects\Numerology\"/>
    </mc:Choice>
  </mc:AlternateContent>
  <xr:revisionPtr revIDLastSave="0" documentId="8_{557C59B5-81D4-49FE-84F1-AD734E2C4196}" xr6:coauthVersionLast="47" xr6:coauthVersionMax="47" xr10:uidLastSave="{00000000-0000-0000-0000-000000000000}"/>
  <bookViews>
    <workbookView xWindow="-108" yWindow="-108" windowWidth="23256" windowHeight="12456" tabRatio="900" activeTab="2" xr2:uid="{00000000-000D-0000-FFFF-FFFF00000000}"/>
  </bookViews>
  <sheets>
    <sheet name="Instructions &amp; Glossary" sheetId="2" r:id="rId1"/>
    <sheet name="Working File" sheetId="8" state="veryHidden" r:id="rId2"/>
    <sheet name="Master Calculator" sheetId="11" r:id="rId3"/>
    <sheet name="Lo-Shu" sheetId="4" r:id="rId4"/>
    <sheet name="Personal Year-Month-Day" sheetId="5" r:id="rId5"/>
    <sheet name="Mobile-Vehicle-House-Bank-CoNam" sheetId="7" r:id="rId6"/>
    <sheet name="Past - Future PY-PM-PD" sheetId="6" r:id="rId7"/>
    <sheet name="MasterTables" sheetId="10" state="hidden" r:id="rId8"/>
    <sheet name="Output" sheetId="15" r:id="rId9"/>
  </sheets>
  <definedNames>
    <definedName name="_xlnm._FilterDatabase" localSheetId="1" hidden="1">'Working File'!$HG$12:$HI$378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5" l="1"/>
  <c r="J25" i="15"/>
  <c r="G25" i="15"/>
  <c r="G24" i="15"/>
  <c r="A21" i="15"/>
  <c r="A22" i="15" s="1"/>
  <c r="I22" i="15"/>
  <c r="G22" i="15"/>
  <c r="G23" i="15"/>
  <c r="J14" i="15"/>
  <c r="I12" i="15"/>
  <c r="I5" i="15"/>
  <c r="I7" i="15"/>
  <c r="I6" i="15"/>
  <c r="I4" i="15"/>
  <c r="B3" i="15"/>
  <c r="A23" i="15" l="1"/>
  <c r="A40" i="5"/>
  <c r="A39" i="5"/>
  <c r="A38" i="5"/>
  <c r="A37" i="5"/>
  <c r="A36" i="5"/>
  <c r="A35" i="5"/>
  <c r="A34" i="5"/>
  <c r="A33" i="5"/>
  <c r="A32" i="5"/>
  <c r="A31" i="5"/>
  <c r="A30" i="5"/>
  <c r="A29" i="5"/>
  <c r="A28" i="5"/>
  <c r="A27" i="5"/>
  <c r="A26" i="5"/>
  <c r="A40" i="6"/>
  <c r="A39" i="6"/>
  <c r="A38" i="6"/>
  <c r="A37" i="6"/>
  <c r="A36" i="6"/>
  <c r="A35" i="6"/>
  <c r="A34" i="6"/>
  <c r="A33" i="6"/>
  <c r="A32" i="6"/>
  <c r="A31" i="6"/>
  <c r="A30" i="6"/>
  <c r="A29" i="6"/>
  <c r="A28" i="6"/>
  <c r="A27" i="6"/>
  <c r="A26" i="6"/>
  <c r="A24" i="15" l="1"/>
  <c r="A25" i="15"/>
  <c r="B12" i="4"/>
  <c r="A27" i="15" l="1"/>
  <c r="A26" i="15"/>
  <c r="A12" i="5"/>
  <c r="A28" i="15" l="1"/>
  <c r="A29" i="15"/>
  <c r="T2" i="7"/>
  <c r="U2" i="7"/>
  <c r="C3" i="4" l="1"/>
  <c r="F4" i="4" s="1"/>
  <c r="C9" i="4" s="1"/>
  <c r="B15" i="4"/>
  <c r="CE367" i="6" l="1"/>
  <c r="CB367" i="6"/>
  <c r="CE366" i="6"/>
  <c r="CB366" i="6"/>
  <c r="CE365" i="6"/>
  <c r="CB365" i="6"/>
  <c r="CE364" i="6"/>
  <c r="CB364" i="6"/>
  <c r="CE363" i="6"/>
  <c r="CB363" i="6"/>
  <c r="CE362" i="6"/>
  <c r="CB362" i="6"/>
  <c r="CE361" i="6"/>
  <c r="CB361" i="6"/>
  <c r="CE360" i="6"/>
  <c r="CB360" i="6"/>
  <c r="CE359" i="6"/>
  <c r="CB359" i="6"/>
  <c r="CE358" i="6"/>
  <c r="CB358" i="6"/>
  <c r="CE357" i="6"/>
  <c r="CB357" i="6"/>
  <c r="CE356" i="6"/>
  <c r="CB356" i="6"/>
  <c r="CE355" i="6"/>
  <c r="CB355" i="6"/>
  <c r="CE354" i="6"/>
  <c r="CB354" i="6"/>
  <c r="CE353" i="6"/>
  <c r="CB353" i="6"/>
  <c r="CE352" i="6"/>
  <c r="CB352" i="6"/>
  <c r="CE351" i="6"/>
  <c r="CB351" i="6"/>
  <c r="CE350" i="6"/>
  <c r="CB350" i="6"/>
  <c r="CE349" i="6"/>
  <c r="CB349" i="6"/>
  <c r="CE348" i="6"/>
  <c r="CB348" i="6"/>
  <c r="CE347" i="6"/>
  <c r="CB347" i="6"/>
  <c r="CE346" i="6"/>
  <c r="CB346" i="6"/>
  <c r="CE345" i="6"/>
  <c r="CB345" i="6"/>
  <c r="CE344" i="6"/>
  <c r="CB344" i="6"/>
  <c r="CE343" i="6"/>
  <c r="CB343" i="6"/>
  <c r="CE342" i="6"/>
  <c r="CB342" i="6"/>
  <c r="CE341" i="6"/>
  <c r="CB341" i="6"/>
  <c r="CE340" i="6"/>
  <c r="CB340" i="6"/>
  <c r="CE339" i="6"/>
  <c r="CB339" i="6"/>
  <c r="CE338" i="6"/>
  <c r="CB338" i="6"/>
  <c r="CE337" i="6"/>
  <c r="CB337" i="6"/>
  <c r="CE336" i="6"/>
  <c r="CB336" i="6"/>
  <c r="CE335" i="6"/>
  <c r="CB335" i="6"/>
  <c r="CE334" i="6"/>
  <c r="CB334" i="6"/>
  <c r="CE333" i="6"/>
  <c r="CB333" i="6"/>
  <c r="CE332" i="6"/>
  <c r="CB332" i="6"/>
  <c r="CE331" i="6"/>
  <c r="CB331" i="6"/>
  <c r="CE330" i="6"/>
  <c r="CB330" i="6"/>
  <c r="CE329" i="6"/>
  <c r="CB329" i="6"/>
  <c r="CE328" i="6"/>
  <c r="CB328" i="6"/>
  <c r="CE327" i="6"/>
  <c r="CB327" i="6"/>
  <c r="CE326" i="6"/>
  <c r="CB326" i="6"/>
  <c r="CE325" i="6"/>
  <c r="CB325" i="6"/>
  <c r="CE324" i="6"/>
  <c r="CB324" i="6"/>
  <c r="CE323" i="6"/>
  <c r="CB323" i="6"/>
  <c r="CE322" i="6"/>
  <c r="CB322" i="6"/>
  <c r="CE321" i="6"/>
  <c r="CB321" i="6"/>
  <c r="CE320" i="6"/>
  <c r="CB320" i="6"/>
  <c r="CE319" i="6"/>
  <c r="CB319" i="6"/>
  <c r="CE318" i="6"/>
  <c r="CB318" i="6"/>
  <c r="CE317" i="6"/>
  <c r="CB317" i="6"/>
  <c r="CE316" i="6"/>
  <c r="CB316" i="6"/>
  <c r="CE315" i="6"/>
  <c r="CB315" i="6"/>
  <c r="CE314" i="6"/>
  <c r="CB314" i="6"/>
  <c r="CE313" i="6"/>
  <c r="CB313" i="6"/>
  <c r="CE312" i="6"/>
  <c r="CB312" i="6"/>
  <c r="CE311" i="6"/>
  <c r="CB311" i="6"/>
  <c r="CE310" i="6"/>
  <c r="CB310" i="6"/>
  <c r="CE309" i="6"/>
  <c r="CB309" i="6"/>
  <c r="CE308" i="6"/>
  <c r="CB308" i="6"/>
  <c r="CE307" i="6"/>
  <c r="CB307" i="6"/>
  <c r="CE306" i="6"/>
  <c r="CB306" i="6"/>
  <c r="CE305" i="6"/>
  <c r="CB305" i="6"/>
  <c r="CE304" i="6"/>
  <c r="CB304" i="6"/>
  <c r="CE303" i="6"/>
  <c r="CB303" i="6"/>
  <c r="CE302" i="6"/>
  <c r="CB302" i="6"/>
  <c r="CE301" i="6"/>
  <c r="CB301" i="6"/>
  <c r="CE300" i="6"/>
  <c r="CB300" i="6"/>
  <c r="CE299" i="6"/>
  <c r="CB299" i="6"/>
  <c r="CE298" i="6"/>
  <c r="CB298" i="6"/>
  <c r="CE297" i="6"/>
  <c r="CB297" i="6"/>
  <c r="CE296" i="6"/>
  <c r="CB296" i="6"/>
  <c r="CE295" i="6"/>
  <c r="CB295" i="6"/>
  <c r="CE294" i="6"/>
  <c r="CB294" i="6"/>
  <c r="CE293" i="6"/>
  <c r="CB293" i="6"/>
  <c r="CE292" i="6"/>
  <c r="CB292" i="6"/>
  <c r="CE291" i="6"/>
  <c r="CB291" i="6"/>
  <c r="CE290" i="6"/>
  <c r="CB290" i="6"/>
  <c r="CE289" i="6"/>
  <c r="CB289" i="6"/>
  <c r="CE288" i="6"/>
  <c r="CB288" i="6"/>
  <c r="CE287" i="6"/>
  <c r="CB287" i="6"/>
  <c r="CE286" i="6"/>
  <c r="CB286" i="6"/>
  <c r="CE285" i="6"/>
  <c r="CB285" i="6"/>
  <c r="CE284" i="6"/>
  <c r="CB284" i="6"/>
  <c r="CE283" i="6"/>
  <c r="CB283" i="6"/>
  <c r="CE282" i="6"/>
  <c r="CB282" i="6"/>
  <c r="CE281" i="6"/>
  <c r="CB281" i="6"/>
  <c r="CE280" i="6"/>
  <c r="CB280" i="6"/>
  <c r="CE279" i="6"/>
  <c r="CB279" i="6"/>
  <c r="CE278" i="6"/>
  <c r="CB278" i="6"/>
  <c r="CE277" i="6"/>
  <c r="CB277" i="6"/>
  <c r="CE276" i="6"/>
  <c r="CB276" i="6"/>
  <c r="CE275" i="6"/>
  <c r="CB275" i="6"/>
  <c r="CE274" i="6"/>
  <c r="CB274" i="6"/>
  <c r="CE273" i="6"/>
  <c r="CB273" i="6"/>
  <c r="CE272" i="6"/>
  <c r="CB272" i="6"/>
  <c r="CE271" i="6"/>
  <c r="CB271" i="6"/>
  <c r="CE270" i="6"/>
  <c r="CB270" i="6"/>
  <c r="CE269" i="6"/>
  <c r="CB269" i="6"/>
  <c r="CE268" i="6"/>
  <c r="CB268" i="6"/>
  <c r="CE267" i="6"/>
  <c r="CB267" i="6"/>
  <c r="CE266" i="6"/>
  <c r="CB266" i="6"/>
  <c r="CE265" i="6"/>
  <c r="CB265" i="6"/>
  <c r="CE264" i="6"/>
  <c r="CB264" i="6"/>
  <c r="CE263" i="6"/>
  <c r="CB263" i="6"/>
  <c r="CE262" i="6"/>
  <c r="CB262" i="6"/>
  <c r="CE261" i="6"/>
  <c r="CB261" i="6"/>
  <c r="CE260" i="6"/>
  <c r="CB260" i="6"/>
  <c r="CE259" i="6"/>
  <c r="CB259" i="6"/>
  <c r="CE258" i="6"/>
  <c r="CB258" i="6"/>
  <c r="CE257" i="6"/>
  <c r="CB257" i="6"/>
  <c r="CE256" i="6"/>
  <c r="CB256" i="6"/>
  <c r="CE255" i="6"/>
  <c r="CB255" i="6"/>
  <c r="CE254" i="6"/>
  <c r="CB254" i="6"/>
  <c r="CE253" i="6"/>
  <c r="CB253" i="6"/>
  <c r="CE252" i="6"/>
  <c r="CB252" i="6"/>
  <c r="CE251" i="6"/>
  <c r="CB251" i="6"/>
  <c r="CE250" i="6"/>
  <c r="CB250" i="6"/>
  <c r="CE249" i="6"/>
  <c r="CB249" i="6"/>
  <c r="CE248" i="6"/>
  <c r="CB248" i="6"/>
  <c r="CE247" i="6"/>
  <c r="CB247" i="6"/>
  <c r="CE246" i="6"/>
  <c r="CB246" i="6"/>
  <c r="CE245" i="6"/>
  <c r="CB245" i="6"/>
  <c r="CE244" i="6"/>
  <c r="CB244" i="6"/>
  <c r="CE243" i="6"/>
  <c r="CB243" i="6"/>
  <c r="CE242" i="6"/>
  <c r="CB242" i="6"/>
  <c r="CE241" i="6"/>
  <c r="CB241" i="6"/>
  <c r="CE240" i="6"/>
  <c r="CB240" i="6"/>
  <c r="CE239" i="6"/>
  <c r="CB239" i="6"/>
  <c r="CE238" i="6"/>
  <c r="CB238" i="6"/>
  <c r="CE237" i="6"/>
  <c r="CB237" i="6"/>
  <c r="CE236" i="6"/>
  <c r="CB236" i="6"/>
  <c r="CE235" i="6"/>
  <c r="CB235" i="6"/>
  <c r="CE234" i="6"/>
  <c r="CB234" i="6"/>
  <c r="CE233" i="6"/>
  <c r="CB233" i="6"/>
  <c r="CE232" i="6"/>
  <c r="CB232" i="6"/>
  <c r="CE231" i="6"/>
  <c r="CB231" i="6"/>
  <c r="CE230" i="6"/>
  <c r="CB230" i="6"/>
  <c r="CE229" i="6"/>
  <c r="CB229" i="6"/>
  <c r="CE228" i="6"/>
  <c r="CB228" i="6"/>
  <c r="CE227" i="6"/>
  <c r="CB227" i="6"/>
  <c r="CE226" i="6"/>
  <c r="CB226" i="6"/>
  <c r="CE225" i="6"/>
  <c r="CB225" i="6"/>
  <c r="CE224" i="6"/>
  <c r="CB224" i="6"/>
  <c r="CE223" i="6"/>
  <c r="CB223" i="6"/>
  <c r="CE222" i="6"/>
  <c r="CB222" i="6"/>
  <c r="CE221" i="6"/>
  <c r="CB221" i="6"/>
  <c r="CE220" i="6"/>
  <c r="CB220" i="6"/>
  <c r="CE219" i="6"/>
  <c r="CB219" i="6"/>
  <c r="CE218" i="6"/>
  <c r="CB218" i="6"/>
  <c r="CE217" i="6"/>
  <c r="CB217" i="6"/>
  <c r="CE216" i="6"/>
  <c r="CB216" i="6"/>
  <c r="CE215" i="6"/>
  <c r="CB215" i="6"/>
  <c r="CE214" i="6"/>
  <c r="CB214" i="6"/>
  <c r="CE213" i="6"/>
  <c r="CB213" i="6"/>
  <c r="CE212" i="6"/>
  <c r="CB212" i="6"/>
  <c r="CE211" i="6"/>
  <c r="CB211" i="6"/>
  <c r="CE210" i="6"/>
  <c r="CB210" i="6"/>
  <c r="CE209" i="6"/>
  <c r="CB209" i="6"/>
  <c r="CE208" i="6"/>
  <c r="CB208" i="6"/>
  <c r="CE207" i="6"/>
  <c r="CB207" i="6"/>
  <c r="CE206" i="6"/>
  <c r="CB206" i="6"/>
  <c r="CE205" i="6"/>
  <c r="CB205" i="6"/>
  <c r="CE204" i="6"/>
  <c r="CB204" i="6"/>
  <c r="CE203" i="6"/>
  <c r="CB203" i="6"/>
  <c r="CE202" i="6"/>
  <c r="CB202" i="6"/>
  <c r="CE201" i="6"/>
  <c r="CB201" i="6"/>
  <c r="CE200" i="6"/>
  <c r="CB200" i="6"/>
  <c r="CE199" i="6"/>
  <c r="CB199" i="6"/>
  <c r="CE198" i="6"/>
  <c r="CB198" i="6"/>
  <c r="CE197" i="6"/>
  <c r="CB197" i="6"/>
  <c r="CE196" i="6"/>
  <c r="CB196" i="6"/>
  <c r="CE195" i="6"/>
  <c r="CB195" i="6"/>
  <c r="CE194" i="6"/>
  <c r="CB194" i="6"/>
  <c r="CE193" i="6"/>
  <c r="CB193" i="6"/>
  <c r="CE192" i="6"/>
  <c r="CB192" i="6"/>
  <c r="CE191" i="6"/>
  <c r="CB191" i="6"/>
  <c r="CE190" i="6"/>
  <c r="CB190" i="6"/>
  <c r="CE189" i="6"/>
  <c r="CB189" i="6"/>
  <c r="CE188" i="6"/>
  <c r="CB188" i="6"/>
  <c r="CE187" i="6"/>
  <c r="CB187" i="6"/>
  <c r="CE186" i="6"/>
  <c r="CB186" i="6"/>
  <c r="CE185" i="6"/>
  <c r="CB185" i="6"/>
  <c r="CE184" i="6"/>
  <c r="CB184" i="6"/>
  <c r="CE183" i="6"/>
  <c r="CB183" i="6"/>
  <c r="CE182" i="6"/>
  <c r="CB182" i="6"/>
  <c r="CE181" i="6"/>
  <c r="CB181" i="6"/>
  <c r="CE180" i="6"/>
  <c r="CB180" i="6"/>
  <c r="CE179" i="6"/>
  <c r="CB179" i="6"/>
  <c r="CE178" i="6"/>
  <c r="CB178" i="6"/>
  <c r="CE177" i="6"/>
  <c r="CB177" i="6"/>
  <c r="CE176" i="6"/>
  <c r="CB176" i="6"/>
  <c r="CE175" i="6"/>
  <c r="CB175" i="6"/>
  <c r="CE174" i="6"/>
  <c r="CB174" i="6"/>
  <c r="CE173" i="6"/>
  <c r="CB173" i="6"/>
  <c r="CE172" i="6"/>
  <c r="CB172" i="6"/>
  <c r="CE171" i="6"/>
  <c r="CB171" i="6"/>
  <c r="CE170" i="6"/>
  <c r="CB170" i="6"/>
  <c r="CE169" i="6"/>
  <c r="CB169" i="6"/>
  <c r="CE168" i="6"/>
  <c r="CB168" i="6"/>
  <c r="CE167" i="6"/>
  <c r="CB167" i="6"/>
  <c r="CE166" i="6"/>
  <c r="CB166" i="6"/>
  <c r="CE165" i="6"/>
  <c r="CB165" i="6"/>
  <c r="CE164" i="6"/>
  <c r="CB164" i="6"/>
  <c r="CE163" i="6"/>
  <c r="CB163" i="6"/>
  <c r="CE162" i="6"/>
  <c r="CB162" i="6"/>
  <c r="CE161" i="6"/>
  <c r="CB161" i="6"/>
  <c r="CE160" i="6"/>
  <c r="CB160" i="6"/>
  <c r="CE159" i="6"/>
  <c r="CB159" i="6"/>
  <c r="CE158" i="6"/>
  <c r="CB158" i="6"/>
  <c r="CE157" i="6"/>
  <c r="CB157" i="6"/>
  <c r="CE156" i="6"/>
  <c r="CB156" i="6"/>
  <c r="CE155" i="6"/>
  <c r="CB155" i="6"/>
  <c r="CE154" i="6"/>
  <c r="CB154" i="6"/>
  <c r="CE153" i="6"/>
  <c r="CB153" i="6"/>
  <c r="CE152" i="6"/>
  <c r="CB152" i="6"/>
  <c r="CE151" i="6"/>
  <c r="CB151" i="6"/>
  <c r="CE150" i="6"/>
  <c r="CB150" i="6"/>
  <c r="CE149" i="6"/>
  <c r="CB149" i="6"/>
  <c r="CE148" i="6"/>
  <c r="CB148" i="6"/>
  <c r="CE147" i="6"/>
  <c r="CB147" i="6"/>
  <c r="CE146" i="6"/>
  <c r="CB146" i="6"/>
  <c r="CE145" i="6"/>
  <c r="CB145" i="6"/>
  <c r="CE144" i="6"/>
  <c r="CB144" i="6"/>
  <c r="CE143" i="6"/>
  <c r="CB143" i="6"/>
  <c r="CE142" i="6"/>
  <c r="CB142" i="6"/>
  <c r="CE141" i="6"/>
  <c r="CB141" i="6"/>
  <c r="CE140" i="6"/>
  <c r="CB140" i="6"/>
  <c r="CE139" i="6"/>
  <c r="CB139" i="6"/>
  <c r="CE138" i="6"/>
  <c r="CB138" i="6"/>
  <c r="CE137" i="6"/>
  <c r="CB137" i="6"/>
  <c r="CE136" i="6"/>
  <c r="CB136" i="6"/>
  <c r="CE135" i="6"/>
  <c r="CB135" i="6"/>
  <c r="CE134" i="6"/>
  <c r="CB134" i="6"/>
  <c r="CE133" i="6"/>
  <c r="CB133" i="6"/>
  <c r="CE132" i="6"/>
  <c r="CB132" i="6"/>
  <c r="CE131" i="6"/>
  <c r="CB131" i="6"/>
  <c r="CE130" i="6"/>
  <c r="CB130" i="6"/>
  <c r="CE129" i="6"/>
  <c r="CB129" i="6"/>
  <c r="CE128" i="6"/>
  <c r="CB128" i="6"/>
  <c r="CE127" i="6"/>
  <c r="CB127" i="6"/>
  <c r="CE126" i="6"/>
  <c r="CB126" i="6"/>
  <c r="CE125" i="6"/>
  <c r="CB125" i="6"/>
  <c r="CE124" i="6"/>
  <c r="CB124" i="6"/>
  <c r="CE123" i="6"/>
  <c r="CB123" i="6"/>
  <c r="CE122" i="6"/>
  <c r="CB122" i="6"/>
  <c r="CE121" i="6"/>
  <c r="CB121" i="6"/>
  <c r="CE120" i="6"/>
  <c r="CB120" i="6"/>
  <c r="CE119" i="6"/>
  <c r="CB119" i="6"/>
  <c r="CE118" i="6"/>
  <c r="CB118" i="6"/>
  <c r="CE117" i="6"/>
  <c r="CB117" i="6"/>
  <c r="CE116" i="6"/>
  <c r="CB116" i="6"/>
  <c r="CE115" i="6"/>
  <c r="CB115" i="6"/>
  <c r="CE114" i="6"/>
  <c r="CB114" i="6"/>
  <c r="CE113" i="6"/>
  <c r="CB113" i="6"/>
  <c r="CE112" i="6"/>
  <c r="CB112" i="6"/>
  <c r="CE111" i="6"/>
  <c r="CB111" i="6"/>
  <c r="CE110" i="6"/>
  <c r="CB110" i="6"/>
  <c r="CE109" i="6"/>
  <c r="CB109" i="6"/>
  <c r="CE108" i="6"/>
  <c r="CB108" i="6"/>
  <c r="CE107" i="6"/>
  <c r="CB107" i="6"/>
  <c r="CE106" i="6"/>
  <c r="CB106" i="6"/>
  <c r="CE105" i="6"/>
  <c r="CB105" i="6"/>
  <c r="CE104" i="6"/>
  <c r="CB104" i="6"/>
  <c r="CE103" i="6"/>
  <c r="CB103" i="6"/>
  <c r="CE102" i="6"/>
  <c r="CB102" i="6"/>
  <c r="CE101" i="6"/>
  <c r="CB101" i="6"/>
  <c r="CE100" i="6"/>
  <c r="CB100" i="6"/>
  <c r="CE99" i="6"/>
  <c r="CB99" i="6"/>
  <c r="CE98" i="6"/>
  <c r="CB98" i="6"/>
  <c r="CE97" i="6"/>
  <c r="CB97" i="6"/>
  <c r="CE96" i="6"/>
  <c r="CB96" i="6"/>
  <c r="CE95" i="6"/>
  <c r="CB95" i="6"/>
  <c r="CE94" i="6"/>
  <c r="CB94" i="6"/>
  <c r="CE93" i="6"/>
  <c r="CB93" i="6"/>
  <c r="CE92" i="6"/>
  <c r="CB92" i="6"/>
  <c r="CE91" i="6"/>
  <c r="CB91" i="6"/>
  <c r="CE90" i="6"/>
  <c r="CB90" i="6"/>
  <c r="CE89" i="6"/>
  <c r="CB89" i="6"/>
  <c r="CE88" i="6"/>
  <c r="CB88" i="6"/>
  <c r="CE87" i="6"/>
  <c r="CB87" i="6"/>
  <c r="CE86" i="6"/>
  <c r="CB86" i="6"/>
  <c r="CE85" i="6"/>
  <c r="CB85" i="6"/>
  <c r="CE84" i="6"/>
  <c r="CB84" i="6"/>
  <c r="CE83" i="6"/>
  <c r="CB83" i="6"/>
  <c r="CE82" i="6"/>
  <c r="CB82" i="6"/>
  <c r="CE81" i="6"/>
  <c r="CB81" i="6"/>
  <c r="CE80" i="6"/>
  <c r="CB80" i="6"/>
  <c r="CE79" i="6"/>
  <c r="CB79" i="6"/>
  <c r="CE78" i="6"/>
  <c r="CB78" i="6"/>
  <c r="CE77" i="6"/>
  <c r="CB77" i="6"/>
  <c r="CE76" i="6"/>
  <c r="CB76" i="6"/>
  <c r="CE75" i="6"/>
  <c r="CB75" i="6"/>
  <c r="CE74" i="6"/>
  <c r="CB74" i="6"/>
  <c r="CE73" i="6"/>
  <c r="CB73" i="6"/>
  <c r="CE72" i="6"/>
  <c r="CB72" i="6"/>
  <c r="CE71" i="6"/>
  <c r="CB71" i="6"/>
  <c r="CE70" i="6"/>
  <c r="CB70" i="6"/>
  <c r="CE69" i="6"/>
  <c r="CB69" i="6"/>
  <c r="CE68" i="6"/>
  <c r="CB68" i="6"/>
  <c r="CE67" i="6"/>
  <c r="CB67" i="6"/>
  <c r="CE66" i="6"/>
  <c r="CB66" i="6"/>
  <c r="CE65" i="6"/>
  <c r="CB65" i="6"/>
  <c r="CE64" i="6"/>
  <c r="CB64" i="6"/>
  <c r="CE63" i="6"/>
  <c r="CB63" i="6"/>
  <c r="CE62" i="6"/>
  <c r="CB62" i="6"/>
  <c r="CE61" i="6"/>
  <c r="CB61" i="6"/>
  <c r="CE60" i="6"/>
  <c r="CB60" i="6"/>
  <c r="CE59" i="6"/>
  <c r="CB59" i="6"/>
  <c r="CE58" i="6"/>
  <c r="CB58" i="6"/>
  <c r="CE57" i="6"/>
  <c r="CB57" i="6"/>
  <c r="CE56" i="6"/>
  <c r="CB56" i="6"/>
  <c r="CE55" i="6"/>
  <c r="CB55" i="6"/>
  <c r="CE54" i="6"/>
  <c r="CB54" i="6"/>
  <c r="CE53" i="6"/>
  <c r="CB53" i="6"/>
  <c r="CE52" i="6"/>
  <c r="CB52" i="6"/>
  <c r="CE51" i="6"/>
  <c r="CB51" i="6"/>
  <c r="CE50" i="6"/>
  <c r="CB50" i="6"/>
  <c r="CE49" i="6"/>
  <c r="CB49" i="6"/>
  <c r="CE48" i="6"/>
  <c r="CB48" i="6"/>
  <c r="CE47" i="6"/>
  <c r="CB47" i="6"/>
  <c r="CE46" i="6"/>
  <c r="CB46" i="6"/>
  <c r="CE45" i="6"/>
  <c r="CB45" i="6"/>
  <c r="CE44" i="6"/>
  <c r="CB44" i="6"/>
  <c r="CE43" i="6"/>
  <c r="CB43" i="6"/>
  <c r="CE42" i="6"/>
  <c r="CB42" i="6"/>
  <c r="CE41" i="6"/>
  <c r="CB41" i="6"/>
  <c r="CE40" i="6"/>
  <c r="CB40" i="6"/>
  <c r="CE39" i="6"/>
  <c r="CB39" i="6"/>
  <c r="CE38" i="6"/>
  <c r="CB38" i="6"/>
  <c r="CE37" i="6"/>
  <c r="CB37" i="6"/>
  <c r="CE36" i="6"/>
  <c r="CB36" i="6"/>
  <c r="CE35" i="6"/>
  <c r="CB35" i="6"/>
  <c r="CE34" i="6"/>
  <c r="CB34" i="6"/>
  <c r="CE33" i="6"/>
  <c r="CB33" i="6"/>
  <c r="CE32" i="6"/>
  <c r="CB32" i="6"/>
  <c r="CE31" i="6"/>
  <c r="CB31" i="6"/>
  <c r="CE30" i="6"/>
  <c r="CB30" i="6"/>
  <c r="CE29" i="6"/>
  <c r="CB29" i="6"/>
  <c r="CE28" i="6"/>
  <c r="CB28" i="6"/>
  <c r="CE27" i="6"/>
  <c r="CB27" i="6"/>
  <c r="CE26" i="6"/>
  <c r="CB26" i="6"/>
  <c r="CE25" i="6"/>
  <c r="CB25" i="6"/>
  <c r="CE24" i="6"/>
  <c r="CB24" i="6"/>
  <c r="CE23" i="6"/>
  <c r="CB23" i="6"/>
  <c r="CE22" i="6"/>
  <c r="CB22" i="6"/>
  <c r="CE21" i="6"/>
  <c r="CB21" i="6"/>
  <c r="CE20" i="6"/>
  <c r="CB20" i="6"/>
  <c r="CE19" i="6"/>
  <c r="CB19" i="6"/>
  <c r="CE18" i="6"/>
  <c r="CB18" i="6"/>
  <c r="CE17" i="6"/>
  <c r="CB17" i="6"/>
  <c r="CE16" i="6"/>
  <c r="CB16" i="6"/>
  <c r="CE15" i="6"/>
  <c r="CB15" i="6"/>
  <c r="CE14" i="6"/>
  <c r="CB14" i="6"/>
  <c r="CE13" i="6"/>
  <c r="CB13" i="6"/>
  <c r="CE12" i="6"/>
  <c r="CB12" i="6"/>
  <c r="CE11" i="6"/>
  <c r="CB11" i="6"/>
  <c r="CE10" i="6"/>
  <c r="CB10" i="6"/>
  <c r="CE9" i="6"/>
  <c r="CB9" i="6"/>
  <c r="CE8" i="6"/>
  <c r="CB8" i="6"/>
  <c r="CE7" i="6"/>
  <c r="CB7" i="6"/>
  <c r="CE6" i="6"/>
  <c r="CB6" i="6"/>
  <c r="CE5" i="6"/>
  <c r="CB5" i="6"/>
  <c r="CE4" i="6"/>
  <c r="CB4" i="6"/>
  <c r="CE3" i="6"/>
  <c r="CB3" i="6"/>
  <c r="CE2" i="6"/>
  <c r="CB2" i="6"/>
  <c r="CE1" i="6"/>
  <c r="CE367" i="5"/>
  <c r="CB367" i="5"/>
  <c r="CE366" i="5"/>
  <c r="CB366" i="5"/>
  <c r="CE365" i="5"/>
  <c r="CB365" i="5"/>
  <c r="CE364" i="5"/>
  <c r="CB364" i="5"/>
  <c r="CE363" i="5"/>
  <c r="CB363" i="5"/>
  <c r="CE362" i="5"/>
  <c r="CB362" i="5"/>
  <c r="CE361" i="5"/>
  <c r="CB361" i="5"/>
  <c r="CE360" i="5"/>
  <c r="CB360" i="5"/>
  <c r="CE359" i="5"/>
  <c r="CB359" i="5"/>
  <c r="CE358" i="5"/>
  <c r="CB358" i="5"/>
  <c r="CE357" i="5"/>
  <c r="CB357" i="5"/>
  <c r="CE356" i="5"/>
  <c r="CB356" i="5"/>
  <c r="CE355" i="5"/>
  <c r="CB355" i="5"/>
  <c r="CE354" i="5"/>
  <c r="CB354" i="5"/>
  <c r="CE353" i="5"/>
  <c r="CB353" i="5"/>
  <c r="CE352" i="5"/>
  <c r="CB352" i="5"/>
  <c r="CE351" i="5"/>
  <c r="CB351" i="5"/>
  <c r="CE350" i="5"/>
  <c r="CB350" i="5"/>
  <c r="CE349" i="5"/>
  <c r="CB349" i="5"/>
  <c r="CE348" i="5"/>
  <c r="CB348" i="5"/>
  <c r="CE347" i="5"/>
  <c r="CB347" i="5"/>
  <c r="CE346" i="5"/>
  <c r="CB346" i="5"/>
  <c r="CE345" i="5"/>
  <c r="CB345" i="5"/>
  <c r="CE344" i="5"/>
  <c r="CB344" i="5"/>
  <c r="CE343" i="5"/>
  <c r="CB343" i="5"/>
  <c r="CE342" i="5"/>
  <c r="CB342" i="5"/>
  <c r="CE341" i="5"/>
  <c r="CB341" i="5"/>
  <c r="CE340" i="5"/>
  <c r="CB340" i="5"/>
  <c r="CE339" i="5"/>
  <c r="CB339" i="5"/>
  <c r="CE338" i="5"/>
  <c r="CB338" i="5"/>
  <c r="CE337" i="5"/>
  <c r="CB337" i="5"/>
  <c r="CE336" i="5"/>
  <c r="CB336" i="5"/>
  <c r="CE335" i="5"/>
  <c r="CB335" i="5"/>
  <c r="CE334" i="5"/>
  <c r="CB334" i="5"/>
  <c r="CE333" i="5"/>
  <c r="CB333" i="5"/>
  <c r="CE332" i="5"/>
  <c r="CB332" i="5"/>
  <c r="CE331" i="5"/>
  <c r="CB331" i="5"/>
  <c r="CE330" i="5"/>
  <c r="CB330" i="5"/>
  <c r="CE329" i="5"/>
  <c r="CB329" i="5"/>
  <c r="CE328" i="5"/>
  <c r="CB328" i="5"/>
  <c r="CE327" i="5"/>
  <c r="CB327" i="5"/>
  <c r="CE326" i="5"/>
  <c r="CB326" i="5"/>
  <c r="CE325" i="5"/>
  <c r="CB325" i="5"/>
  <c r="CE324" i="5"/>
  <c r="CB324" i="5"/>
  <c r="CE323" i="5"/>
  <c r="CB323" i="5"/>
  <c r="CE322" i="5"/>
  <c r="CB322" i="5"/>
  <c r="CE321" i="5"/>
  <c r="CB321" i="5"/>
  <c r="CE320" i="5"/>
  <c r="CB320" i="5"/>
  <c r="CE319" i="5"/>
  <c r="CB319" i="5"/>
  <c r="CE318" i="5"/>
  <c r="CB318" i="5"/>
  <c r="CE317" i="5"/>
  <c r="CB317" i="5"/>
  <c r="CE316" i="5"/>
  <c r="CB316" i="5"/>
  <c r="CE315" i="5"/>
  <c r="CB315" i="5"/>
  <c r="CE314" i="5"/>
  <c r="CB314" i="5"/>
  <c r="CE313" i="5"/>
  <c r="CB313" i="5"/>
  <c r="CE312" i="5"/>
  <c r="CB312" i="5"/>
  <c r="CE311" i="5"/>
  <c r="CB311" i="5"/>
  <c r="CE310" i="5"/>
  <c r="CB310" i="5"/>
  <c r="CE309" i="5"/>
  <c r="CB309" i="5"/>
  <c r="CE308" i="5"/>
  <c r="CB308" i="5"/>
  <c r="CE307" i="5"/>
  <c r="CB307" i="5"/>
  <c r="CE306" i="5"/>
  <c r="CB306" i="5"/>
  <c r="CE305" i="5"/>
  <c r="CB305" i="5"/>
  <c r="CE304" i="5"/>
  <c r="CB304" i="5"/>
  <c r="CE303" i="5"/>
  <c r="CB303" i="5"/>
  <c r="CE302" i="5"/>
  <c r="CB302" i="5"/>
  <c r="CE301" i="5"/>
  <c r="CB301" i="5"/>
  <c r="CE300" i="5"/>
  <c r="CB300" i="5"/>
  <c r="CE299" i="5"/>
  <c r="CB299" i="5"/>
  <c r="CE298" i="5"/>
  <c r="CB298" i="5"/>
  <c r="CE297" i="5"/>
  <c r="CB297" i="5"/>
  <c r="CE296" i="5"/>
  <c r="CB296" i="5"/>
  <c r="CE295" i="5"/>
  <c r="CB295" i="5"/>
  <c r="CE294" i="5"/>
  <c r="CB294" i="5"/>
  <c r="CE293" i="5"/>
  <c r="CB293" i="5"/>
  <c r="CE292" i="5"/>
  <c r="CB292" i="5"/>
  <c r="CE291" i="5"/>
  <c r="CB291" i="5"/>
  <c r="CE290" i="5"/>
  <c r="CB290" i="5"/>
  <c r="CE289" i="5"/>
  <c r="CB289" i="5"/>
  <c r="CE288" i="5"/>
  <c r="CB288" i="5"/>
  <c r="CE287" i="5"/>
  <c r="CB287" i="5"/>
  <c r="CE286" i="5"/>
  <c r="CB286" i="5"/>
  <c r="CE285" i="5"/>
  <c r="CB285" i="5"/>
  <c r="CE284" i="5"/>
  <c r="CB284" i="5"/>
  <c r="CE283" i="5"/>
  <c r="CB283" i="5"/>
  <c r="CE282" i="5"/>
  <c r="CB282" i="5"/>
  <c r="CE281" i="5"/>
  <c r="CB281" i="5"/>
  <c r="CE280" i="5"/>
  <c r="CB280" i="5"/>
  <c r="CE279" i="5"/>
  <c r="CB279" i="5"/>
  <c r="CE278" i="5"/>
  <c r="CB278" i="5"/>
  <c r="CE277" i="5"/>
  <c r="CB277" i="5"/>
  <c r="CE276" i="5"/>
  <c r="CB276" i="5"/>
  <c r="CE275" i="5"/>
  <c r="CB275" i="5"/>
  <c r="CE274" i="5"/>
  <c r="CB274" i="5"/>
  <c r="CE273" i="5"/>
  <c r="CB273" i="5"/>
  <c r="CE272" i="5"/>
  <c r="CB272" i="5"/>
  <c r="CE271" i="5"/>
  <c r="CB271" i="5"/>
  <c r="CE270" i="5"/>
  <c r="CB270" i="5"/>
  <c r="CE269" i="5"/>
  <c r="CB269" i="5"/>
  <c r="CE268" i="5"/>
  <c r="CB268" i="5"/>
  <c r="CE267" i="5"/>
  <c r="CB267" i="5"/>
  <c r="CE266" i="5"/>
  <c r="CB266" i="5"/>
  <c r="CE265" i="5"/>
  <c r="CB265" i="5"/>
  <c r="CE264" i="5"/>
  <c r="CB264" i="5"/>
  <c r="CE263" i="5"/>
  <c r="CB263" i="5"/>
  <c r="CE262" i="5"/>
  <c r="CB262" i="5"/>
  <c r="CE261" i="5"/>
  <c r="CB261" i="5"/>
  <c r="CE260" i="5"/>
  <c r="CB260" i="5"/>
  <c r="CE259" i="5"/>
  <c r="CB259" i="5"/>
  <c r="CE258" i="5"/>
  <c r="CB258" i="5"/>
  <c r="CE257" i="5"/>
  <c r="CB257" i="5"/>
  <c r="CE256" i="5"/>
  <c r="CB256" i="5"/>
  <c r="CE255" i="5"/>
  <c r="CB255" i="5"/>
  <c r="CE254" i="5"/>
  <c r="CB254" i="5"/>
  <c r="CE253" i="5"/>
  <c r="CB253" i="5"/>
  <c r="CE252" i="5"/>
  <c r="CB252" i="5"/>
  <c r="CE251" i="5"/>
  <c r="CB251" i="5"/>
  <c r="CE250" i="5"/>
  <c r="CB250" i="5"/>
  <c r="CE249" i="5"/>
  <c r="CB249" i="5"/>
  <c r="CE248" i="5"/>
  <c r="CB248" i="5"/>
  <c r="CE247" i="5"/>
  <c r="CB247" i="5"/>
  <c r="CE246" i="5"/>
  <c r="CB246" i="5"/>
  <c r="CE245" i="5"/>
  <c r="CB245" i="5"/>
  <c r="CE244" i="5"/>
  <c r="CB244" i="5"/>
  <c r="CE243" i="5"/>
  <c r="CB243" i="5"/>
  <c r="CE242" i="5"/>
  <c r="CB242" i="5"/>
  <c r="CE241" i="5"/>
  <c r="CB241" i="5"/>
  <c r="CE240" i="5"/>
  <c r="CB240" i="5"/>
  <c r="CE239" i="5"/>
  <c r="CB239" i="5"/>
  <c r="CE238" i="5"/>
  <c r="CB238" i="5"/>
  <c r="CE237" i="5"/>
  <c r="CB237" i="5"/>
  <c r="CE236" i="5"/>
  <c r="CB236" i="5"/>
  <c r="CE235" i="5"/>
  <c r="CB235" i="5"/>
  <c r="CE234" i="5"/>
  <c r="CB234" i="5"/>
  <c r="CE233" i="5"/>
  <c r="CB233" i="5"/>
  <c r="CE232" i="5"/>
  <c r="CB232" i="5"/>
  <c r="CE231" i="5"/>
  <c r="CB231" i="5"/>
  <c r="CE230" i="5"/>
  <c r="CB230" i="5"/>
  <c r="CE229" i="5"/>
  <c r="CB229" i="5"/>
  <c r="CE228" i="5"/>
  <c r="CB228" i="5"/>
  <c r="CE227" i="5"/>
  <c r="CB227" i="5"/>
  <c r="CE226" i="5"/>
  <c r="CB226" i="5"/>
  <c r="CE225" i="5"/>
  <c r="CB225" i="5"/>
  <c r="CE224" i="5"/>
  <c r="CB224" i="5"/>
  <c r="CE223" i="5"/>
  <c r="CB223" i="5"/>
  <c r="CE222" i="5"/>
  <c r="CB222" i="5"/>
  <c r="CE221" i="5"/>
  <c r="CB221" i="5"/>
  <c r="CE220" i="5"/>
  <c r="CB220" i="5"/>
  <c r="CE219" i="5"/>
  <c r="CB219" i="5"/>
  <c r="CE218" i="5"/>
  <c r="CB218" i="5"/>
  <c r="CE217" i="5"/>
  <c r="CB217" i="5"/>
  <c r="CE216" i="5"/>
  <c r="CB216" i="5"/>
  <c r="CE215" i="5"/>
  <c r="CB215" i="5"/>
  <c r="CE214" i="5"/>
  <c r="CB214" i="5"/>
  <c r="CE213" i="5"/>
  <c r="CB213" i="5"/>
  <c r="CE212" i="5"/>
  <c r="CB212" i="5"/>
  <c r="CE211" i="5"/>
  <c r="CB211" i="5"/>
  <c r="CE210" i="5"/>
  <c r="CB210" i="5"/>
  <c r="CE209" i="5"/>
  <c r="CB209" i="5"/>
  <c r="CE208" i="5"/>
  <c r="CB208" i="5"/>
  <c r="CE207" i="5"/>
  <c r="CB207" i="5"/>
  <c r="CE206" i="5"/>
  <c r="CB206" i="5"/>
  <c r="CE205" i="5"/>
  <c r="CB205" i="5"/>
  <c r="CE204" i="5"/>
  <c r="CB204" i="5"/>
  <c r="CE203" i="5"/>
  <c r="CB203" i="5"/>
  <c r="CE202" i="5"/>
  <c r="CB202" i="5"/>
  <c r="CE201" i="5"/>
  <c r="CB201" i="5"/>
  <c r="CE200" i="5"/>
  <c r="CB200" i="5"/>
  <c r="CE199" i="5"/>
  <c r="CB199" i="5"/>
  <c r="CE198" i="5"/>
  <c r="CB198" i="5"/>
  <c r="CE197" i="5"/>
  <c r="CB197" i="5"/>
  <c r="CE196" i="5"/>
  <c r="CB196" i="5"/>
  <c r="CE195" i="5"/>
  <c r="CB195" i="5"/>
  <c r="CE194" i="5"/>
  <c r="CB194" i="5"/>
  <c r="CE193" i="5"/>
  <c r="CB193" i="5"/>
  <c r="CE192" i="5"/>
  <c r="CB192" i="5"/>
  <c r="CE191" i="5"/>
  <c r="CB191" i="5"/>
  <c r="CE190" i="5"/>
  <c r="CB190" i="5"/>
  <c r="CE189" i="5"/>
  <c r="CB189" i="5"/>
  <c r="CE188" i="5"/>
  <c r="CB188" i="5"/>
  <c r="CE187" i="5"/>
  <c r="CB187" i="5"/>
  <c r="CE186" i="5"/>
  <c r="CB186" i="5"/>
  <c r="CE185" i="5"/>
  <c r="CB185" i="5"/>
  <c r="CE184" i="5"/>
  <c r="CB184" i="5"/>
  <c r="CE183" i="5"/>
  <c r="CB183" i="5"/>
  <c r="CE182" i="5"/>
  <c r="CB182" i="5"/>
  <c r="CE181" i="5"/>
  <c r="CB181" i="5"/>
  <c r="CE180" i="5"/>
  <c r="CB180" i="5"/>
  <c r="CE179" i="5"/>
  <c r="CB179" i="5"/>
  <c r="CE178" i="5"/>
  <c r="CB178" i="5"/>
  <c r="CE177" i="5"/>
  <c r="CB177" i="5"/>
  <c r="CE176" i="5"/>
  <c r="CB176" i="5"/>
  <c r="CE175" i="5"/>
  <c r="CB175" i="5"/>
  <c r="CE174" i="5"/>
  <c r="CB174" i="5"/>
  <c r="CE173" i="5"/>
  <c r="CB173" i="5"/>
  <c r="CE172" i="5"/>
  <c r="CB172" i="5"/>
  <c r="CE171" i="5"/>
  <c r="CB171" i="5"/>
  <c r="CE170" i="5"/>
  <c r="CB170" i="5"/>
  <c r="CE169" i="5"/>
  <c r="CB169" i="5"/>
  <c r="CE168" i="5"/>
  <c r="CB168" i="5"/>
  <c r="CE167" i="5"/>
  <c r="CB167" i="5"/>
  <c r="CE166" i="5"/>
  <c r="CB166" i="5"/>
  <c r="CE165" i="5"/>
  <c r="CB165" i="5"/>
  <c r="CE164" i="5"/>
  <c r="CB164" i="5"/>
  <c r="CE163" i="5"/>
  <c r="CB163" i="5"/>
  <c r="CE162" i="5"/>
  <c r="CB162" i="5"/>
  <c r="CE161" i="5"/>
  <c r="CB161" i="5"/>
  <c r="CE160" i="5"/>
  <c r="CB160" i="5"/>
  <c r="CE159" i="5"/>
  <c r="CB159" i="5"/>
  <c r="CE158" i="5"/>
  <c r="CB158" i="5"/>
  <c r="CE157" i="5"/>
  <c r="CB157" i="5"/>
  <c r="CE156" i="5"/>
  <c r="CB156" i="5"/>
  <c r="CE155" i="5"/>
  <c r="CB155" i="5"/>
  <c r="CE154" i="5"/>
  <c r="CB154" i="5"/>
  <c r="CE153" i="5"/>
  <c r="CB153" i="5"/>
  <c r="CE152" i="5"/>
  <c r="CB152" i="5"/>
  <c r="CE151" i="5"/>
  <c r="CB151" i="5"/>
  <c r="CE150" i="5"/>
  <c r="CB150" i="5"/>
  <c r="CE149" i="5"/>
  <c r="CB149" i="5"/>
  <c r="CE148" i="5"/>
  <c r="CB148" i="5"/>
  <c r="CE147" i="5"/>
  <c r="CB147" i="5"/>
  <c r="CE146" i="5"/>
  <c r="CB146" i="5"/>
  <c r="CE145" i="5"/>
  <c r="CB145" i="5"/>
  <c r="CE144" i="5"/>
  <c r="CB144" i="5"/>
  <c r="CE143" i="5"/>
  <c r="CB143" i="5"/>
  <c r="CE142" i="5"/>
  <c r="CB142" i="5"/>
  <c r="CE141" i="5"/>
  <c r="CB141" i="5"/>
  <c r="CE140" i="5"/>
  <c r="CB140" i="5"/>
  <c r="CE139" i="5"/>
  <c r="CB139" i="5"/>
  <c r="CE138" i="5"/>
  <c r="CB138" i="5"/>
  <c r="CE137" i="5"/>
  <c r="CB137" i="5"/>
  <c r="CE136" i="5"/>
  <c r="CB136" i="5"/>
  <c r="CE135" i="5"/>
  <c r="CB135" i="5"/>
  <c r="CE134" i="5"/>
  <c r="CB134" i="5"/>
  <c r="CE133" i="5"/>
  <c r="CB133" i="5"/>
  <c r="CE132" i="5"/>
  <c r="CB132" i="5"/>
  <c r="CE131" i="5"/>
  <c r="CB131" i="5"/>
  <c r="CE130" i="5"/>
  <c r="CB130" i="5"/>
  <c r="CE129" i="5"/>
  <c r="CB129" i="5"/>
  <c r="CE128" i="5"/>
  <c r="CB128" i="5"/>
  <c r="CE127" i="5"/>
  <c r="CB127" i="5"/>
  <c r="CE126" i="5"/>
  <c r="CB126" i="5"/>
  <c r="CE125" i="5"/>
  <c r="CB125" i="5"/>
  <c r="CE124" i="5"/>
  <c r="CB124" i="5"/>
  <c r="CE123" i="5"/>
  <c r="CB123" i="5"/>
  <c r="CE122" i="5"/>
  <c r="CB122" i="5"/>
  <c r="CE121" i="5"/>
  <c r="CB121" i="5"/>
  <c r="CE120" i="5"/>
  <c r="CB120" i="5"/>
  <c r="CE119" i="5"/>
  <c r="CB119" i="5"/>
  <c r="CE118" i="5"/>
  <c r="CB118" i="5"/>
  <c r="CE117" i="5"/>
  <c r="CB117" i="5"/>
  <c r="CE116" i="5"/>
  <c r="CB116" i="5"/>
  <c r="CE115" i="5"/>
  <c r="CB115" i="5"/>
  <c r="CE114" i="5"/>
  <c r="CB114" i="5"/>
  <c r="CE113" i="5"/>
  <c r="CB113" i="5"/>
  <c r="CE112" i="5"/>
  <c r="CB112" i="5"/>
  <c r="CE111" i="5"/>
  <c r="CB111" i="5"/>
  <c r="CE110" i="5"/>
  <c r="CB110" i="5"/>
  <c r="CE109" i="5"/>
  <c r="CB109" i="5"/>
  <c r="CE108" i="5"/>
  <c r="CB108" i="5"/>
  <c r="CE107" i="5"/>
  <c r="CB107" i="5"/>
  <c r="CE106" i="5"/>
  <c r="CB106" i="5"/>
  <c r="CE105" i="5"/>
  <c r="CB105" i="5"/>
  <c r="CE104" i="5"/>
  <c r="CB104" i="5"/>
  <c r="CE103" i="5"/>
  <c r="CB103" i="5"/>
  <c r="CE102" i="5"/>
  <c r="CB102" i="5"/>
  <c r="CE101" i="5"/>
  <c r="CB101" i="5"/>
  <c r="CE100" i="5"/>
  <c r="CB100" i="5"/>
  <c r="CE99" i="5"/>
  <c r="CB99" i="5"/>
  <c r="CE98" i="5"/>
  <c r="CB98" i="5"/>
  <c r="CE97" i="5"/>
  <c r="CB97" i="5"/>
  <c r="CE96" i="5"/>
  <c r="CB96" i="5"/>
  <c r="CE95" i="5"/>
  <c r="CB95" i="5"/>
  <c r="CE94" i="5"/>
  <c r="CB94" i="5"/>
  <c r="CE93" i="5"/>
  <c r="CB93" i="5"/>
  <c r="CE92" i="5"/>
  <c r="CB92" i="5"/>
  <c r="CE91" i="5"/>
  <c r="CB91" i="5"/>
  <c r="CE90" i="5"/>
  <c r="CB90" i="5"/>
  <c r="CE89" i="5"/>
  <c r="CB89" i="5"/>
  <c r="CE88" i="5"/>
  <c r="CB88" i="5"/>
  <c r="CE87" i="5"/>
  <c r="CB87" i="5"/>
  <c r="CE86" i="5"/>
  <c r="CB86" i="5"/>
  <c r="CE85" i="5"/>
  <c r="CB85" i="5"/>
  <c r="CE84" i="5"/>
  <c r="CB84" i="5"/>
  <c r="CE83" i="5"/>
  <c r="CB83" i="5"/>
  <c r="CE82" i="5"/>
  <c r="CB82" i="5"/>
  <c r="CE81" i="5"/>
  <c r="CB81" i="5"/>
  <c r="CE80" i="5"/>
  <c r="CB80" i="5"/>
  <c r="CE79" i="5"/>
  <c r="CB79" i="5"/>
  <c r="CE78" i="5"/>
  <c r="CB78" i="5"/>
  <c r="CE77" i="5"/>
  <c r="CB77" i="5"/>
  <c r="CE76" i="5"/>
  <c r="CB76" i="5"/>
  <c r="CE75" i="5"/>
  <c r="CB75" i="5"/>
  <c r="CE74" i="5"/>
  <c r="CB74" i="5"/>
  <c r="CE73" i="5"/>
  <c r="CB73" i="5"/>
  <c r="CE72" i="5"/>
  <c r="CB72" i="5"/>
  <c r="CE71" i="5"/>
  <c r="CB71" i="5"/>
  <c r="CE70" i="5"/>
  <c r="CB70" i="5"/>
  <c r="CE69" i="5"/>
  <c r="CB69" i="5"/>
  <c r="CE68" i="5"/>
  <c r="CB68" i="5"/>
  <c r="CE67" i="5"/>
  <c r="CB67" i="5"/>
  <c r="CE66" i="5"/>
  <c r="CB66" i="5"/>
  <c r="CE65" i="5"/>
  <c r="CB65" i="5"/>
  <c r="CE64" i="5"/>
  <c r="CB64" i="5"/>
  <c r="CE63" i="5"/>
  <c r="CB63" i="5"/>
  <c r="CE62" i="5"/>
  <c r="CB62" i="5"/>
  <c r="CE61" i="5"/>
  <c r="CB61" i="5"/>
  <c r="CE60" i="5"/>
  <c r="CB60" i="5"/>
  <c r="CE59" i="5"/>
  <c r="CB59" i="5"/>
  <c r="CE58" i="5"/>
  <c r="CB58" i="5"/>
  <c r="CE57" i="5"/>
  <c r="CB57" i="5"/>
  <c r="CE56" i="5"/>
  <c r="CB56" i="5"/>
  <c r="CE55" i="5"/>
  <c r="CB55" i="5"/>
  <c r="CE54" i="5"/>
  <c r="CB54" i="5"/>
  <c r="CE53" i="5"/>
  <c r="CB53" i="5"/>
  <c r="CE52" i="5"/>
  <c r="CB52" i="5"/>
  <c r="CE51" i="5"/>
  <c r="CB51" i="5"/>
  <c r="CE50" i="5"/>
  <c r="CB50" i="5"/>
  <c r="CE49" i="5"/>
  <c r="CB49" i="5"/>
  <c r="CE48" i="5"/>
  <c r="CB48" i="5"/>
  <c r="CE47" i="5"/>
  <c r="CB47" i="5"/>
  <c r="CE46" i="5"/>
  <c r="CB46" i="5"/>
  <c r="CE45" i="5"/>
  <c r="CB45" i="5"/>
  <c r="CE44" i="5"/>
  <c r="CB44" i="5"/>
  <c r="CE43" i="5"/>
  <c r="CB43" i="5"/>
  <c r="CE42" i="5"/>
  <c r="CB42" i="5"/>
  <c r="CE41" i="5"/>
  <c r="CB41" i="5"/>
  <c r="CE40" i="5"/>
  <c r="CB40" i="5"/>
  <c r="CE39" i="5"/>
  <c r="CB39" i="5"/>
  <c r="CE38" i="5"/>
  <c r="CB38" i="5"/>
  <c r="CE37" i="5"/>
  <c r="CB37" i="5"/>
  <c r="CE36" i="5"/>
  <c r="CB36" i="5"/>
  <c r="CE35" i="5"/>
  <c r="CB35" i="5"/>
  <c r="CE34" i="5"/>
  <c r="CB34" i="5"/>
  <c r="CE33" i="5"/>
  <c r="CB33" i="5"/>
  <c r="CE32" i="5"/>
  <c r="CB32" i="5"/>
  <c r="CE31" i="5"/>
  <c r="CB31" i="5"/>
  <c r="CE30" i="5"/>
  <c r="CB30" i="5"/>
  <c r="CE29" i="5"/>
  <c r="CB29" i="5"/>
  <c r="CE28" i="5"/>
  <c r="CB28" i="5"/>
  <c r="CE27" i="5"/>
  <c r="CB27" i="5"/>
  <c r="CE26" i="5"/>
  <c r="CB26" i="5"/>
  <c r="CE25" i="5"/>
  <c r="CB25" i="5"/>
  <c r="CE24" i="5"/>
  <c r="CB24" i="5"/>
  <c r="CE23" i="5"/>
  <c r="CB23" i="5"/>
  <c r="CE22" i="5"/>
  <c r="CB22" i="5"/>
  <c r="CE21" i="5"/>
  <c r="CB21" i="5"/>
  <c r="CE20" i="5"/>
  <c r="CB20" i="5"/>
  <c r="CE19" i="5"/>
  <c r="CB19" i="5"/>
  <c r="CE18" i="5"/>
  <c r="CB18" i="5"/>
  <c r="CE17" i="5"/>
  <c r="CB17" i="5"/>
  <c r="CE16" i="5"/>
  <c r="CB16" i="5"/>
  <c r="CE15" i="5"/>
  <c r="CB15" i="5"/>
  <c r="CE14" i="5"/>
  <c r="CB14" i="5"/>
  <c r="CE13" i="5"/>
  <c r="CB13" i="5"/>
  <c r="CE12" i="5"/>
  <c r="CB12" i="5"/>
  <c r="CE11" i="5"/>
  <c r="CB11" i="5"/>
  <c r="CE10" i="5"/>
  <c r="CB10" i="5"/>
  <c r="CE9" i="5"/>
  <c r="CB9" i="5"/>
  <c r="CE8" i="5"/>
  <c r="CB8" i="5"/>
  <c r="CE7" i="5"/>
  <c r="CB7" i="5"/>
  <c r="CE6" i="5"/>
  <c r="CB6" i="5"/>
  <c r="CE5" i="5"/>
  <c r="CB5" i="5"/>
  <c r="CE4" i="5"/>
  <c r="CB4" i="5"/>
  <c r="CE3" i="5"/>
  <c r="CB3" i="5"/>
  <c r="CE2" i="5"/>
  <c r="CB2" i="5"/>
  <c r="CE1" i="5"/>
  <c r="E10" i="11"/>
  <c r="F10" i="11"/>
  <c r="F43" i="4"/>
  <c r="F46" i="4"/>
  <c r="B43" i="4"/>
  <c r="B44" i="4"/>
  <c r="B45" i="4"/>
  <c r="BU76" i="10"/>
  <c r="BU77" i="10"/>
  <c r="B101" i="10"/>
  <c r="BS101" i="10" s="1"/>
  <c r="B36" i="10"/>
  <c r="B34" i="10"/>
  <c r="B32" i="10"/>
  <c r="BU85" i="10"/>
  <c r="BV85" i="10" s="1"/>
  <c r="BU83" i="10"/>
  <c r="BV83" i="10" s="1"/>
  <c r="BX76" i="10"/>
  <c r="BW76" i="10"/>
  <c r="C3" i="5"/>
  <c r="B34" i="4"/>
  <c r="B35" i="4"/>
  <c r="B36" i="4"/>
  <c r="B25" i="4"/>
  <c r="B26" i="4"/>
  <c r="B27" i="4"/>
  <c r="B16" i="4"/>
  <c r="B17" i="4"/>
  <c r="F34" i="4"/>
  <c r="F37" i="4"/>
  <c r="F25" i="4"/>
  <c r="F28" i="4"/>
  <c r="B2" i="4"/>
  <c r="AB101" i="10" l="1"/>
  <c r="AB102" i="10" s="1"/>
  <c r="BH101" i="10"/>
  <c r="X101" i="10"/>
  <c r="X102" i="10" s="1"/>
  <c r="BD101" i="10"/>
  <c r="BD102" i="10" s="1"/>
  <c r="L101" i="10"/>
  <c r="L102" i="10" s="1"/>
  <c r="AR101" i="10"/>
  <c r="AR102" i="10" s="1"/>
  <c r="H101" i="10"/>
  <c r="H102" i="10" s="1"/>
  <c r="AN101" i="10"/>
  <c r="AN102" i="10" s="1"/>
  <c r="BT101" i="10"/>
  <c r="G10" i="11"/>
  <c r="N5" i="15" s="1"/>
  <c r="P101" i="10"/>
  <c r="P102" i="10" s="1"/>
  <c r="AF101" i="10"/>
  <c r="AF102" i="10" s="1"/>
  <c r="AV101" i="10"/>
  <c r="AV102" i="10" s="1"/>
  <c r="BL101" i="10"/>
  <c r="BL102" i="10" s="1"/>
  <c r="D101" i="10"/>
  <c r="D102" i="10" s="1"/>
  <c r="T101" i="10"/>
  <c r="T102" i="10" s="1"/>
  <c r="AJ101" i="10"/>
  <c r="AJ102" i="10" s="1"/>
  <c r="AZ101" i="10"/>
  <c r="BP101" i="10"/>
  <c r="I101" i="10"/>
  <c r="I102" i="10" s="1"/>
  <c r="Q101" i="10"/>
  <c r="Q102" i="10" s="1"/>
  <c r="AC101" i="10"/>
  <c r="AC102" i="10" s="1"/>
  <c r="AK101" i="10"/>
  <c r="AK102" i="10" s="1"/>
  <c r="AS101" i="10"/>
  <c r="AS102" i="10" s="1"/>
  <c r="BA101" i="10"/>
  <c r="BA102" i="10" s="1"/>
  <c r="BI101" i="10"/>
  <c r="BI102" i="10" s="1"/>
  <c r="BQ101" i="10"/>
  <c r="E101" i="10"/>
  <c r="E102" i="10" s="1"/>
  <c r="M101" i="10"/>
  <c r="U101" i="10"/>
  <c r="U102" i="10" s="1"/>
  <c r="Y101" i="10"/>
  <c r="Y102" i="10" s="1"/>
  <c r="AG101" i="10"/>
  <c r="AO101" i="10"/>
  <c r="AO102" i="10" s="1"/>
  <c r="AW101" i="10"/>
  <c r="AW102" i="10" s="1"/>
  <c r="BE101" i="10"/>
  <c r="BE102" i="10" s="1"/>
  <c r="BM101" i="10"/>
  <c r="BM102" i="10" s="1"/>
  <c r="C101" i="10"/>
  <c r="C102" i="10" s="1"/>
  <c r="F101" i="10"/>
  <c r="F102" i="10" s="1"/>
  <c r="J101" i="10"/>
  <c r="J102" i="10" s="1"/>
  <c r="N101" i="10"/>
  <c r="N102" i="10" s="1"/>
  <c r="R101" i="10"/>
  <c r="R102" i="10" s="1"/>
  <c r="V101" i="10"/>
  <c r="V102" i="10" s="1"/>
  <c r="Z101" i="10"/>
  <c r="Z102" i="10" s="1"/>
  <c r="AD101" i="10"/>
  <c r="AD102" i="10" s="1"/>
  <c r="AH101" i="10"/>
  <c r="AH102" i="10" s="1"/>
  <c r="AL101" i="10"/>
  <c r="AL102" i="10" s="1"/>
  <c r="AP101" i="10"/>
  <c r="AT101" i="10"/>
  <c r="AT102" i="10" s="1"/>
  <c r="AX101" i="10"/>
  <c r="BB101" i="10"/>
  <c r="BB102" i="10" s="1"/>
  <c r="BF101" i="10"/>
  <c r="BF102" i="10" s="1"/>
  <c r="BJ101" i="10"/>
  <c r="BJ102" i="10" s="1"/>
  <c r="BN101" i="10"/>
  <c r="BN102" i="10" s="1"/>
  <c r="BR101" i="10"/>
  <c r="G101" i="10"/>
  <c r="G102" i="10" s="1"/>
  <c r="K101" i="10"/>
  <c r="K102" i="10" s="1"/>
  <c r="O101" i="10"/>
  <c r="O102" i="10" s="1"/>
  <c r="S101" i="10"/>
  <c r="S102" i="10" s="1"/>
  <c r="W101" i="10"/>
  <c r="AA101" i="10"/>
  <c r="AA102" i="10" s="1"/>
  <c r="AE101" i="10"/>
  <c r="AE102" i="10" s="1"/>
  <c r="AI101" i="10"/>
  <c r="AI102" i="10" s="1"/>
  <c r="AM101" i="10"/>
  <c r="AM102" i="10" s="1"/>
  <c r="AQ101" i="10"/>
  <c r="AU101" i="10"/>
  <c r="AU102" i="10" s="1"/>
  <c r="AY101" i="10"/>
  <c r="AY102" i="10" s="1"/>
  <c r="BC101" i="10"/>
  <c r="BC102" i="10" s="1"/>
  <c r="BG101" i="10"/>
  <c r="BG102" i="10" s="1"/>
  <c r="BK101" i="10"/>
  <c r="BK102" i="10" s="1"/>
  <c r="BO101" i="10"/>
  <c r="BO102" i="10" s="1"/>
  <c r="U36" i="11"/>
  <c r="BU56" i="10"/>
  <c r="BU57" i="10"/>
  <c r="BU63" i="10"/>
  <c r="BV63" i="10" s="1"/>
  <c r="BX56" i="10"/>
  <c r="BW56" i="10"/>
  <c r="BU35" i="10"/>
  <c r="BU36" i="10"/>
  <c r="AX102" i="10" l="1"/>
  <c r="AP102" i="10"/>
  <c r="BT14" i="10"/>
  <c r="BU14" i="10"/>
  <c r="BT15" i="10"/>
  <c r="BU15" i="10"/>
  <c r="BT16" i="10"/>
  <c r="BT17" i="10"/>
  <c r="BT18" i="10"/>
  <c r="BT19" i="10"/>
  <c r="BX35" i="10" l="1"/>
  <c r="BW35" i="10"/>
  <c r="BX14" i="10"/>
  <c r="BW14" i="10"/>
  <c r="B97" i="10"/>
  <c r="AK36" i="10"/>
  <c r="AE32" i="10"/>
  <c r="B26" i="10"/>
  <c r="AK26" i="10" s="1"/>
  <c r="B24" i="10"/>
  <c r="AK24" i="10" s="1"/>
  <c r="B22" i="10"/>
  <c r="W22" i="10" s="1"/>
  <c r="B16" i="10"/>
  <c r="AK16" i="10" s="1"/>
  <c r="B14" i="10"/>
  <c r="V14" i="10" s="1"/>
  <c r="B12" i="10"/>
  <c r="AJ12" i="10" s="1"/>
  <c r="HK380" i="11"/>
  <c r="HH380" i="11"/>
  <c r="HK379" i="11"/>
  <c r="HH379" i="11"/>
  <c r="HK378" i="11"/>
  <c r="HH378" i="11"/>
  <c r="HK377" i="11"/>
  <c r="HH377" i="11"/>
  <c r="HK376" i="11"/>
  <c r="HH376" i="11"/>
  <c r="HK375" i="11"/>
  <c r="HH375" i="11"/>
  <c r="HK374" i="11"/>
  <c r="HH374" i="11"/>
  <c r="HK373" i="11"/>
  <c r="HH373" i="11"/>
  <c r="HK372" i="11"/>
  <c r="HH372" i="11"/>
  <c r="HK371" i="11"/>
  <c r="HH371" i="11"/>
  <c r="HK370" i="11"/>
  <c r="HH370" i="11"/>
  <c r="HK369" i="11"/>
  <c r="HH369" i="11"/>
  <c r="HK368" i="11"/>
  <c r="HH368" i="11"/>
  <c r="HK367" i="11"/>
  <c r="HH367" i="11"/>
  <c r="HK366" i="11"/>
  <c r="HH366" i="11"/>
  <c r="HK365" i="11"/>
  <c r="HH365" i="11"/>
  <c r="HK364" i="11"/>
  <c r="HH364" i="11"/>
  <c r="HK363" i="11"/>
  <c r="HH363" i="11"/>
  <c r="HK362" i="11"/>
  <c r="HH362" i="11"/>
  <c r="HK361" i="11"/>
  <c r="HH361" i="11"/>
  <c r="HK360" i="11"/>
  <c r="HH360" i="11"/>
  <c r="HK359" i="11"/>
  <c r="HH359" i="11"/>
  <c r="HK358" i="11"/>
  <c r="HH358" i="11"/>
  <c r="HK357" i="11"/>
  <c r="HH357" i="11"/>
  <c r="HK356" i="11"/>
  <c r="HH356" i="11"/>
  <c r="HK355" i="11"/>
  <c r="HH355" i="11"/>
  <c r="HK354" i="11"/>
  <c r="HH354" i="11"/>
  <c r="HK353" i="11"/>
  <c r="HH353" i="11"/>
  <c r="HK352" i="11"/>
  <c r="HH352" i="11"/>
  <c r="HK351" i="11"/>
  <c r="HH351" i="11"/>
  <c r="HK350" i="11"/>
  <c r="HH350" i="11"/>
  <c r="HK349" i="11"/>
  <c r="HH349" i="11"/>
  <c r="HK348" i="11"/>
  <c r="HH348" i="11"/>
  <c r="HK347" i="11"/>
  <c r="HH347" i="11"/>
  <c r="HK346" i="11"/>
  <c r="HH346" i="11"/>
  <c r="HK345" i="11"/>
  <c r="HH345" i="11"/>
  <c r="HK344" i="11"/>
  <c r="HH344" i="11"/>
  <c r="HK343" i="11"/>
  <c r="HH343" i="11"/>
  <c r="HK342" i="11"/>
  <c r="HH342" i="11"/>
  <c r="HK341" i="11"/>
  <c r="HH341" i="11"/>
  <c r="HK340" i="11"/>
  <c r="HH340" i="11"/>
  <c r="HK339" i="11"/>
  <c r="HH339" i="11"/>
  <c r="HK338" i="11"/>
  <c r="HH338" i="11"/>
  <c r="HK337" i="11"/>
  <c r="HH337" i="11"/>
  <c r="HK336" i="11"/>
  <c r="HH336" i="11"/>
  <c r="HK335" i="11"/>
  <c r="HH335" i="11"/>
  <c r="HK334" i="11"/>
  <c r="HH334" i="11"/>
  <c r="HK333" i="11"/>
  <c r="HH333" i="11"/>
  <c r="HK332" i="11"/>
  <c r="HH332" i="11"/>
  <c r="HK331" i="11"/>
  <c r="HH331" i="11"/>
  <c r="HK330" i="11"/>
  <c r="HH330" i="11"/>
  <c r="HK329" i="11"/>
  <c r="HH329" i="11"/>
  <c r="HK328" i="11"/>
  <c r="HH328" i="11"/>
  <c r="HK327" i="11"/>
  <c r="HH327" i="11"/>
  <c r="HK326" i="11"/>
  <c r="HH326" i="11"/>
  <c r="HK325" i="11"/>
  <c r="HH325" i="11"/>
  <c r="HK324" i="11"/>
  <c r="HH324" i="11"/>
  <c r="HK323" i="11"/>
  <c r="HH323" i="11"/>
  <c r="HK322" i="11"/>
  <c r="HH322" i="11"/>
  <c r="HK321" i="11"/>
  <c r="HH321" i="11"/>
  <c r="HK320" i="11"/>
  <c r="HH320" i="11"/>
  <c r="HK319" i="11"/>
  <c r="HH319" i="11"/>
  <c r="HK318" i="11"/>
  <c r="HH318" i="11"/>
  <c r="HK317" i="11"/>
  <c r="HH317" i="11"/>
  <c r="HK316" i="11"/>
  <c r="HH316" i="11"/>
  <c r="HK315" i="11"/>
  <c r="HH315" i="11"/>
  <c r="HK314" i="11"/>
  <c r="HH314" i="11"/>
  <c r="HK313" i="11"/>
  <c r="HH313" i="11"/>
  <c r="HK312" i="11"/>
  <c r="HH312" i="11"/>
  <c r="HK311" i="11"/>
  <c r="HH311" i="11"/>
  <c r="HK310" i="11"/>
  <c r="HH310" i="11"/>
  <c r="HK309" i="11"/>
  <c r="HH309" i="11"/>
  <c r="HK308" i="11"/>
  <c r="HH308" i="11"/>
  <c r="HK307" i="11"/>
  <c r="HH307" i="11"/>
  <c r="HK306" i="11"/>
  <c r="HH306" i="11"/>
  <c r="HK305" i="11"/>
  <c r="HH305" i="11"/>
  <c r="HK304" i="11"/>
  <c r="HH304" i="11"/>
  <c r="HK303" i="11"/>
  <c r="HH303" i="11"/>
  <c r="HK302" i="11"/>
  <c r="HH302" i="11"/>
  <c r="HK301" i="11"/>
  <c r="HH301" i="11"/>
  <c r="HK300" i="11"/>
  <c r="HH300" i="11"/>
  <c r="HK299" i="11"/>
  <c r="HH299" i="11"/>
  <c r="HK298" i="11"/>
  <c r="HH298" i="11"/>
  <c r="HK297" i="11"/>
  <c r="HH297" i="11"/>
  <c r="HK296" i="11"/>
  <c r="HH296" i="11"/>
  <c r="HK295" i="11"/>
  <c r="HH295" i="11"/>
  <c r="HK294" i="11"/>
  <c r="HH294" i="11"/>
  <c r="HK293" i="11"/>
  <c r="HH293" i="11"/>
  <c r="HK292" i="11"/>
  <c r="HH292" i="11"/>
  <c r="HK291" i="11"/>
  <c r="HH291" i="11"/>
  <c r="HK290" i="11"/>
  <c r="HH290" i="11"/>
  <c r="HK289" i="11"/>
  <c r="HH289" i="11"/>
  <c r="HK288" i="11"/>
  <c r="HH288" i="11"/>
  <c r="HK287" i="11"/>
  <c r="HH287" i="11"/>
  <c r="HK286" i="11"/>
  <c r="HH286" i="11"/>
  <c r="HK285" i="11"/>
  <c r="HH285" i="11"/>
  <c r="HK284" i="11"/>
  <c r="HH284" i="11"/>
  <c r="HK283" i="11"/>
  <c r="HH283" i="11"/>
  <c r="HK282" i="11"/>
  <c r="HH282" i="11"/>
  <c r="HK281" i="11"/>
  <c r="HH281" i="11"/>
  <c r="HK280" i="11"/>
  <c r="HH280" i="11"/>
  <c r="HK279" i="11"/>
  <c r="HH279" i="11"/>
  <c r="HK278" i="11"/>
  <c r="HH278" i="11"/>
  <c r="HK277" i="11"/>
  <c r="HH277" i="11"/>
  <c r="HK276" i="11"/>
  <c r="HH276" i="11"/>
  <c r="HK275" i="11"/>
  <c r="HH275" i="11"/>
  <c r="HK274" i="11"/>
  <c r="HH274" i="11"/>
  <c r="HK273" i="11"/>
  <c r="HH273" i="11"/>
  <c r="HK272" i="11"/>
  <c r="HH272" i="11"/>
  <c r="HK271" i="11"/>
  <c r="HH271" i="11"/>
  <c r="HK270" i="11"/>
  <c r="HH270" i="11"/>
  <c r="HK269" i="11"/>
  <c r="HH269" i="11"/>
  <c r="HK268" i="11"/>
  <c r="HH268" i="11"/>
  <c r="HK267" i="11"/>
  <c r="HH267" i="11"/>
  <c r="HK266" i="11"/>
  <c r="HH266" i="11"/>
  <c r="HK265" i="11"/>
  <c r="HH265" i="11"/>
  <c r="HK264" i="11"/>
  <c r="HH264" i="11"/>
  <c r="HK263" i="11"/>
  <c r="HH263" i="11"/>
  <c r="HK262" i="11"/>
  <c r="HH262" i="11"/>
  <c r="HK261" i="11"/>
  <c r="HH261" i="11"/>
  <c r="HK260" i="11"/>
  <c r="HH260" i="11"/>
  <c r="HK259" i="11"/>
  <c r="HH259" i="11"/>
  <c r="HK258" i="11"/>
  <c r="HH258" i="11"/>
  <c r="HK257" i="11"/>
  <c r="HH257" i="11"/>
  <c r="HK256" i="11"/>
  <c r="HH256" i="11"/>
  <c r="HK255" i="11"/>
  <c r="HH255" i="11"/>
  <c r="HK254" i="11"/>
  <c r="HH254" i="11"/>
  <c r="HK253" i="11"/>
  <c r="HH253" i="11"/>
  <c r="HK252" i="11"/>
  <c r="HH252" i="11"/>
  <c r="HK251" i="11"/>
  <c r="HH251" i="11"/>
  <c r="HK250" i="11"/>
  <c r="HH250" i="11"/>
  <c r="HK249" i="11"/>
  <c r="HH249" i="11"/>
  <c r="HK248" i="11"/>
  <c r="HH248" i="11"/>
  <c r="HK247" i="11"/>
  <c r="HH247" i="11"/>
  <c r="HK246" i="11"/>
  <c r="HH246" i="11"/>
  <c r="HK245" i="11"/>
  <c r="HH245" i="11"/>
  <c r="HK244" i="11"/>
  <c r="HH244" i="11"/>
  <c r="HK243" i="11"/>
  <c r="HH243" i="11"/>
  <c r="HK242" i="11"/>
  <c r="HH242" i="11"/>
  <c r="HK241" i="11"/>
  <c r="HH241" i="11"/>
  <c r="HK240" i="11"/>
  <c r="HH240" i="11"/>
  <c r="HK239" i="11"/>
  <c r="HH239" i="11"/>
  <c r="HK238" i="11"/>
  <c r="HH238" i="11"/>
  <c r="HK237" i="11"/>
  <c r="HH237" i="11"/>
  <c r="HK236" i="11"/>
  <c r="HH236" i="11"/>
  <c r="HK235" i="11"/>
  <c r="HH235" i="11"/>
  <c r="HK234" i="11"/>
  <c r="HH234" i="11"/>
  <c r="HK233" i="11"/>
  <c r="HH233" i="11"/>
  <c r="HK232" i="11"/>
  <c r="HH232" i="11"/>
  <c r="HK231" i="11"/>
  <c r="HH231" i="11"/>
  <c r="HK230" i="11"/>
  <c r="HH230" i="11"/>
  <c r="HK229" i="11"/>
  <c r="HH229" i="11"/>
  <c r="HK228" i="11"/>
  <c r="HH228" i="11"/>
  <c r="HK227" i="11"/>
  <c r="HH227" i="11"/>
  <c r="HK226" i="11"/>
  <c r="HH226" i="11"/>
  <c r="HK225" i="11"/>
  <c r="HH225" i="11"/>
  <c r="HK224" i="11"/>
  <c r="HH224" i="11"/>
  <c r="HK223" i="11"/>
  <c r="HH223" i="11"/>
  <c r="HK222" i="11"/>
  <c r="HH222" i="11"/>
  <c r="HK221" i="11"/>
  <c r="HH221" i="11"/>
  <c r="HK220" i="11"/>
  <c r="HH220" i="11"/>
  <c r="HK219" i="11"/>
  <c r="HH219" i="11"/>
  <c r="HK218" i="11"/>
  <c r="HH218" i="11"/>
  <c r="HK217" i="11"/>
  <c r="HH217" i="11"/>
  <c r="HK216" i="11"/>
  <c r="HH216" i="11"/>
  <c r="HK215" i="11"/>
  <c r="HH215" i="11"/>
  <c r="HK214" i="11"/>
  <c r="HH214" i="11"/>
  <c r="HK213" i="11"/>
  <c r="HH213" i="11"/>
  <c r="HK212" i="11"/>
  <c r="HH212" i="11"/>
  <c r="HK211" i="11"/>
  <c r="HH211" i="11"/>
  <c r="HK210" i="11"/>
  <c r="HH210" i="11"/>
  <c r="HK209" i="11"/>
  <c r="HH209" i="11"/>
  <c r="HK208" i="11"/>
  <c r="HH208" i="11"/>
  <c r="HK207" i="11"/>
  <c r="HH207" i="11"/>
  <c r="HK206" i="11"/>
  <c r="HH206" i="11"/>
  <c r="HK205" i="11"/>
  <c r="HH205" i="11"/>
  <c r="HK204" i="11"/>
  <c r="HH204" i="11"/>
  <c r="HK203" i="11"/>
  <c r="HH203" i="11"/>
  <c r="HK202" i="11"/>
  <c r="HH202" i="11"/>
  <c r="HK201" i="11"/>
  <c r="HH201" i="11"/>
  <c r="HK200" i="11"/>
  <c r="HH200" i="11"/>
  <c r="HK199" i="11"/>
  <c r="HH199" i="11"/>
  <c r="HK198" i="11"/>
  <c r="HH198" i="11"/>
  <c r="HK197" i="11"/>
  <c r="HH197" i="11"/>
  <c r="HK196" i="11"/>
  <c r="HH196" i="11"/>
  <c r="HK195" i="11"/>
  <c r="HH195" i="11"/>
  <c r="HK194" i="11"/>
  <c r="HH194" i="11"/>
  <c r="HK193" i="11"/>
  <c r="HH193" i="11"/>
  <c r="HK192" i="11"/>
  <c r="HH192" i="11"/>
  <c r="HK191" i="11"/>
  <c r="HH191" i="11"/>
  <c r="HK190" i="11"/>
  <c r="HH190" i="11"/>
  <c r="HK189" i="11"/>
  <c r="HH189" i="11"/>
  <c r="HK188" i="11"/>
  <c r="HH188" i="11"/>
  <c r="HK187" i="11"/>
  <c r="HH187" i="11"/>
  <c r="HK186" i="11"/>
  <c r="HH186" i="11"/>
  <c r="HK185" i="11"/>
  <c r="HH185" i="11"/>
  <c r="HK184" i="11"/>
  <c r="HH184" i="11"/>
  <c r="HK183" i="11"/>
  <c r="HH183" i="11"/>
  <c r="HK182" i="11"/>
  <c r="HH182" i="11"/>
  <c r="HK181" i="11"/>
  <c r="HH181" i="11"/>
  <c r="HK180" i="11"/>
  <c r="HH180" i="11"/>
  <c r="HK179" i="11"/>
  <c r="HH179" i="11"/>
  <c r="HK178" i="11"/>
  <c r="HH178" i="11"/>
  <c r="HK177" i="11"/>
  <c r="HH177" i="11"/>
  <c r="HK176" i="11"/>
  <c r="HH176" i="11"/>
  <c r="HK175" i="11"/>
  <c r="HH175" i="11"/>
  <c r="HK174" i="11"/>
  <c r="HH174" i="11"/>
  <c r="HK173" i="11"/>
  <c r="HH173" i="11"/>
  <c r="HK172" i="11"/>
  <c r="HH172" i="11"/>
  <c r="HK171" i="11"/>
  <c r="HH171" i="11"/>
  <c r="HK170" i="11"/>
  <c r="HH170" i="11"/>
  <c r="HK169" i="11"/>
  <c r="HH169" i="11"/>
  <c r="HK168" i="11"/>
  <c r="HH168" i="11"/>
  <c r="HK167" i="11"/>
  <c r="HH167" i="11"/>
  <c r="HK166" i="11"/>
  <c r="HH166" i="11"/>
  <c r="HK165" i="11"/>
  <c r="HH165" i="11"/>
  <c r="HK164" i="11"/>
  <c r="HH164" i="11"/>
  <c r="HK163" i="11"/>
  <c r="HH163" i="11"/>
  <c r="HK162" i="11"/>
  <c r="HH162" i="11"/>
  <c r="HK161" i="11"/>
  <c r="HH161" i="11"/>
  <c r="HK160" i="11"/>
  <c r="HH160" i="11"/>
  <c r="HK159" i="11"/>
  <c r="HH159" i="11"/>
  <c r="HK158" i="11"/>
  <c r="HH158" i="11"/>
  <c r="HK157" i="11"/>
  <c r="HH157" i="11"/>
  <c r="HK156" i="11"/>
  <c r="HH156" i="11"/>
  <c r="HK155" i="11"/>
  <c r="HH155" i="11"/>
  <c r="HK154" i="11"/>
  <c r="HH154" i="11"/>
  <c r="HK153" i="11"/>
  <c r="HH153" i="11"/>
  <c r="HK152" i="11"/>
  <c r="HH152" i="11"/>
  <c r="HK151" i="11"/>
  <c r="HH151" i="11"/>
  <c r="HK150" i="11"/>
  <c r="HH150" i="11"/>
  <c r="HK149" i="11"/>
  <c r="HH149" i="11"/>
  <c r="HK148" i="11"/>
  <c r="HH148" i="11"/>
  <c r="HK147" i="11"/>
  <c r="HH147" i="11"/>
  <c r="HK146" i="11"/>
  <c r="HH146" i="11"/>
  <c r="HK145" i="11"/>
  <c r="HH145" i="11"/>
  <c r="HK144" i="11"/>
  <c r="HH144" i="11"/>
  <c r="HK143" i="11"/>
  <c r="HH143" i="11"/>
  <c r="HK142" i="11"/>
  <c r="HH142" i="11"/>
  <c r="HK141" i="11"/>
  <c r="HH141" i="11"/>
  <c r="HK140" i="11"/>
  <c r="HH140" i="11"/>
  <c r="HK139" i="11"/>
  <c r="HH139" i="11"/>
  <c r="HK138" i="11"/>
  <c r="HH138" i="11"/>
  <c r="HK137" i="11"/>
  <c r="HH137" i="11"/>
  <c r="HK136" i="11"/>
  <c r="HH136" i="11"/>
  <c r="HK135" i="11"/>
  <c r="HH135" i="11"/>
  <c r="HK134" i="11"/>
  <c r="HH134" i="11"/>
  <c r="HK133" i="11"/>
  <c r="HH133" i="11"/>
  <c r="HK132" i="11"/>
  <c r="HH132" i="11"/>
  <c r="HK131" i="11"/>
  <c r="HH131" i="11"/>
  <c r="HK130" i="11"/>
  <c r="HH130" i="11"/>
  <c r="HK129" i="11"/>
  <c r="HH129" i="11"/>
  <c r="HK128" i="11"/>
  <c r="HH128" i="11"/>
  <c r="HK127" i="11"/>
  <c r="HH127" i="11"/>
  <c r="HK126" i="11"/>
  <c r="HH126" i="11"/>
  <c r="HK125" i="11"/>
  <c r="HH125" i="11"/>
  <c r="HK124" i="11"/>
  <c r="HH124" i="11"/>
  <c r="HK123" i="11"/>
  <c r="HH123" i="11"/>
  <c r="HK122" i="11"/>
  <c r="HH122" i="11"/>
  <c r="HK121" i="11"/>
  <c r="HH121" i="11"/>
  <c r="HK120" i="11"/>
  <c r="HH120" i="11"/>
  <c r="HK119" i="11"/>
  <c r="HH119" i="11"/>
  <c r="HK118" i="11"/>
  <c r="HH118" i="11"/>
  <c r="HK117" i="11"/>
  <c r="HH117" i="11"/>
  <c r="HK116" i="11"/>
  <c r="HH116" i="11"/>
  <c r="HK115" i="11"/>
  <c r="HH115" i="11"/>
  <c r="HK114" i="11"/>
  <c r="HH114" i="11"/>
  <c r="HK113" i="11"/>
  <c r="HH113" i="11"/>
  <c r="HK112" i="11"/>
  <c r="HH112" i="11"/>
  <c r="HK111" i="11"/>
  <c r="HH111" i="11"/>
  <c r="HK110" i="11"/>
  <c r="HH110" i="11"/>
  <c r="HK109" i="11"/>
  <c r="HH109" i="11"/>
  <c r="HK108" i="11"/>
  <c r="HH108" i="11"/>
  <c r="HK107" i="11"/>
  <c r="HH107" i="11"/>
  <c r="HK106" i="11"/>
  <c r="HH106" i="11"/>
  <c r="HK105" i="11"/>
  <c r="HH105" i="11"/>
  <c r="HK104" i="11"/>
  <c r="HH104" i="11"/>
  <c r="HK103" i="11"/>
  <c r="HH103" i="11"/>
  <c r="HK102" i="11"/>
  <c r="HH102" i="11"/>
  <c r="HK101" i="11"/>
  <c r="HH101" i="11"/>
  <c r="HK100" i="11"/>
  <c r="HH100" i="11"/>
  <c r="HK99" i="11"/>
  <c r="HH99" i="11"/>
  <c r="HK98" i="11"/>
  <c r="HH98" i="11"/>
  <c r="HK97" i="11"/>
  <c r="HH97" i="11"/>
  <c r="HK96" i="11"/>
  <c r="HH96" i="11"/>
  <c r="HK95" i="11"/>
  <c r="HH95" i="11"/>
  <c r="HK94" i="11"/>
  <c r="HH94" i="11"/>
  <c r="HK93" i="11"/>
  <c r="HH93" i="11"/>
  <c r="HK92" i="11"/>
  <c r="HH92" i="11"/>
  <c r="HK91" i="11"/>
  <c r="HH91" i="11"/>
  <c r="HK90" i="11"/>
  <c r="HH90" i="11"/>
  <c r="HK89" i="11"/>
  <c r="HH89" i="11"/>
  <c r="HK88" i="11"/>
  <c r="HH88" i="11"/>
  <c r="HL85" i="11"/>
  <c r="HI85" i="11"/>
  <c r="HN84" i="11"/>
  <c r="HK84" i="11"/>
  <c r="HN83" i="11"/>
  <c r="HK83" i="11"/>
  <c r="HN82" i="11"/>
  <c r="HK82" i="11"/>
  <c r="HN81" i="11"/>
  <c r="HK81" i="11"/>
  <c r="HN80" i="11"/>
  <c r="HK80" i="11"/>
  <c r="HN79" i="11"/>
  <c r="HK79" i="11"/>
  <c r="HN78" i="11"/>
  <c r="HK78" i="11"/>
  <c r="HN77" i="11"/>
  <c r="HK77" i="11"/>
  <c r="HN76" i="11"/>
  <c r="HK76" i="11"/>
  <c r="HN75" i="11"/>
  <c r="HK75" i="11"/>
  <c r="HK74" i="11"/>
  <c r="HH74" i="11"/>
  <c r="HK73" i="11"/>
  <c r="HH73" i="11"/>
  <c r="HK72" i="11"/>
  <c r="HH72" i="11"/>
  <c r="HK71" i="11"/>
  <c r="HH71" i="11"/>
  <c r="HK70" i="11"/>
  <c r="HH70" i="11"/>
  <c r="HK69" i="11"/>
  <c r="HH69" i="11"/>
  <c r="HK68" i="11"/>
  <c r="HH68" i="11"/>
  <c r="HK67" i="11"/>
  <c r="HH67" i="11"/>
  <c r="HK66" i="11"/>
  <c r="HH66" i="11"/>
  <c r="HK65" i="11"/>
  <c r="HH65" i="11"/>
  <c r="HK64" i="11"/>
  <c r="HH64" i="11"/>
  <c r="HK63" i="11"/>
  <c r="HH63" i="11"/>
  <c r="HK62" i="11"/>
  <c r="HH62" i="11"/>
  <c r="HK61" i="11"/>
  <c r="HH61" i="11"/>
  <c r="HK60" i="11"/>
  <c r="HH60" i="11"/>
  <c r="HK59" i="11"/>
  <c r="HH59" i="11"/>
  <c r="HK58" i="11"/>
  <c r="HH58" i="11"/>
  <c r="HK57" i="11"/>
  <c r="HH57" i="11"/>
  <c r="HK56" i="11"/>
  <c r="HH56" i="11"/>
  <c r="HK55" i="11"/>
  <c r="HH55" i="11"/>
  <c r="HK54" i="11"/>
  <c r="HH54" i="11"/>
  <c r="HK53" i="11"/>
  <c r="HH53" i="11"/>
  <c r="HK52" i="11"/>
  <c r="HH52" i="11"/>
  <c r="HK51" i="11"/>
  <c r="HH51" i="11"/>
  <c r="HK50" i="11"/>
  <c r="HH50" i="11"/>
  <c r="HK49" i="11"/>
  <c r="HH49" i="11"/>
  <c r="HK48" i="11"/>
  <c r="HH48" i="11"/>
  <c r="HK47" i="11"/>
  <c r="HH47" i="11"/>
  <c r="HK46" i="11"/>
  <c r="HH46" i="11"/>
  <c r="HK45" i="11"/>
  <c r="HH45" i="11"/>
  <c r="HK44" i="11"/>
  <c r="HH44" i="11"/>
  <c r="HK43" i="11"/>
  <c r="HH43" i="11"/>
  <c r="HK42" i="11"/>
  <c r="HH42" i="11"/>
  <c r="HK41" i="11"/>
  <c r="HH41" i="11"/>
  <c r="HK40" i="11"/>
  <c r="HH40" i="11"/>
  <c r="HK39" i="11"/>
  <c r="HH39" i="11"/>
  <c r="HK38" i="11"/>
  <c r="HH38" i="11"/>
  <c r="HK37" i="11"/>
  <c r="HH37" i="11"/>
  <c r="HD37" i="11"/>
  <c r="HC37" i="11"/>
  <c r="HB37" i="11"/>
  <c r="HA37" i="11"/>
  <c r="GZ37" i="11"/>
  <c r="HK36" i="11"/>
  <c r="HH36" i="11"/>
  <c r="HD36" i="11"/>
  <c r="HC36" i="11"/>
  <c r="HB36" i="11"/>
  <c r="HA36" i="11"/>
  <c r="GZ36" i="11"/>
  <c r="HK35" i="11"/>
  <c r="HH35" i="11"/>
  <c r="HK34" i="11"/>
  <c r="HH34" i="11"/>
  <c r="HK33" i="11"/>
  <c r="HH33" i="11"/>
  <c r="HK32" i="11"/>
  <c r="HH32" i="11"/>
  <c r="HK31" i="11"/>
  <c r="HH31" i="11"/>
  <c r="HK30" i="11"/>
  <c r="HH30" i="11"/>
  <c r="HK29" i="11"/>
  <c r="HH29" i="11"/>
  <c r="HK28" i="11"/>
  <c r="HH28" i="11"/>
  <c r="HK27" i="11"/>
  <c r="HH27" i="11"/>
  <c r="HK26" i="11"/>
  <c r="HH26" i="11"/>
  <c r="HK25" i="11"/>
  <c r="HH25" i="11"/>
  <c r="HK24" i="11"/>
  <c r="HH24" i="11"/>
  <c r="HK23" i="11"/>
  <c r="HH23" i="11"/>
  <c r="HK22" i="11"/>
  <c r="HH22" i="11"/>
  <c r="HK21" i="11"/>
  <c r="HH21" i="11"/>
  <c r="HK20" i="11"/>
  <c r="HH20" i="11"/>
  <c r="HK19" i="11"/>
  <c r="HH19" i="11"/>
  <c r="HK18" i="11"/>
  <c r="HH18" i="11"/>
  <c r="HK17" i="11"/>
  <c r="HH17" i="11"/>
  <c r="HK16" i="11"/>
  <c r="HH16" i="11"/>
  <c r="HD16" i="11"/>
  <c r="HC16" i="11"/>
  <c r="HB16" i="11"/>
  <c r="HA16" i="11"/>
  <c r="GZ16" i="11"/>
  <c r="HK15" i="11"/>
  <c r="HH15" i="11"/>
  <c r="HD15" i="11"/>
  <c r="HC15" i="11"/>
  <c r="HB15" i="11"/>
  <c r="HA15" i="11"/>
  <c r="GZ15" i="11"/>
  <c r="HK14" i="11"/>
  <c r="HH14" i="11"/>
  <c r="HK13" i="11"/>
  <c r="HH13" i="11"/>
  <c r="HK12" i="11"/>
  <c r="B5" i="10"/>
  <c r="AI5" i="10" s="1"/>
  <c r="B3" i="10"/>
  <c r="AJ3" i="10" s="1"/>
  <c r="B1" i="10"/>
  <c r="AJ1" i="10" s="1"/>
  <c r="F16" i="11"/>
  <c r="F15" i="4" s="1"/>
  <c r="F19" i="11"/>
  <c r="F18" i="4" s="1"/>
  <c r="N5" i="11"/>
  <c r="B8" i="15" s="1"/>
  <c r="A4" i="11"/>
  <c r="K2" i="11" s="1"/>
  <c r="A3" i="11"/>
  <c r="BQ97" i="10" l="1"/>
  <c r="BM97" i="10"/>
  <c r="BI97" i="10"/>
  <c r="BE97" i="10"/>
  <c r="BA97" i="10"/>
  <c r="AW97" i="10"/>
  <c r="AS97" i="10"/>
  <c r="AO97" i="10"/>
  <c r="AK97" i="10"/>
  <c r="AG97" i="10"/>
  <c r="AC97" i="10"/>
  <c r="Y97" i="10"/>
  <c r="U97" i="10"/>
  <c r="Q97" i="10"/>
  <c r="M97" i="10"/>
  <c r="I97" i="10"/>
  <c r="E97" i="10"/>
  <c r="AY97" i="10"/>
  <c r="AM97" i="10"/>
  <c r="AA97" i="10"/>
  <c r="S97" i="10"/>
  <c r="K97" i="10"/>
  <c r="BR97" i="10"/>
  <c r="BN97" i="10"/>
  <c r="BJ97" i="10"/>
  <c r="BF97" i="10"/>
  <c r="BB97" i="10"/>
  <c r="AT97" i="10"/>
  <c r="AP97" i="10"/>
  <c r="AH97" i="10"/>
  <c r="Z97" i="10"/>
  <c r="N97" i="10"/>
  <c r="F97" i="10"/>
  <c r="BT97" i="10"/>
  <c r="BP97" i="10"/>
  <c r="BL97" i="10"/>
  <c r="BH97" i="10"/>
  <c r="BD97" i="10"/>
  <c r="AZ97" i="10"/>
  <c r="AV97" i="10"/>
  <c r="AR97" i="10"/>
  <c r="AN97" i="10"/>
  <c r="AJ97" i="10"/>
  <c r="AF97" i="10"/>
  <c r="AB97" i="10"/>
  <c r="X97" i="10"/>
  <c r="T97" i="10"/>
  <c r="P97" i="10"/>
  <c r="P98" i="10" s="1"/>
  <c r="L97" i="10"/>
  <c r="H97" i="10"/>
  <c r="D97" i="10"/>
  <c r="BS97" i="10"/>
  <c r="BO97" i="10"/>
  <c r="BK97" i="10"/>
  <c r="BG97" i="10"/>
  <c r="BC97" i="10"/>
  <c r="AU97" i="10"/>
  <c r="AQ97" i="10"/>
  <c r="AI97" i="10"/>
  <c r="AE97" i="10"/>
  <c r="W97" i="10"/>
  <c r="O97" i="10"/>
  <c r="G97" i="10"/>
  <c r="AX97" i="10"/>
  <c r="AL97" i="10"/>
  <c r="AD97" i="10"/>
  <c r="V97" i="10"/>
  <c r="R97" i="10"/>
  <c r="R98" i="10" s="1"/>
  <c r="J97" i="10"/>
  <c r="M52" i="11"/>
  <c r="M44" i="4" s="1"/>
  <c r="N52" i="11"/>
  <c r="N44" i="4" s="1"/>
  <c r="N41" i="11"/>
  <c r="N35" i="4" s="1"/>
  <c r="G32" i="10"/>
  <c r="B5" i="11"/>
  <c r="N31" i="11"/>
  <c r="M41" i="11"/>
  <c r="M35" i="4" s="1"/>
  <c r="N17" i="11"/>
  <c r="N16" i="4" s="1"/>
  <c r="M31" i="11"/>
  <c r="M17" i="11"/>
  <c r="M16" i="4" s="1"/>
  <c r="GY36" i="11"/>
  <c r="S32" i="10"/>
  <c r="W32" i="10"/>
  <c r="I3" i="10"/>
  <c r="K22" i="10"/>
  <c r="O22" i="10"/>
  <c r="C97" i="10"/>
  <c r="C98" i="10" s="1"/>
  <c r="N14" i="10"/>
  <c r="C32" i="10"/>
  <c r="AI32" i="10"/>
  <c r="AA22" i="10"/>
  <c r="AL22" i="10"/>
  <c r="AE22" i="10"/>
  <c r="J12" i="10"/>
  <c r="R12" i="10"/>
  <c r="AD12" i="10"/>
  <c r="I12" i="10"/>
  <c r="Q12" i="10"/>
  <c r="Y12" i="10"/>
  <c r="E12" i="10"/>
  <c r="M12" i="10"/>
  <c r="U12" i="10"/>
  <c r="AG12" i="10"/>
  <c r="F12" i="10"/>
  <c r="N12" i="10"/>
  <c r="V12" i="10"/>
  <c r="AK12" i="10"/>
  <c r="AD14" i="10"/>
  <c r="AC12" i="10"/>
  <c r="AL12" i="10"/>
  <c r="F14" i="10"/>
  <c r="AL14" i="10"/>
  <c r="Z12" i="10"/>
  <c r="AH12" i="10"/>
  <c r="K32" i="10"/>
  <c r="AA32" i="10"/>
  <c r="AL32" i="10"/>
  <c r="O32" i="10"/>
  <c r="C22" i="10"/>
  <c r="C23" i="10" s="1"/>
  <c r="S22" i="10"/>
  <c r="AI22" i="10"/>
  <c r="G22" i="10"/>
  <c r="C12" i="10"/>
  <c r="C13" i="10" s="1"/>
  <c r="G12" i="10"/>
  <c r="K12" i="10"/>
  <c r="O12" i="10"/>
  <c r="S12" i="10"/>
  <c r="W12" i="10"/>
  <c r="AA12" i="10"/>
  <c r="AE12" i="10"/>
  <c r="AI12" i="10"/>
  <c r="D12" i="10"/>
  <c r="H12" i="10"/>
  <c r="L12" i="10"/>
  <c r="P12" i="10"/>
  <c r="T12" i="10"/>
  <c r="X12" i="10"/>
  <c r="AB12" i="10"/>
  <c r="AF12" i="10"/>
  <c r="AK34" i="10"/>
  <c r="AG34" i="10"/>
  <c r="AC34" i="10"/>
  <c r="Y34" i="10"/>
  <c r="U34" i="10"/>
  <c r="Q34" i="10"/>
  <c r="M34" i="10"/>
  <c r="I34" i="10"/>
  <c r="E34" i="10"/>
  <c r="AH34" i="10"/>
  <c r="AD34" i="10"/>
  <c r="V34" i="10"/>
  <c r="J34" i="10"/>
  <c r="AJ34" i="10"/>
  <c r="AF34" i="10"/>
  <c r="AB34" i="10"/>
  <c r="X34" i="10"/>
  <c r="T34" i="10"/>
  <c r="P34" i="10"/>
  <c r="L34" i="10"/>
  <c r="H34" i="10"/>
  <c r="D34" i="10"/>
  <c r="AL34" i="10"/>
  <c r="Z34" i="10"/>
  <c r="R34" i="10"/>
  <c r="N34" i="10"/>
  <c r="F34" i="10"/>
  <c r="AI34" i="10"/>
  <c r="AE34" i="10"/>
  <c r="AA34" i="10"/>
  <c r="W34" i="10"/>
  <c r="S34" i="10"/>
  <c r="O34" i="10"/>
  <c r="K34" i="10"/>
  <c r="G34" i="10"/>
  <c r="C34" i="10"/>
  <c r="D32" i="10"/>
  <c r="H32" i="10"/>
  <c r="L32" i="10"/>
  <c r="P32" i="10"/>
  <c r="T32" i="10"/>
  <c r="X32" i="10"/>
  <c r="AB32" i="10"/>
  <c r="AF32" i="10"/>
  <c r="AJ32" i="10"/>
  <c r="C36" i="10"/>
  <c r="G36" i="10"/>
  <c r="K36" i="10"/>
  <c r="O36" i="10"/>
  <c r="S36" i="10"/>
  <c r="W36" i="10"/>
  <c r="AA36" i="10"/>
  <c r="AE36" i="10"/>
  <c r="AI36" i="10"/>
  <c r="J36" i="10"/>
  <c r="R36" i="10"/>
  <c r="Z36" i="10"/>
  <c r="AH36" i="10"/>
  <c r="E32" i="10"/>
  <c r="I32" i="10"/>
  <c r="M32" i="10"/>
  <c r="Q32" i="10"/>
  <c r="U32" i="10"/>
  <c r="Y32" i="10"/>
  <c r="AC32" i="10"/>
  <c r="AG32" i="10"/>
  <c r="AK32" i="10"/>
  <c r="D36" i="10"/>
  <c r="H36" i="10"/>
  <c r="L36" i="10"/>
  <c r="P36" i="10"/>
  <c r="T36" i="10"/>
  <c r="X36" i="10"/>
  <c r="AB36" i="10"/>
  <c r="AF36" i="10"/>
  <c r="AJ36" i="10"/>
  <c r="F36" i="10"/>
  <c r="N36" i="10"/>
  <c r="V36" i="10"/>
  <c r="AD36" i="10"/>
  <c r="AL36" i="10"/>
  <c r="F32" i="10"/>
  <c r="J32" i="10"/>
  <c r="N32" i="10"/>
  <c r="R32" i="10"/>
  <c r="V32" i="10"/>
  <c r="Z32" i="10"/>
  <c r="AD32" i="10"/>
  <c r="AH32" i="10"/>
  <c r="E36" i="10"/>
  <c r="I36" i="10"/>
  <c r="M36" i="10"/>
  <c r="Q36" i="10"/>
  <c r="U36" i="10"/>
  <c r="Y36" i="10"/>
  <c r="AC36" i="10"/>
  <c r="AG36" i="10"/>
  <c r="F24" i="10"/>
  <c r="N24" i="10"/>
  <c r="Z24" i="10"/>
  <c r="AL24" i="10"/>
  <c r="F26" i="10"/>
  <c r="N26" i="10"/>
  <c r="V26" i="10"/>
  <c r="AD26" i="10"/>
  <c r="AL26" i="10"/>
  <c r="D22" i="10"/>
  <c r="H22" i="10"/>
  <c r="L22" i="10"/>
  <c r="P22" i="10"/>
  <c r="T22" i="10"/>
  <c r="X22" i="10"/>
  <c r="AB22" i="10"/>
  <c r="AF22" i="10"/>
  <c r="AJ22" i="10"/>
  <c r="C24" i="10"/>
  <c r="G24" i="10"/>
  <c r="K24" i="10"/>
  <c r="O24" i="10"/>
  <c r="S24" i="10"/>
  <c r="W24" i="10"/>
  <c r="AA24" i="10"/>
  <c r="AE24" i="10"/>
  <c r="AI24" i="10"/>
  <c r="C26" i="10"/>
  <c r="G26" i="10"/>
  <c r="K26" i="10"/>
  <c r="O26" i="10"/>
  <c r="S26" i="10"/>
  <c r="W26" i="10"/>
  <c r="AA26" i="10"/>
  <c r="AE26" i="10"/>
  <c r="AI26" i="10"/>
  <c r="J24" i="10"/>
  <c r="V24" i="10"/>
  <c r="E22" i="10"/>
  <c r="I22" i="10"/>
  <c r="M22" i="10"/>
  <c r="Q22" i="10"/>
  <c r="U22" i="10"/>
  <c r="Y22" i="10"/>
  <c r="AC22" i="10"/>
  <c r="AG22" i="10"/>
  <c r="AK22" i="10"/>
  <c r="D24" i="10"/>
  <c r="H24" i="10"/>
  <c r="L24" i="10"/>
  <c r="P24" i="10"/>
  <c r="T24" i="10"/>
  <c r="X24" i="10"/>
  <c r="AB24" i="10"/>
  <c r="AF24" i="10"/>
  <c r="AJ24" i="10"/>
  <c r="D26" i="10"/>
  <c r="H26" i="10"/>
  <c r="L26" i="10"/>
  <c r="P26" i="10"/>
  <c r="T26" i="10"/>
  <c r="X26" i="10"/>
  <c r="AB26" i="10"/>
  <c r="AF26" i="10"/>
  <c r="AJ26" i="10"/>
  <c r="R24" i="10"/>
  <c r="AD24" i="10"/>
  <c r="AH24" i="10"/>
  <c r="J26" i="10"/>
  <c r="R26" i="10"/>
  <c r="Z26" i="10"/>
  <c r="AH26" i="10"/>
  <c r="F22" i="10"/>
  <c r="J22" i="10"/>
  <c r="N22" i="10"/>
  <c r="R22" i="10"/>
  <c r="V22" i="10"/>
  <c r="Z22" i="10"/>
  <c r="AD22" i="10"/>
  <c r="AH22" i="10"/>
  <c r="E24" i="10"/>
  <c r="I24" i="10"/>
  <c r="M24" i="10"/>
  <c r="Q24" i="10"/>
  <c r="U24" i="10"/>
  <c r="Y24" i="10"/>
  <c r="AC24" i="10"/>
  <c r="AG24" i="10"/>
  <c r="E26" i="10"/>
  <c r="I26" i="10"/>
  <c r="M26" i="10"/>
  <c r="Q26" i="10"/>
  <c r="U26" i="10"/>
  <c r="Y26" i="10"/>
  <c r="AC26" i="10"/>
  <c r="AG26" i="10"/>
  <c r="AK14" i="10"/>
  <c r="AG14" i="10"/>
  <c r="AC14" i="10"/>
  <c r="Y14" i="10"/>
  <c r="U14" i="10"/>
  <c r="Q14" i="10"/>
  <c r="M14" i="10"/>
  <c r="I14" i="10"/>
  <c r="E14" i="10"/>
  <c r="AJ14" i="10"/>
  <c r="AF14" i="10"/>
  <c r="AB14" i="10"/>
  <c r="X14" i="10"/>
  <c r="T14" i="10"/>
  <c r="P14" i="10"/>
  <c r="L14" i="10"/>
  <c r="H14" i="10"/>
  <c r="D14" i="10"/>
  <c r="AI14" i="10"/>
  <c r="AE14" i="10"/>
  <c r="AA14" i="10"/>
  <c r="W14" i="10"/>
  <c r="S14" i="10"/>
  <c r="O14" i="10"/>
  <c r="K14" i="10"/>
  <c r="G14" i="10"/>
  <c r="C14" i="10"/>
  <c r="R14" i="10"/>
  <c r="AH14" i="10"/>
  <c r="J14" i="10"/>
  <c r="Z14" i="10"/>
  <c r="F16" i="10"/>
  <c r="J16" i="10"/>
  <c r="N16" i="10"/>
  <c r="R16" i="10"/>
  <c r="V16" i="10"/>
  <c r="Z16" i="10"/>
  <c r="AD16" i="10"/>
  <c r="AH16" i="10"/>
  <c r="AL16" i="10"/>
  <c r="C16" i="10"/>
  <c r="C17" i="10" s="1"/>
  <c r="G16" i="10"/>
  <c r="K16" i="10"/>
  <c r="O16" i="10"/>
  <c r="S16" i="10"/>
  <c r="W16" i="10"/>
  <c r="AA16" i="10"/>
  <c r="AE16" i="10"/>
  <c r="AI16" i="10"/>
  <c r="D16" i="10"/>
  <c r="H16" i="10"/>
  <c r="L16" i="10"/>
  <c r="P16" i="10"/>
  <c r="T16" i="10"/>
  <c r="X16" i="10"/>
  <c r="AB16" i="10"/>
  <c r="AF16" i="10"/>
  <c r="AJ16" i="10"/>
  <c r="E16" i="10"/>
  <c r="I16" i="10"/>
  <c r="M16" i="10"/>
  <c r="Q16" i="10"/>
  <c r="U16" i="10"/>
  <c r="Y16" i="10"/>
  <c r="AC16" i="10"/>
  <c r="AG16" i="10"/>
  <c r="D5" i="10"/>
  <c r="W5" i="10"/>
  <c r="S1" i="10"/>
  <c r="G5" i="10"/>
  <c r="Y5" i="10"/>
  <c r="C5" i="10"/>
  <c r="M5" i="10"/>
  <c r="AG5" i="10"/>
  <c r="O5" i="10"/>
  <c r="AK5" i="10"/>
  <c r="AD3" i="10"/>
  <c r="L5" i="10"/>
  <c r="T5" i="10"/>
  <c r="AC5" i="10"/>
  <c r="S3" i="10"/>
  <c r="H5" i="10"/>
  <c r="S5" i="10"/>
  <c r="AB5" i="10"/>
  <c r="GY15" i="11"/>
  <c r="C3" i="10"/>
  <c r="M3" i="10"/>
  <c r="W3" i="10"/>
  <c r="AH3" i="10"/>
  <c r="N3" i="10"/>
  <c r="Y3" i="10"/>
  <c r="AI3" i="10"/>
  <c r="G3" i="10"/>
  <c r="R3" i="10"/>
  <c r="AC3" i="10"/>
  <c r="C2" i="11"/>
  <c r="G2" i="11"/>
  <c r="I2" i="11"/>
  <c r="N1" i="10"/>
  <c r="E3" i="10"/>
  <c r="J3" i="10"/>
  <c r="O3" i="10"/>
  <c r="U3" i="10"/>
  <c r="Z3" i="10"/>
  <c r="AE3" i="10"/>
  <c r="AK3" i="10"/>
  <c r="F3" i="10"/>
  <c r="K3" i="10"/>
  <c r="Q3" i="10"/>
  <c r="V3" i="10"/>
  <c r="AA3" i="10"/>
  <c r="AG3" i="10"/>
  <c r="AL3" i="10"/>
  <c r="I5" i="10"/>
  <c r="Q5" i="10"/>
  <c r="X5" i="10"/>
  <c r="AE5" i="10"/>
  <c r="Y1" i="10"/>
  <c r="AI1" i="10"/>
  <c r="C1" i="10"/>
  <c r="I1" i="10"/>
  <c r="AD1" i="10"/>
  <c r="D3" i="10"/>
  <c r="H3" i="10"/>
  <c r="L3" i="10"/>
  <c r="P3" i="10"/>
  <c r="T3" i="10"/>
  <c r="X3" i="10"/>
  <c r="AB3" i="10"/>
  <c r="AF3" i="10"/>
  <c r="E5" i="10"/>
  <c r="K5" i="10"/>
  <c r="P5" i="10"/>
  <c r="U5" i="10"/>
  <c r="AA5" i="10"/>
  <c r="AF5" i="10"/>
  <c r="F5" i="10"/>
  <c r="F6" i="10" s="1"/>
  <c r="J5" i="10"/>
  <c r="N5" i="10"/>
  <c r="R5" i="10"/>
  <c r="V5" i="10"/>
  <c r="Z5" i="10"/>
  <c r="AD5" i="10"/>
  <c r="AJ5" i="10"/>
  <c r="F1" i="10"/>
  <c r="K1" i="10"/>
  <c r="Q1" i="10"/>
  <c r="V1" i="10"/>
  <c r="AA1" i="10"/>
  <c r="AG1" i="10"/>
  <c r="AL1" i="10"/>
  <c r="E1" i="10"/>
  <c r="J1" i="10"/>
  <c r="O1" i="10"/>
  <c r="U1" i="10"/>
  <c r="Z1" i="10"/>
  <c r="AE1" i="10"/>
  <c r="AK1" i="10"/>
  <c r="G1" i="10"/>
  <c r="M1" i="10"/>
  <c r="R1" i="10"/>
  <c r="W1" i="10"/>
  <c r="AC1" i="10"/>
  <c r="AH1" i="10"/>
  <c r="AH5" i="10"/>
  <c r="D1" i="10"/>
  <c r="H1" i="10"/>
  <c r="L1" i="10"/>
  <c r="P1" i="10"/>
  <c r="T1" i="10"/>
  <c r="X1" i="10"/>
  <c r="AB1" i="10"/>
  <c r="AF1" i="10"/>
  <c r="AL5" i="10"/>
  <c r="L2" i="11"/>
  <c r="D2" i="11"/>
  <c r="J2" i="11"/>
  <c r="F2" i="11"/>
  <c r="BG40" i="8"/>
  <c r="BG41" i="8"/>
  <c r="BG42" i="8"/>
  <c r="BG43" i="8"/>
  <c r="BG44" i="8"/>
  <c r="BG45" i="8"/>
  <c r="BG46" i="8"/>
  <c r="BG47" i="8"/>
  <c r="BG48" i="8"/>
  <c r="BG49" i="8"/>
  <c r="BG50" i="8"/>
  <c r="BG51" i="8"/>
  <c r="BG52" i="8"/>
  <c r="BG53" i="8"/>
  <c r="BG54" i="8"/>
  <c r="BG55" i="8"/>
  <c r="BG56" i="8"/>
  <c r="BG57" i="8"/>
  <c r="BG58" i="8"/>
  <c r="BG59" i="8"/>
  <c r="E27" i="10" l="1"/>
  <c r="J27" i="10"/>
  <c r="J17" i="10"/>
  <c r="F23" i="10"/>
  <c r="D27" i="10"/>
  <c r="AV29" i="10" s="1"/>
  <c r="G27" i="10"/>
  <c r="F27" i="10"/>
  <c r="H13" i="10"/>
  <c r="I13" i="10"/>
  <c r="AX98" i="10"/>
  <c r="AE98" i="10"/>
  <c r="BC98" i="10"/>
  <c r="BS98" i="10"/>
  <c r="AF98" i="10"/>
  <c r="AV98" i="10"/>
  <c r="F98" i="10"/>
  <c r="C5" i="11"/>
  <c r="E23" i="10"/>
  <c r="H23" i="10"/>
  <c r="J6" i="10"/>
  <c r="I6" i="10"/>
  <c r="I27" i="10"/>
  <c r="H27" i="10"/>
  <c r="K27" i="10"/>
  <c r="G23" i="10"/>
  <c r="I17" i="10"/>
  <c r="F17" i="10"/>
  <c r="I23" i="10"/>
  <c r="G13" i="10"/>
  <c r="F13" i="10"/>
  <c r="E13" i="10"/>
  <c r="E17" i="10"/>
  <c r="H17" i="10"/>
  <c r="K17" i="10"/>
  <c r="H6" i="10"/>
  <c r="G6" i="10"/>
  <c r="G17" i="10"/>
  <c r="K6" i="10"/>
  <c r="F37" i="10"/>
  <c r="D33" i="10"/>
  <c r="AX33" i="10" s="1"/>
  <c r="E35" i="10"/>
  <c r="H2" i="10"/>
  <c r="AT98" i="10"/>
  <c r="D25" i="10"/>
  <c r="G25" i="10"/>
  <c r="H37" i="10"/>
  <c r="H35" i="10"/>
  <c r="AO98" i="10"/>
  <c r="K37" i="10"/>
  <c r="N98" i="10"/>
  <c r="AA98" i="10"/>
  <c r="BE98" i="10"/>
  <c r="D37" i="10"/>
  <c r="V98" i="10"/>
  <c r="AI98" i="10"/>
  <c r="BG98" i="10"/>
  <c r="AJ98" i="10"/>
  <c r="AZ98" i="10"/>
  <c r="BP98" i="10"/>
  <c r="Z98" i="10"/>
  <c r="BB98" i="10"/>
  <c r="BR98" i="10"/>
  <c r="AM98" i="10"/>
  <c r="AC98" i="10"/>
  <c r="AS98" i="10"/>
  <c r="BI98" i="10"/>
  <c r="I37" i="10"/>
  <c r="E33" i="10"/>
  <c r="AY33" i="10" s="1"/>
  <c r="J37" i="10"/>
  <c r="G37" i="10"/>
  <c r="G35" i="10"/>
  <c r="F35" i="10"/>
  <c r="AV36" i="10" s="1"/>
  <c r="AD98" i="10"/>
  <c r="O98" i="10"/>
  <c r="AQ98" i="10"/>
  <c r="BK98" i="10"/>
  <c r="X98" i="10"/>
  <c r="AN98" i="10"/>
  <c r="BD98" i="10"/>
  <c r="BT98" i="10"/>
  <c r="AH98" i="10"/>
  <c r="BF98" i="10"/>
  <c r="AY98" i="10"/>
  <c r="Q98" i="10"/>
  <c r="AG98" i="10"/>
  <c r="AW98" i="10"/>
  <c r="BM98" i="10"/>
  <c r="BT102" i="10"/>
  <c r="BL98" i="10"/>
  <c r="G98" i="10" s="1"/>
  <c r="BS102" i="10"/>
  <c r="BP102" i="10"/>
  <c r="BR102" i="10"/>
  <c r="BQ102" i="10"/>
  <c r="BN98" i="10"/>
  <c r="Y98" i="10"/>
  <c r="E25" i="10"/>
  <c r="F25" i="10"/>
  <c r="E37" i="10"/>
  <c r="F33" i="10"/>
  <c r="L37" i="10"/>
  <c r="H33" i="10"/>
  <c r="D35" i="10"/>
  <c r="AY36" i="10" s="1"/>
  <c r="G33" i="10"/>
  <c r="AL98" i="10"/>
  <c r="W98" i="10"/>
  <c r="AU98" i="10"/>
  <c r="BO98" i="10"/>
  <c r="L98" i="10"/>
  <c r="AB98" i="10"/>
  <c r="AR98" i="10"/>
  <c r="BH98" i="10"/>
  <c r="AP98" i="10"/>
  <c r="BJ98" i="10"/>
  <c r="U98" i="10"/>
  <c r="AK98" i="10"/>
  <c r="BA98" i="10"/>
  <c r="BQ98" i="10"/>
  <c r="C33" i="10"/>
  <c r="AX34" i="10"/>
  <c r="AV33" i="10"/>
  <c r="AW34" i="10"/>
  <c r="AU34" i="10"/>
  <c r="AV34" i="10"/>
  <c r="AY34" i="10"/>
  <c r="C37" i="10"/>
  <c r="AV40" i="10"/>
  <c r="AW40" i="10"/>
  <c r="AY40" i="10"/>
  <c r="AU40" i="10"/>
  <c r="AV39" i="10"/>
  <c r="AX40" i="10"/>
  <c r="AY39" i="10"/>
  <c r="AX39" i="10"/>
  <c r="C35" i="10"/>
  <c r="AY37" i="10"/>
  <c r="AU37" i="10"/>
  <c r="AX37" i="10"/>
  <c r="AX36" i="10"/>
  <c r="AW37" i="10"/>
  <c r="AW36" i="10"/>
  <c r="AV37" i="10"/>
  <c r="AY9" i="10"/>
  <c r="AX9" i="10"/>
  <c r="AW9" i="10"/>
  <c r="AV9" i="10"/>
  <c r="AU9" i="10"/>
  <c r="D23" i="10"/>
  <c r="AW24" i="10"/>
  <c r="AV24" i="10"/>
  <c r="AY24" i="10"/>
  <c r="AU24" i="10"/>
  <c r="AX24" i="10"/>
  <c r="AX3" i="10"/>
  <c r="AW3" i="10"/>
  <c r="AU3" i="10"/>
  <c r="AV3" i="10"/>
  <c r="AY3" i="10"/>
  <c r="D13" i="10"/>
  <c r="AV14" i="10"/>
  <c r="AY14" i="10"/>
  <c r="AU14" i="10"/>
  <c r="AW14" i="10"/>
  <c r="AX14" i="10"/>
  <c r="F5" i="11"/>
  <c r="C27" i="10"/>
  <c r="AV30" i="10"/>
  <c r="AY30" i="10"/>
  <c r="AY29" i="10"/>
  <c r="AU30" i="10"/>
  <c r="AX30" i="10"/>
  <c r="AX29" i="10"/>
  <c r="AU29" i="10"/>
  <c r="AW30" i="10"/>
  <c r="C25" i="10"/>
  <c r="AV27" i="10"/>
  <c r="AY27" i="10"/>
  <c r="AY26" i="10"/>
  <c r="AU27" i="10"/>
  <c r="AX27" i="10"/>
  <c r="AX26" i="10"/>
  <c r="BU65" i="10" s="1"/>
  <c r="BV65" i="10" s="1"/>
  <c r="AW27" i="10"/>
  <c r="AW26" i="10"/>
  <c r="C15" i="10"/>
  <c r="AX17" i="10"/>
  <c r="AW17" i="10"/>
  <c r="AY17" i="10"/>
  <c r="AU17" i="10"/>
  <c r="AV17" i="10"/>
  <c r="D17" i="10"/>
  <c r="AX19" i="10" s="1"/>
  <c r="BU21" i="10" s="1"/>
  <c r="BV21" i="10" s="1"/>
  <c r="AV20" i="10"/>
  <c r="AY20" i="10"/>
  <c r="AU20" i="10"/>
  <c r="AW20" i="10"/>
  <c r="AX20" i="10"/>
  <c r="D6" i="10"/>
  <c r="AV8" i="10" s="1"/>
  <c r="AX6" i="10"/>
  <c r="AW6" i="10"/>
  <c r="AU6" i="10"/>
  <c r="AY6" i="10"/>
  <c r="AV6" i="10"/>
  <c r="C6" i="10"/>
  <c r="E6" i="10"/>
  <c r="C4" i="10"/>
  <c r="E2" i="10"/>
  <c r="C2" i="10"/>
  <c r="G2" i="10"/>
  <c r="D2" i="10"/>
  <c r="F2" i="10"/>
  <c r="I3" i="11"/>
  <c r="L3" i="11"/>
  <c r="AY13" i="10" l="1"/>
  <c r="S98" i="10"/>
  <c r="AW23" i="10"/>
  <c r="K98" i="10"/>
  <c r="AU26" i="10"/>
  <c r="AX23" i="10"/>
  <c r="D98" i="10"/>
  <c r="E11" i="11"/>
  <c r="C6" i="11"/>
  <c r="AW29" i="10"/>
  <c r="AT29" i="10" s="1"/>
  <c r="AQ28" i="10" s="1"/>
  <c r="AY23" i="10"/>
  <c r="AX13" i="10"/>
  <c r="AW39" i="10"/>
  <c r="AU39" i="10"/>
  <c r="AZ102" i="10"/>
  <c r="AV19" i="10"/>
  <c r="H98" i="10"/>
  <c r="M98" i="10"/>
  <c r="T98" i="10"/>
  <c r="AW13" i="10"/>
  <c r="AW19" i="10"/>
  <c r="AY19" i="10"/>
  <c r="E98" i="10"/>
  <c r="W102" i="10"/>
  <c r="J98" i="10"/>
  <c r="AQ102" i="10"/>
  <c r="AG102" i="10"/>
  <c r="I98" i="10"/>
  <c r="BH102" i="10"/>
  <c r="AX8" i="10"/>
  <c r="M102" i="10"/>
  <c r="AV23" i="10"/>
  <c r="AY8" i="10"/>
  <c r="BU42" i="10"/>
  <c r="BV42" i="10" s="1"/>
  <c r="F6" i="11"/>
  <c r="H88" i="11" s="1"/>
  <c r="H12" i="15" s="1"/>
  <c r="F11" i="11"/>
  <c r="AU13" i="10"/>
  <c r="AU19" i="10"/>
  <c r="AU8" i="10"/>
  <c r="AX2" i="10"/>
  <c r="AW2" i="10"/>
  <c r="I5" i="11"/>
  <c r="L52" i="11" l="1"/>
  <c r="BV76" i="10" s="1"/>
  <c r="H89" i="11"/>
  <c r="H13" i="15" s="1"/>
  <c r="H90" i="11"/>
  <c r="H14" i="15" s="1"/>
  <c r="G11" i="11"/>
  <c r="N6" i="15" s="1"/>
  <c r="L17" i="11"/>
  <c r="AT39" i="10"/>
  <c r="AQ38" i="10" s="1"/>
  <c r="AJ16" i="11"/>
  <c r="B62" i="11"/>
  <c r="C62" i="11" s="1"/>
  <c r="H4" i="15" s="1"/>
  <c r="AD16" i="11"/>
  <c r="L31" i="11"/>
  <c r="L26" i="4" s="1"/>
  <c r="L41" i="11"/>
  <c r="L35" i="4" s="1"/>
  <c r="E25" i="7"/>
  <c r="E32" i="7"/>
  <c r="Q2" i="11"/>
  <c r="AT19" i="10"/>
  <c r="AQ18" i="10" s="1"/>
  <c r="B68" i="11"/>
  <c r="C68" i="11" s="1"/>
  <c r="H22" i="15" s="1"/>
  <c r="BU98" i="10"/>
  <c r="BV98" i="10" s="1"/>
  <c r="BU102" i="10"/>
  <c r="D30" i="7" s="1"/>
  <c r="E30" i="7" s="1"/>
  <c r="HK378" i="8"/>
  <c r="HH378" i="8"/>
  <c r="HK377" i="8"/>
  <c r="HH377" i="8"/>
  <c r="HK376" i="8"/>
  <c r="HH376" i="8"/>
  <c r="HK375" i="8"/>
  <c r="HH375" i="8"/>
  <c r="HK374" i="8"/>
  <c r="HH374" i="8"/>
  <c r="HK373" i="8"/>
  <c r="HH373" i="8"/>
  <c r="HK372" i="8"/>
  <c r="HH372" i="8"/>
  <c r="HK371" i="8"/>
  <c r="HH371" i="8"/>
  <c r="HK370" i="8"/>
  <c r="HH370" i="8"/>
  <c r="HK369" i="8"/>
  <c r="HH369" i="8"/>
  <c r="HK368" i="8"/>
  <c r="HH368" i="8"/>
  <c r="HK367" i="8"/>
  <c r="HH367" i="8"/>
  <c r="HK366" i="8"/>
  <c r="HH366" i="8"/>
  <c r="HK365" i="8"/>
  <c r="HH365" i="8"/>
  <c r="HK364" i="8"/>
  <c r="HH364" i="8"/>
  <c r="HK363" i="8"/>
  <c r="HH363" i="8"/>
  <c r="HK362" i="8"/>
  <c r="HH362" i="8"/>
  <c r="HK361" i="8"/>
  <c r="HH361" i="8"/>
  <c r="HK360" i="8"/>
  <c r="HH360" i="8"/>
  <c r="HK359" i="8"/>
  <c r="HH359" i="8"/>
  <c r="HK358" i="8"/>
  <c r="HH358" i="8"/>
  <c r="HK357" i="8"/>
  <c r="HH357" i="8"/>
  <c r="HK356" i="8"/>
  <c r="HH356" i="8"/>
  <c r="HK355" i="8"/>
  <c r="HH355" i="8"/>
  <c r="HK354" i="8"/>
  <c r="HH354" i="8"/>
  <c r="HK353" i="8"/>
  <c r="HH353" i="8"/>
  <c r="HK352" i="8"/>
  <c r="HH352" i="8"/>
  <c r="HK351" i="8"/>
  <c r="HH351" i="8"/>
  <c r="HK350" i="8"/>
  <c r="HH350" i="8"/>
  <c r="HK349" i="8"/>
  <c r="HH349" i="8"/>
  <c r="HK348" i="8"/>
  <c r="HH348" i="8"/>
  <c r="HK347" i="8"/>
  <c r="HH347" i="8"/>
  <c r="HK346" i="8"/>
  <c r="HH346" i="8"/>
  <c r="HK345" i="8"/>
  <c r="HH345" i="8"/>
  <c r="HK344" i="8"/>
  <c r="HH344" i="8"/>
  <c r="HK343" i="8"/>
  <c r="HH343" i="8"/>
  <c r="HK342" i="8"/>
  <c r="HH342" i="8"/>
  <c r="HK341" i="8"/>
  <c r="HH341" i="8"/>
  <c r="HK340" i="8"/>
  <c r="HH340" i="8"/>
  <c r="HK339" i="8"/>
  <c r="HH339" i="8"/>
  <c r="HK338" i="8"/>
  <c r="HH338" i="8"/>
  <c r="HK337" i="8"/>
  <c r="HH337" i="8"/>
  <c r="HK336" i="8"/>
  <c r="HH336" i="8"/>
  <c r="HK335" i="8"/>
  <c r="HH335" i="8"/>
  <c r="HK334" i="8"/>
  <c r="HH334" i="8"/>
  <c r="HK333" i="8"/>
  <c r="HH333" i="8"/>
  <c r="HK332" i="8"/>
  <c r="HH332" i="8"/>
  <c r="HK331" i="8"/>
  <c r="HH331" i="8"/>
  <c r="HK330" i="8"/>
  <c r="HH330" i="8"/>
  <c r="HK329" i="8"/>
  <c r="HH329" i="8"/>
  <c r="HK328" i="8"/>
  <c r="HH328" i="8"/>
  <c r="HK327" i="8"/>
  <c r="HH327" i="8"/>
  <c r="HK326" i="8"/>
  <c r="HH326" i="8"/>
  <c r="HK325" i="8"/>
  <c r="HH325" i="8"/>
  <c r="HK324" i="8"/>
  <c r="HH324" i="8"/>
  <c r="HK323" i="8"/>
  <c r="HH323" i="8"/>
  <c r="HK322" i="8"/>
  <c r="HH322" i="8"/>
  <c r="HK321" i="8"/>
  <c r="HH321" i="8"/>
  <c r="HK320" i="8"/>
  <c r="HH320" i="8"/>
  <c r="HK319" i="8"/>
  <c r="HH319" i="8"/>
  <c r="HK318" i="8"/>
  <c r="HH318" i="8"/>
  <c r="HK317" i="8"/>
  <c r="HH317" i="8"/>
  <c r="HK316" i="8"/>
  <c r="HH316" i="8"/>
  <c r="HK315" i="8"/>
  <c r="HH315" i="8"/>
  <c r="HK314" i="8"/>
  <c r="HH314" i="8"/>
  <c r="HK313" i="8"/>
  <c r="HH313" i="8"/>
  <c r="HK312" i="8"/>
  <c r="HH312" i="8"/>
  <c r="HK311" i="8"/>
  <c r="HH311" i="8"/>
  <c r="HK310" i="8"/>
  <c r="HH310" i="8"/>
  <c r="HK309" i="8"/>
  <c r="HH309" i="8"/>
  <c r="HK308" i="8"/>
  <c r="HH308" i="8"/>
  <c r="HK307" i="8"/>
  <c r="HH307" i="8"/>
  <c r="HK306" i="8"/>
  <c r="HH306" i="8"/>
  <c r="HK305" i="8"/>
  <c r="HH305" i="8"/>
  <c r="HK304" i="8"/>
  <c r="HH304" i="8"/>
  <c r="HK303" i="8"/>
  <c r="HH303" i="8"/>
  <c r="HK302" i="8"/>
  <c r="HH302" i="8"/>
  <c r="HK301" i="8"/>
  <c r="HH301" i="8"/>
  <c r="HK300" i="8"/>
  <c r="HH300" i="8"/>
  <c r="HK299" i="8"/>
  <c r="HH299" i="8"/>
  <c r="HK298" i="8"/>
  <c r="HH298" i="8"/>
  <c r="HK297" i="8"/>
  <c r="HH297" i="8"/>
  <c r="HK296" i="8"/>
  <c r="HH296" i="8"/>
  <c r="HK295" i="8"/>
  <c r="HH295" i="8"/>
  <c r="HK294" i="8"/>
  <c r="HH294" i="8"/>
  <c r="HK293" i="8"/>
  <c r="HH293" i="8"/>
  <c r="HK292" i="8"/>
  <c r="HH292" i="8"/>
  <c r="HK291" i="8"/>
  <c r="HH291" i="8"/>
  <c r="HK290" i="8"/>
  <c r="HH290" i="8"/>
  <c r="HK289" i="8"/>
  <c r="HH289" i="8"/>
  <c r="HK288" i="8"/>
  <c r="HH288" i="8"/>
  <c r="HK287" i="8"/>
  <c r="HH287" i="8"/>
  <c r="HK286" i="8"/>
  <c r="HH286" i="8"/>
  <c r="HK285" i="8"/>
  <c r="HH285" i="8"/>
  <c r="HK284" i="8"/>
  <c r="HH284" i="8"/>
  <c r="HK283" i="8"/>
  <c r="HH283" i="8"/>
  <c r="HK282" i="8"/>
  <c r="HH282" i="8"/>
  <c r="HK281" i="8"/>
  <c r="HH281" i="8"/>
  <c r="HK280" i="8"/>
  <c r="HH280" i="8"/>
  <c r="HK279" i="8"/>
  <c r="HH279" i="8"/>
  <c r="HK278" i="8"/>
  <c r="HH278" i="8"/>
  <c r="HK277" i="8"/>
  <c r="HH277" i="8"/>
  <c r="HK276" i="8"/>
  <c r="HH276" i="8"/>
  <c r="HK275" i="8"/>
  <c r="HH275" i="8"/>
  <c r="HK274" i="8"/>
  <c r="HH274" i="8"/>
  <c r="HK273" i="8"/>
  <c r="HH273" i="8"/>
  <c r="HK272" i="8"/>
  <c r="HH272" i="8"/>
  <c r="HK271" i="8"/>
  <c r="HH271" i="8"/>
  <c r="HK270" i="8"/>
  <c r="HH270" i="8"/>
  <c r="HK269" i="8"/>
  <c r="HH269" i="8"/>
  <c r="HK268" i="8"/>
  <c r="HH268" i="8"/>
  <c r="HK267" i="8"/>
  <c r="HH267" i="8"/>
  <c r="HK266" i="8"/>
  <c r="HH266" i="8"/>
  <c r="HK265" i="8"/>
  <c r="HH265" i="8"/>
  <c r="HK264" i="8"/>
  <c r="HH264" i="8"/>
  <c r="HK263" i="8"/>
  <c r="HH263" i="8"/>
  <c r="HK262" i="8"/>
  <c r="HH262" i="8"/>
  <c r="HK261" i="8"/>
  <c r="HH261" i="8"/>
  <c r="HK260" i="8"/>
  <c r="HH260" i="8"/>
  <c r="HK259" i="8"/>
  <c r="HH259" i="8"/>
  <c r="HK258" i="8"/>
  <c r="HH258" i="8"/>
  <c r="HK257" i="8"/>
  <c r="HH257" i="8"/>
  <c r="HK256" i="8"/>
  <c r="HH256" i="8"/>
  <c r="HK255" i="8"/>
  <c r="HH255" i="8"/>
  <c r="HK254" i="8"/>
  <c r="HH254" i="8"/>
  <c r="HK253" i="8"/>
  <c r="HH253" i="8"/>
  <c r="HK252" i="8"/>
  <c r="HH252" i="8"/>
  <c r="HK251" i="8"/>
  <c r="HH251" i="8"/>
  <c r="HK250" i="8"/>
  <c r="HH250" i="8"/>
  <c r="HK249" i="8"/>
  <c r="HH249" i="8"/>
  <c r="HK248" i="8"/>
  <c r="HH248" i="8"/>
  <c r="HK247" i="8"/>
  <c r="HH247" i="8"/>
  <c r="HK246" i="8"/>
  <c r="HH246" i="8"/>
  <c r="HK245" i="8"/>
  <c r="HH245" i="8"/>
  <c r="HK244" i="8"/>
  <c r="HH244" i="8"/>
  <c r="HK243" i="8"/>
  <c r="HH243" i="8"/>
  <c r="HK242" i="8"/>
  <c r="HH242" i="8"/>
  <c r="HK241" i="8"/>
  <c r="HH241" i="8"/>
  <c r="HK240" i="8"/>
  <c r="HH240" i="8"/>
  <c r="HK239" i="8"/>
  <c r="HH239" i="8"/>
  <c r="HK238" i="8"/>
  <c r="HH238" i="8"/>
  <c r="HK237" i="8"/>
  <c r="HH237" i="8"/>
  <c r="HK236" i="8"/>
  <c r="HH236" i="8"/>
  <c r="HK235" i="8"/>
  <c r="HH235" i="8"/>
  <c r="HK234" i="8"/>
  <c r="HH234" i="8"/>
  <c r="HK233" i="8"/>
  <c r="HH233" i="8"/>
  <c r="HK232" i="8"/>
  <c r="HH232" i="8"/>
  <c r="HK231" i="8"/>
  <c r="HH231" i="8"/>
  <c r="HK230" i="8"/>
  <c r="HH230" i="8"/>
  <c r="HK229" i="8"/>
  <c r="HH229" i="8"/>
  <c r="HK228" i="8"/>
  <c r="HH228" i="8"/>
  <c r="HK227" i="8"/>
  <c r="HH227" i="8"/>
  <c r="HK226" i="8"/>
  <c r="HH226" i="8"/>
  <c r="HK225" i="8"/>
  <c r="HH225" i="8"/>
  <c r="HK224" i="8"/>
  <c r="HH224" i="8"/>
  <c r="HK223" i="8"/>
  <c r="HH223" i="8"/>
  <c r="HK222" i="8"/>
  <c r="HH222" i="8"/>
  <c r="HK221" i="8"/>
  <c r="HH221" i="8"/>
  <c r="HK220" i="8"/>
  <c r="HH220" i="8"/>
  <c r="HK219" i="8"/>
  <c r="HH219" i="8"/>
  <c r="HK218" i="8"/>
  <c r="HH218" i="8"/>
  <c r="HK217" i="8"/>
  <c r="HH217" i="8"/>
  <c r="HK216" i="8"/>
  <c r="HH216" i="8"/>
  <c r="HK215" i="8"/>
  <c r="HH215" i="8"/>
  <c r="HK214" i="8"/>
  <c r="HH214" i="8"/>
  <c r="HK213" i="8"/>
  <c r="HH213" i="8"/>
  <c r="HK212" i="8"/>
  <c r="HH212" i="8"/>
  <c r="HK211" i="8"/>
  <c r="HH211" i="8"/>
  <c r="HK210" i="8"/>
  <c r="HH210" i="8"/>
  <c r="HK209" i="8"/>
  <c r="HH209" i="8"/>
  <c r="HK208" i="8"/>
  <c r="HH208" i="8"/>
  <c r="HK207" i="8"/>
  <c r="HH207" i="8"/>
  <c r="HK206" i="8"/>
  <c r="HH206" i="8"/>
  <c r="HK205" i="8"/>
  <c r="HH205" i="8"/>
  <c r="HK204" i="8"/>
  <c r="HH204" i="8"/>
  <c r="HK203" i="8"/>
  <c r="HH203" i="8"/>
  <c r="HK202" i="8"/>
  <c r="HH202" i="8"/>
  <c r="HK201" i="8"/>
  <c r="HH201" i="8"/>
  <c r="HK200" i="8"/>
  <c r="HH200" i="8"/>
  <c r="HK199" i="8"/>
  <c r="HH199" i="8"/>
  <c r="HK198" i="8"/>
  <c r="HH198" i="8"/>
  <c r="HK197" i="8"/>
  <c r="HH197" i="8"/>
  <c r="HK196" i="8"/>
  <c r="HH196" i="8"/>
  <c r="HK195" i="8"/>
  <c r="HH195" i="8"/>
  <c r="HK194" i="8"/>
  <c r="HH194" i="8"/>
  <c r="HK193" i="8"/>
  <c r="HH193" i="8"/>
  <c r="HK192" i="8"/>
  <c r="HH192" i="8"/>
  <c r="HK191" i="8"/>
  <c r="HH191" i="8"/>
  <c r="HK190" i="8"/>
  <c r="HH190" i="8"/>
  <c r="HK189" i="8"/>
  <c r="HH189" i="8"/>
  <c r="HK188" i="8"/>
  <c r="HH188" i="8"/>
  <c r="HK187" i="8"/>
  <c r="HH187" i="8"/>
  <c r="HK186" i="8"/>
  <c r="HH186" i="8"/>
  <c r="HK185" i="8"/>
  <c r="HH185" i="8"/>
  <c r="HK184" i="8"/>
  <c r="HH184" i="8"/>
  <c r="HK183" i="8"/>
  <c r="HH183" i="8"/>
  <c r="HK182" i="8"/>
  <c r="HH182" i="8"/>
  <c r="HK181" i="8"/>
  <c r="HH181" i="8"/>
  <c r="HK180" i="8"/>
  <c r="HH180" i="8"/>
  <c r="HK179" i="8"/>
  <c r="HH179" i="8"/>
  <c r="HK178" i="8"/>
  <c r="HH178" i="8"/>
  <c r="HK177" i="8"/>
  <c r="HH177" i="8"/>
  <c r="HK176" i="8"/>
  <c r="HH176" i="8"/>
  <c r="HK175" i="8"/>
  <c r="HH175" i="8"/>
  <c r="HK174" i="8"/>
  <c r="HH174" i="8"/>
  <c r="HK173" i="8"/>
  <c r="HH173" i="8"/>
  <c r="HK172" i="8"/>
  <c r="HH172" i="8"/>
  <c r="HK171" i="8"/>
  <c r="HH171" i="8"/>
  <c r="HK170" i="8"/>
  <c r="HH170" i="8"/>
  <c r="HK169" i="8"/>
  <c r="HH169" i="8"/>
  <c r="HK168" i="8"/>
  <c r="HH168" i="8"/>
  <c r="HK167" i="8"/>
  <c r="HH167" i="8"/>
  <c r="HK166" i="8"/>
  <c r="HH166" i="8"/>
  <c r="HK165" i="8"/>
  <c r="HH165" i="8"/>
  <c r="HK164" i="8"/>
  <c r="HH164" i="8"/>
  <c r="HK163" i="8"/>
  <c r="HH163" i="8"/>
  <c r="HK162" i="8"/>
  <c r="HH162" i="8"/>
  <c r="HK161" i="8"/>
  <c r="HH161" i="8"/>
  <c r="HK160" i="8"/>
  <c r="HH160" i="8"/>
  <c r="HK159" i="8"/>
  <c r="HH159" i="8"/>
  <c r="HK158" i="8"/>
  <c r="HH158" i="8"/>
  <c r="HK157" i="8"/>
  <c r="HH157" i="8"/>
  <c r="HK156" i="8"/>
  <c r="HH156" i="8"/>
  <c r="HK155" i="8"/>
  <c r="HH155" i="8"/>
  <c r="HK154" i="8"/>
  <c r="HH154" i="8"/>
  <c r="HK153" i="8"/>
  <c r="HH153" i="8"/>
  <c r="HK152" i="8"/>
  <c r="HH152" i="8"/>
  <c r="HK151" i="8"/>
  <c r="HH151" i="8"/>
  <c r="HK150" i="8"/>
  <c r="HH150" i="8"/>
  <c r="HK149" i="8"/>
  <c r="HH149" i="8"/>
  <c r="HK148" i="8"/>
  <c r="HH148" i="8"/>
  <c r="HK147" i="8"/>
  <c r="HH147" i="8"/>
  <c r="HK146" i="8"/>
  <c r="HH146" i="8"/>
  <c r="HK145" i="8"/>
  <c r="HH145" i="8"/>
  <c r="HK144" i="8"/>
  <c r="HH144" i="8"/>
  <c r="HK143" i="8"/>
  <c r="HH143" i="8"/>
  <c r="HK142" i="8"/>
  <c r="HH142" i="8"/>
  <c r="HK141" i="8"/>
  <c r="HH141" i="8"/>
  <c r="HK140" i="8"/>
  <c r="HH140" i="8"/>
  <c r="HK139" i="8"/>
  <c r="HH139" i="8"/>
  <c r="HK138" i="8"/>
  <c r="HH138" i="8"/>
  <c r="HK137" i="8"/>
  <c r="HH137" i="8"/>
  <c r="HK136" i="8"/>
  <c r="HH136" i="8"/>
  <c r="HK135" i="8"/>
  <c r="HH135" i="8"/>
  <c r="HK134" i="8"/>
  <c r="HH134" i="8"/>
  <c r="HK133" i="8"/>
  <c r="HH133" i="8"/>
  <c r="HK132" i="8"/>
  <c r="HH132" i="8"/>
  <c r="HK131" i="8"/>
  <c r="HH131" i="8"/>
  <c r="HK130" i="8"/>
  <c r="HH130" i="8"/>
  <c r="HK129" i="8"/>
  <c r="HH129" i="8"/>
  <c r="HK128" i="8"/>
  <c r="HH128" i="8"/>
  <c r="HK127" i="8"/>
  <c r="HH127" i="8"/>
  <c r="HK126" i="8"/>
  <c r="HH126" i="8"/>
  <c r="HK125" i="8"/>
  <c r="HH125" i="8"/>
  <c r="HK124" i="8"/>
  <c r="HH124" i="8"/>
  <c r="HK123" i="8"/>
  <c r="HH123" i="8"/>
  <c r="HK122" i="8"/>
  <c r="HH122" i="8"/>
  <c r="HK121" i="8"/>
  <c r="HH121" i="8"/>
  <c r="HK120" i="8"/>
  <c r="HH120" i="8"/>
  <c r="HK119" i="8"/>
  <c r="HH119" i="8"/>
  <c r="HK118" i="8"/>
  <c r="HH118" i="8"/>
  <c r="HK117" i="8"/>
  <c r="HH117" i="8"/>
  <c r="HK116" i="8"/>
  <c r="HH116" i="8"/>
  <c r="HK115" i="8"/>
  <c r="HH115" i="8"/>
  <c r="HK114" i="8"/>
  <c r="HH114" i="8"/>
  <c r="HK113" i="8"/>
  <c r="HH113" i="8"/>
  <c r="HK112" i="8"/>
  <c r="HH112" i="8"/>
  <c r="HK111" i="8"/>
  <c r="HH111" i="8"/>
  <c r="HK110" i="8"/>
  <c r="HH110" i="8"/>
  <c r="HK109" i="8"/>
  <c r="HH109" i="8"/>
  <c r="HK108" i="8"/>
  <c r="HH108" i="8"/>
  <c r="HK107" i="8"/>
  <c r="HH107" i="8"/>
  <c r="HK106" i="8"/>
  <c r="HH106" i="8"/>
  <c r="HK105" i="8"/>
  <c r="HH105" i="8"/>
  <c r="HK104" i="8"/>
  <c r="HH104" i="8"/>
  <c r="HK103" i="8"/>
  <c r="HH103" i="8"/>
  <c r="HK102" i="8"/>
  <c r="HH102" i="8"/>
  <c r="HK101" i="8"/>
  <c r="HH101" i="8"/>
  <c r="HK100" i="8"/>
  <c r="HH100" i="8"/>
  <c r="HK99" i="8"/>
  <c r="HH99" i="8"/>
  <c r="HK98" i="8"/>
  <c r="HH98" i="8"/>
  <c r="HK97" i="8"/>
  <c r="HH97" i="8"/>
  <c r="HK96" i="8"/>
  <c r="HH96" i="8"/>
  <c r="HK95" i="8"/>
  <c r="HH95" i="8"/>
  <c r="HK94" i="8"/>
  <c r="HH94" i="8"/>
  <c r="HK93" i="8"/>
  <c r="HH93" i="8"/>
  <c r="HK92" i="8"/>
  <c r="HH92" i="8"/>
  <c r="HK91" i="8"/>
  <c r="HH91" i="8"/>
  <c r="HK90" i="8"/>
  <c r="HH90" i="8"/>
  <c r="AB93" i="8"/>
  <c r="AB94" i="8" s="1"/>
  <c r="AA93" i="8"/>
  <c r="AA94" i="8" s="1"/>
  <c r="Z93" i="8"/>
  <c r="Z94" i="8" s="1"/>
  <c r="Y93" i="8"/>
  <c r="Y94" i="8" s="1"/>
  <c r="X93" i="8"/>
  <c r="X94" i="8" s="1"/>
  <c r="W93" i="8"/>
  <c r="W94" i="8" s="1"/>
  <c r="V93" i="8"/>
  <c r="V94" i="8" s="1"/>
  <c r="U93" i="8"/>
  <c r="U94" i="8" s="1"/>
  <c r="T93" i="8"/>
  <c r="T94" i="8" s="1"/>
  <c r="S93" i="8"/>
  <c r="S94" i="8" s="1"/>
  <c r="R93" i="8"/>
  <c r="R94" i="8" s="1"/>
  <c r="Q93" i="8"/>
  <c r="Q94" i="8" s="1"/>
  <c r="P93" i="8"/>
  <c r="P94" i="8" s="1"/>
  <c r="O93" i="8"/>
  <c r="O94" i="8" s="1"/>
  <c r="N93" i="8"/>
  <c r="N94" i="8" s="1"/>
  <c r="M93" i="8"/>
  <c r="M94" i="8" s="1"/>
  <c r="L93" i="8"/>
  <c r="L94" i="8" s="1"/>
  <c r="K93" i="8"/>
  <c r="K94" i="8" s="1"/>
  <c r="J93" i="8"/>
  <c r="J94" i="8" s="1"/>
  <c r="I93" i="8"/>
  <c r="I94" i="8" s="1"/>
  <c r="H93" i="8"/>
  <c r="H94" i="8" s="1"/>
  <c r="G93" i="8"/>
  <c r="G94" i="8" s="1"/>
  <c r="F93" i="8"/>
  <c r="F94" i="8" s="1"/>
  <c r="E93" i="8"/>
  <c r="E94" i="8" s="1"/>
  <c r="D93" i="8"/>
  <c r="D94" i="8" s="1"/>
  <c r="C93" i="8"/>
  <c r="C94" i="8" s="1"/>
  <c r="HK89" i="8"/>
  <c r="HH89" i="8"/>
  <c r="HK88" i="8"/>
  <c r="HH88" i="8"/>
  <c r="HK87" i="8"/>
  <c r="HH87" i="8"/>
  <c r="HK86" i="8"/>
  <c r="HH86" i="8"/>
  <c r="HK85" i="8"/>
  <c r="HH85" i="8"/>
  <c r="HK84" i="8"/>
  <c r="HH84" i="8"/>
  <c r="HK83" i="8"/>
  <c r="HH83" i="8"/>
  <c r="AB86" i="8"/>
  <c r="AB87" i="8" s="1"/>
  <c r="AA86" i="8"/>
  <c r="AA87" i="8" s="1"/>
  <c r="Z86" i="8"/>
  <c r="Z87" i="8" s="1"/>
  <c r="Y86" i="8"/>
  <c r="Y87" i="8" s="1"/>
  <c r="X86" i="8"/>
  <c r="X87" i="8" s="1"/>
  <c r="W86" i="8"/>
  <c r="W87" i="8" s="1"/>
  <c r="V86" i="8"/>
  <c r="V87" i="8" s="1"/>
  <c r="U86" i="8"/>
  <c r="U87" i="8" s="1"/>
  <c r="T86" i="8"/>
  <c r="T87" i="8" s="1"/>
  <c r="S86" i="8"/>
  <c r="S87" i="8" s="1"/>
  <c r="R86" i="8"/>
  <c r="R87" i="8" s="1"/>
  <c r="Q86" i="8"/>
  <c r="Q87" i="8" s="1"/>
  <c r="P86" i="8"/>
  <c r="P87" i="8" s="1"/>
  <c r="O86" i="8"/>
  <c r="O87" i="8" s="1"/>
  <c r="N86" i="8"/>
  <c r="N87" i="8" s="1"/>
  <c r="M86" i="8"/>
  <c r="M87" i="8" s="1"/>
  <c r="L86" i="8"/>
  <c r="L87" i="8" s="1"/>
  <c r="K86" i="8"/>
  <c r="K87" i="8" s="1"/>
  <c r="J86" i="8"/>
  <c r="J87" i="8" s="1"/>
  <c r="I86" i="8"/>
  <c r="I87" i="8" s="1"/>
  <c r="H86" i="8"/>
  <c r="H87" i="8" s="1"/>
  <c r="G86" i="8"/>
  <c r="G87" i="8" s="1"/>
  <c r="F86" i="8"/>
  <c r="F87" i="8" s="1"/>
  <c r="E86" i="8"/>
  <c r="E87" i="8" s="1"/>
  <c r="D86" i="8"/>
  <c r="D87" i="8" s="1"/>
  <c r="C86" i="8"/>
  <c r="C87" i="8" s="1"/>
  <c r="HK82" i="8"/>
  <c r="HH82" i="8"/>
  <c r="HK81" i="8"/>
  <c r="HH81" i="8"/>
  <c r="HK80" i="8"/>
  <c r="HH80" i="8"/>
  <c r="HK79" i="8"/>
  <c r="HH79" i="8"/>
  <c r="HK78" i="8"/>
  <c r="HH78" i="8"/>
  <c r="HK77" i="8"/>
  <c r="HH77" i="8"/>
  <c r="HK76" i="8"/>
  <c r="HH76" i="8"/>
  <c r="HK75" i="8"/>
  <c r="HH75" i="8"/>
  <c r="HK74" i="8"/>
  <c r="HH74" i="8"/>
  <c r="HK73" i="8"/>
  <c r="HH73" i="8"/>
  <c r="HK72" i="8"/>
  <c r="HH72" i="8"/>
  <c r="HK71" i="8"/>
  <c r="HH71" i="8"/>
  <c r="HK70" i="8"/>
  <c r="HH70" i="8"/>
  <c r="HK69" i="8"/>
  <c r="HH69" i="8"/>
  <c r="HK68" i="8"/>
  <c r="HH68" i="8"/>
  <c r="HK67" i="8"/>
  <c r="HH67" i="8"/>
  <c r="HK66" i="8"/>
  <c r="HH66" i="8"/>
  <c r="HK65" i="8"/>
  <c r="HH65" i="8"/>
  <c r="HK64" i="8"/>
  <c r="HH64" i="8"/>
  <c r="HK63" i="8"/>
  <c r="HH63" i="8"/>
  <c r="HK62" i="8"/>
  <c r="HH62" i="8"/>
  <c r="HK61" i="8"/>
  <c r="HH61" i="8"/>
  <c r="HK60" i="8"/>
  <c r="HH60" i="8"/>
  <c r="HK59" i="8"/>
  <c r="HH59" i="8"/>
  <c r="HK58" i="8"/>
  <c r="HH58" i="8"/>
  <c r="HK57" i="8"/>
  <c r="HH57" i="8"/>
  <c r="HK56" i="8"/>
  <c r="HH56" i="8"/>
  <c r="HK55" i="8"/>
  <c r="HH55" i="8"/>
  <c r="HK54" i="8"/>
  <c r="HH54" i="8"/>
  <c r="HK53" i="8"/>
  <c r="HH53" i="8"/>
  <c r="HK52" i="8"/>
  <c r="HH52" i="8"/>
  <c r="HK51" i="8"/>
  <c r="HH51" i="8"/>
  <c r="HK50" i="8"/>
  <c r="HH50" i="8"/>
  <c r="HK49" i="8"/>
  <c r="HH49" i="8"/>
  <c r="HK48" i="8"/>
  <c r="HH48" i="8"/>
  <c r="HK47" i="8"/>
  <c r="HH47" i="8"/>
  <c r="HK46" i="8"/>
  <c r="HH46" i="8"/>
  <c r="HK45" i="8"/>
  <c r="HH45" i="8"/>
  <c r="HK44" i="8"/>
  <c r="HH44" i="8"/>
  <c r="HK43" i="8"/>
  <c r="HH43" i="8"/>
  <c r="HK42" i="8"/>
  <c r="HH42" i="8"/>
  <c r="HK41" i="8"/>
  <c r="HH41" i="8"/>
  <c r="HK40" i="8"/>
  <c r="HH40" i="8"/>
  <c r="HK39" i="8"/>
  <c r="HH39" i="8"/>
  <c r="HK38" i="8"/>
  <c r="HH38" i="8"/>
  <c r="HK37" i="8"/>
  <c r="HH37" i="8"/>
  <c r="HK36" i="8"/>
  <c r="HH36" i="8"/>
  <c r="T39" i="8"/>
  <c r="T40" i="8" s="1"/>
  <c r="S39" i="8"/>
  <c r="S40" i="8" s="1"/>
  <c r="R39" i="8"/>
  <c r="R40" i="8" s="1"/>
  <c r="Q39" i="8"/>
  <c r="Q40" i="8" s="1"/>
  <c r="P39" i="8"/>
  <c r="P40" i="8" s="1"/>
  <c r="O39" i="8"/>
  <c r="O40" i="8" s="1"/>
  <c r="N39" i="8"/>
  <c r="N40" i="8" s="1"/>
  <c r="M39" i="8"/>
  <c r="M40" i="8" s="1"/>
  <c r="L39" i="8"/>
  <c r="L40" i="8" s="1"/>
  <c r="K39" i="8"/>
  <c r="K40" i="8" s="1"/>
  <c r="J39" i="8"/>
  <c r="J40" i="8" s="1"/>
  <c r="I39" i="8"/>
  <c r="I40" i="8" s="1"/>
  <c r="H39" i="8"/>
  <c r="H40" i="8" s="1"/>
  <c r="G39" i="8"/>
  <c r="G40" i="8" s="1"/>
  <c r="F39" i="8"/>
  <c r="F40" i="8" s="1"/>
  <c r="E39" i="8"/>
  <c r="E40" i="8" s="1"/>
  <c r="D39" i="8"/>
  <c r="C39" i="8"/>
  <c r="HK35" i="8"/>
  <c r="HH35" i="8"/>
  <c r="HK34" i="8"/>
  <c r="HH34" i="8"/>
  <c r="T37" i="8"/>
  <c r="T38" i="8" s="1"/>
  <c r="S37" i="8"/>
  <c r="S38" i="8" s="1"/>
  <c r="R37" i="8"/>
  <c r="R38" i="8" s="1"/>
  <c r="Q37" i="8"/>
  <c r="Q38" i="8" s="1"/>
  <c r="P37" i="8"/>
  <c r="P38" i="8" s="1"/>
  <c r="O37" i="8"/>
  <c r="O38" i="8" s="1"/>
  <c r="N37" i="8"/>
  <c r="N38" i="8" s="1"/>
  <c r="M37" i="8"/>
  <c r="M38" i="8" s="1"/>
  <c r="L37" i="8"/>
  <c r="L38" i="8" s="1"/>
  <c r="K37" i="8"/>
  <c r="K38" i="8" s="1"/>
  <c r="J37" i="8"/>
  <c r="J38" i="8" s="1"/>
  <c r="I37" i="8"/>
  <c r="I38" i="8" s="1"/>
  <c r="H37" i="8"/>
  <c r="H38" i="8" s="1"/>
  <c r="G37" i="8"/>
  <c r="G38" i="8" s="1"/>
  <c r="F37" i="8"/>
  <c r="F38" i="8" s="1"/>
  <c r="E37" i="8"/>
  <c r="E38" i="8" s="1"/>
  <c r="D37" i="8"/>
  <c r="D38" i="8" s="1"/>
  <c r="C37" i="8"/>
  <c r="HK33" i="8"/>
  <c r="HH33" i="8"/>
  <c r="HK32" i="8"/>
  <c r="HH32" i="8"/>
  <c r="T35" i="8"/>
  <c r="T36" i="8" s="1"/>
  <c r="S35" i="8"/>
  <c r="S36" i="8" s="1"/>
  <c r="R35" i="8"/>
  <c r="R36" i="8" s="1"/>
  <c r="Q35" i="8"/>
  <c r="Q36" i="8" s="1"/>
  <c r="P35" i="8"/>
  <c r="P36" i="8" s="1"/>
  <c r="O35" i="8"/>
  <c r="O36" i="8" s="1"/>
  <c r="N35" i="8"/>
  <c r="N36" i="8" s="1"/>
  <c r="M35" i="8"/>
  <c r="M36" i="8" s="1"/>
  <c r="L35" i="8"/>
  <c r="L36" i="8" s="1"/>
  <c r="K35" i="8"/>
  <c r="K36" i="8" s="1"/>
  <c r="J35" i="8"/>
  <c r="J36" i="8" s="1"/>
  <c r="I35" i="8"/>
  <c r="I36" i="8" s="1"/>
  <c r="H35" i="8"/>
  <c r="H36" i="8" s="1"/>
  <c r="G35" i="8"/>
  <c r="G36" i="8" s="1"/>
  <c r="F35" i="8"/>
  <c r="F36" i="8" s="1"/>
  <c r="E35" i="8"/>
  <c r="E36" i="8" s="1"/>
  <c r="D35" i="8"/>
  <c r="C35" i="8"/>
  <c r="C36" i="8" s="1"/>
  <c r="HK31" i="8"/>
  <c r="HH31" i="8"/>
  <c r="HK30" i="8"/>
  <c r="HH30" i="8"/>
  <c r="HK29" i="8"/>
  <c r="HH29" i="8"/>
  <c r="HK28" i="8"/>
  <c r="HH28" i="8"/>
  <c r="HK27" i="8"/>
  <c r="HH27" i="8"/>
  <c r="HK26" i="8"/>
  <c r="HH26" i="8"/>
  <c r="D10" i="8"/>
  <c r="AB35" i="8" s="1"/>
  <c r="B5" i="8"/>
  <c r="HK25" i="8"/>
  <c r="HH25" i="8"/>
  <c r="A4" i="8"/>
  <c r="K2" i="8" s="1"/>
  <c r="HK24" i="8"/>
  <c r="HH24" i="8"/>
  <c r="A3" i="8"/>
  <c r="HK23" i="8"/>
  <c r="HH23" i="8"/>
  <c r="HK22" i="8"/>
  <c r="HH22" i="8"/>
  <c r="HK21" i="8"/>
  <c r="HH21" i="8"/>
  <c r="HK20" i="8"/>
  <c r="HH20" i="8"/>
  <c r="HK19" i="8"/>
  <c r="HH19" i="8"/>
  <c r="HK18" i="8"/>
  <c r="HH18" i="8"/>
  <c r="T18" i="8"/>
  <c r="T19" i="8" s="1"/>
  <c r="S18" i="8"/>
  <c r="S19" i="8" s="1"/>
  <c r="R18" i="8"/>
  <c r="R19" i="8" s="1"/>
  <c r="Q18" i="8"/>
  <c r="Q19" i="8" s="1"/>
  <c r="P18" i="8"/>
  <c r="P19" i="8" s="1"/>
  <c r="O18" i="8"/>
  <c r="O19" i="8" s="1"/>
  <c r="N18" i="8"/>
  <c r="N19" i="8" s="1"/>
  <c r="M18" i="8"/>
  <c r="M19" i="8" s="1"/>
  <c r="L18" i="8"/>
  <c r="L19" i="8" s="1"/>
  <c r="K18" i="8"/>
  <c r="K19" i="8" s="1"/>
  <c r="J18" i="8"/>
  <c r="J19" i="8" s="1"/>
  <c r="I18" i="8"/>
  <c r="I19" i="8" s="1"/>
  <c r="H18" i="8"/>
  <c r="H19" i="8" s="1"/>
  <c r="G18" i="8"/>
  <c r="G19" i="8" s="1"/>
  <c r="F18" i="8"/>
  <c r="E18" i="8"/>
  <c r="D18" i="8"/>
  <c r="D19" i="8" s="1"/>
  <c r="C18" i="8"/>
  <c r="C19" i="8" s="1"/>
  <c r="HK17" i="8"/>
  <c r="HH17" i="8"/>
  <c r="HK16" i="8"/>
  <c r="HH16" i="8"/>
  <c r="T16" i="8"/>
  <c r="T17" i="8" s="1"/>
  <c r="S16" i="8"/>
  <c r="S17" i="8" s="1"/>
  <c r="R16" i="8"/>
  <c r="R17" i="8" s="1"/>
  <c r="Q16" i="8"/>
  <c r="Q17" i="8" s="1"/>
  <c r="P16" i="8"/>
  <c r="P17" i="8" s="1"/>
  <c r="O16" i="8"/>
  <c r="O17" i="8" s="1"/>
  <c r="N16" i="8"/>
  <c r="N17" i="8" s="1"/>
  <c r="M16" i="8"/>
  <c r="M17" i="8" s="1"/>
  <c r="L16" i="8"/>
  <c r="L17" i="8" s="1"/>
  <c r="K16" i="8"/>
  <c r="K17" i="8" s="1"/>
  <c r="J16" i="8"/>
  <c r="J17" i="8" s="1"/>
  <c r="I16" i="8"/>
  <c r="I17" i="8" s="1"/>
  <c r="H16" i="8"/>
  <c r="H17" i="8" s="1"/>
  <c r="G16" i="8"/>
  <c r="G17" i="8" s="1"/>
  <c r="F16" i="8"/>
  <c r="F17" i="8" s="1"/>
  <c r="E16" i="8"/>
  <c r="E17" i="8" s="1"/>
  <c r="D16" i="8"/>
  <c r="D17" i="8" s="1"/>
  <c r="C16" i="8"/>
  <c r="HK15" i="8"/>
  <c r="HH15" i="8"/>
  <c r="HK14" i="8"/>
  <c r="HH14" i="8"/>
  <c r="T14" i="8"/>
  <c r="T15" i="8" s="1"/>
  <c r="S14" i="8"/>
  <c r="S15" i="8" s="1"/>
  <c r="R14" i="8"/>
  <c r="R15" i="8" s="1"/>
  <c r="Q14" i="8"/>
  <c r="Q15" i="8" s="1"/>
  <c r="P14" i="8"/>
  <c r="P15" i="8" s="1"/>
  <c r="O14" i="8"/>
  <c r="O15" i="8" s="1"/>
  <c r="N14" i="8"/>
  <c r="N15" i="8" s="1"/>
  <c r="M14" i="8"/>
  <c r="M15" i="8" s="1"/>
  <c r="L14" i="8"/>
  <c r="L15" i="8" s="1"/>
  <c r="K14" i="8"/>
  <c r="K15" i="8" s="1"/>
  <c r="J14" i="8"/>
  <c r="J15" i="8" s="1"/>
  <c r="I14" i="8"/>
  <c r="I15" i="8" s="1"/>
  <c r="H14" i="8"/>
  <c r="H15" i="8" s="1"/>
  <c r="G14" i="8"/>
  <c r="G15" i="8" s="1"/>
  <c r="F14" i="8"/>
  <c r="F15" i="8" s="1"/>
  <c r="E14" i="8"/>
  <c r="E15" i="8" s="1"/>
  <c r="D14" i="8"/>
  <c r="D15" i="8" s="1"/>
  <c r="C14" i="8"/>
  <c r="HK13" i="8"/>
  <c r="HH13" i="8"/>
  <c r="HK12" i="8"/>
  <c r="L16" i="7"/>
  <c r="L17" i="7" s="1"/>
  <c r="K16" i="7"/>
  <c r="K17" i="7" s="1"/>
  <c r="J16" i="7"/>
  <c r="J17" i="7" s="1"/>
  <c r="I16" i="7"/>
  <c r="I17" i="7" s="1"/>
  <c r="H16" i="7"/>
  <c r="H17" i="7" s="1"/>
  <c r="G16" i="7"/>
  <c r="G17" i="7" s="1"/>
  <c r="F16" i="7"/>
  <c r="F17" i="7" s="1"/>
  <c r="E16" i="7"/>
  <c r="E17" i="7" s="1"/>
  <c r="D16" i="7"/>
  <c r="D17" i="7" s="1"/>
  <c r="C16" i="7"/>
  <c r="C17" i="7" s="1"/>
  <c r="L12" i="7"/>
  <c r="L13" i="7" s="1"/>
  <c r="K12" i="7"/>
  <c r="K13" i="7" s="1"/>
  <c r="J12" i="7"/>
  <c r="J13" i="7" s="1"/>
  <c r="I12" i="7"/>
  <c r="I13" i="7" s="1"/>
  <c r="H12" i="7"/>
  <c r="H13" i="7" s="1"/>
  <c r="G12" i="7"/>
  <c r="G13" i="7" s="1"/>
  <c r="F12" i="7"/>
  <c r="F13" i="7" s="1"/>
  <c r="E12" i="7"/>
  <c r="E13" i="7" s="1"/>
  <c r="D12" i="7"/>
  <c r="D13" i="7" s="1"/>
  <c r="C12" i="7"/>
  <c r="C13" i="7" s="1"/>
  <c r="L9" i="7"/>
  <c r="L10" i="7" s="1"/>
  <c r="K9" i="7"/>
  <c r="K10" i="7" s="1"/>
  <c r="J9" i="7"/>
  <c r="J10" i="7" s="1"/>
  <c r="I9" i="7"/>
  <c r="I10" i="7" s="1"/>
  <c r="H9" i="7"/>
  <c r="H10" i="7" s="1"/>
  <c r="G9" i="7"/>
  <c r="G10" i="7" s="1"/>
  <c r="F9" i="7"/>
  <c r="F10" i="7" s="1"/>
  <c r="E9" i="7"/>
  <c r="E10" i="7" s="1"/>
  <c r="D9" i="7"/>
  <c r="D10" i="7" s="1"/>
  <c r="C9" i="7"/>
  <c r="C10" i="7" s="1"/>
  <c r="C6" i="7"/>
  <c r="C3" i="7"/>
  <c r="I6" i="11"/>
  <c r="C5" i="7"/>
  <c r="C2" i="7"/>
  <c r="L16" i="4" l="1"/>
  <c r="B10" i="15"/>
  <c r="L44" i="4"/>
  <c r="BV14" i="10"/>
  <c r="C7" i="11"/>
  <c r="Q3" i="11"/>
  <c r="T4" i="7" s="1"/>
  <c r="T3" i="7"/>
  <c r="Q9" i="11"/>
  <c r="T10" i="7" s="1"/>
  <c r="BV35" i="10"/>
  <c r="Q4" i="11"/>
  <c r="T5" i="7" s="1"/>
  <c r="Q7" i="11"/>
  <c r="T8" i="7" s="1"/>
  <c r="BV56" i="10"/>
  <c r="Q6" i="11"/>
  <c r="T7" i="7" s="1"/>
  <c r="Q8" i="11"/>
  <c r="T9" i="7" s="1"/>
  <c r="F32" i="7"/>
  <c r="Q11" i="11"/>
  <c r="T12" i="7" s="1"/>
  <c r="Q5" i="11"/>
  <c r="T6" i="7" s="1"/>
  <c r="Q10" i="11"/>
  <c r="T11" i="7" s="1"/>
  <c r="BV102" i="10"/>
  <c r="B65" i="11"/>
  <c r="C65" i="11" s="1"/>
  <c r="H7" i="15" s="1"/>
  <c r="B63" i="11"/>
  <c r="B64" i="11" s="1"/>
  <c r="C64" i="11" s="1"/>
  <c r="B71" i="11"/>
  <c r="C71" i="11" s="1"/>
  <c r="H25" i="15" s="1"/>
  <c r="B69" i="11"/>
  <c r="D23" i="7"/>
  <c r="E23" i="7" s="1"/>
  <c r="GZ16" i="8"/>
  <c r="HA34" i="8"/>
  <c r="HD40" i="8"/>
  <c r="GZ36" i="8"/>
  <c r="HC39" i="8"/>
  <c r="HD16" i="8"/>
  <c r="AC14" i="8"/>
  <c r="AB14" i="8"/>
  <c r="AC94" i="8"/>
  <c r="AD94" i="8" s="1"/>
  <c r="HD22" i="8"/>
  <c r="AC87" i="8"/>
  <c r="AD87" i="8" s="1"/>
  <c r="HB19" i="8"/>
  <c r="HA22" i="8"/>
  <c r="HB22" i="8"/>
  <c r="HC15" i="8"/>
  <c r="HB16" i="8"/>
  <c r="J2" i="8"/>
  <c r="HC37" i="8"/>
  <c r="HD15" i="8"/>
  <c r="HC16" i="8"/>
  <c r="C17" i="8"/>
  <c r="HC18" i="8"/>
  <c r="E19" i="8"/>
  <c r="GZ21" i="8" s="1"/>
  <c r="HA21" i="8"/>
  <c r="D2" i="8"/>
  <c r="HD34" i="8"/>
  <c r="HC19" i="8"/>
  <c r="HD18" i="8"/>
  <c r="GZ18" i="8"/>
  <c r="HA19" i="8"/>
  <c r="I2" i="8"/>
  <c r="C2" i="8"/>
  <c r="F19" i="8"/>
  <c r="AG22" i="8" s="1"/>
  <c r="HD19" i="8"/>
  <c r="F2" i="8"/>
  <c r="L2" i="8"/>
  <c r="HA33" i="8"/>
  <c r="HB37" i="8"/>
  <c r="HA36" i="8"/>
  <c r="HD37" i="8"/>
  <c r="GZ37" i="8"/>
  <c r="HC36" i="8"/>
  <c r="HA37" i="8"/>
  <c r="HB36" i="8"/>
  <c r="C38" i="8"/>
  <c r="HD36" i="8"/>
  <c r="HA16" i="8"/>
  <c r="HA15" i="8"/>
  <c r="HB18" i="8"/>
  <c r="GZ15" i="8"/>
  <c r="HB34" i="8"/>
  <c r="D36" i="8"/>
  <c r="AE43" i="8" s="1"/>
  <c r="C15" i="8"/>
  <c r="HB15" i="8"/>
  <c r="HC22" i="8"/>
  <c r="HC21" i="8"/>
  <c r="HA18" i="8"/>
  <c r="GZ19" i="8"/>
  <c r="GZ22" i="8"/>
  <c r="G2" i="8"/>
  <c r="AC35" i="8"/>
  <c r="HC33" i="8"/>
  <c r="HC34" i="8"/>
  <c r="HA40" i="8"/>
  <c r="D40" i="8"/>
  <c r="HA39" i="8" s="1"/>
  <c r="HC40" i="8"/>
  <c r="HB33" i="8"/>
  <c r="GZ34" i="8"/>
  <c r="C40" i="8"/>
  <c r="HD39" i="8"/>
  <c r="HB40" i="8"/>
  <c r="GZ40" i="8"/>
  <c r="D3" i="7"/>
  <c r="D6" i="7"/>
  <c r="D5" i="7"/>
  <c r="D2" i="7"/>
  <c r="N17" i="7"/>
  <c r="O17" i="7" s="1"/>
  <c r="N10" i="7"/>
  <c r="O10" i="7" s="1"/>
  <c r="N13" i="7"/>
  <c r="O13" i="7" s="1"/>
  <c r="B4" i="6"/>
  <c r="C6" i="6" s="1"/>
  <c r="A13" i="6"/>
  <c r="M12" i="6" s="1"/>
  <c r="B70" i="11" l="1"/>
  <c r="C70" i="11" s="1"/>
  <c r="H24" i="15" s="1"/>
  <c r="H6" i="15"/>
  <c r="J89" i="11"/>
  <c r="I13" i="15" s="1"/>
  <c r="K89" i="11"/>
  <c r="J13" i="15" s="1"/>
  <c r="J90" i="11"/>
  <c r="I14" i="15" s="1"/>
  <c r="K88" i="11"/>
  <c r="J12" i="15" s="1"/>
  <c r="A76" i="11"/>
  <c r="A77" i="11" s="1"/>
  <c r="A78" i="11" s="1"/>
  <c r="A79" i="11" s="1"/>
  <c r="A80" i="11" s="1"/>
  <c r="A81" i="11" s="1"/>
  <c r="A82" i="11" s="1"/>
  <c r="A83" i="11" s="1"/>
  <c r="A84" i="11" s="1"/>
  <c r="E33" i="7"/>
  <c r="F33" i="7" s="1"/>
  <c r="C69" i="11"/>
  <c r="H23" i="15" s="1"/>
  <c r="C63" i="11"/>
  <c r="H5" i="15" s="1"/>
  <c r="E26" i="7"/>
  <c r="D69" i="11"/>
  <c r="I23" i="15" s="1"/>
  <c r="L53" i="11"/>
  <c r="E68" i="11"/>
  <c r="J22" i="15" s="1"/>
  <c r="E69" i="11"/>
  <c r="J23" i="15" s="1"/>
  <c r="E70" i="11"/>
  <c r="J24" i="15" s="1"/>
  <c r="L42" i="11"/>
  <c r="L18" i="11"/>
  <c r="B11" i="15" s="1"/>
  <c r="HB39" i="8"/>
  <c r="GY39" i="8" s="1"/>
  <c r="AE16" i="11"/>
  <c r="R2" i="11"/>
  <c r="AK16" i="11"/>
  <c r="L32" i="11"/>
  <c r="HD21" i="8"/>
  <c r="GZ39" i="8"/>
  <c r="HB21" i="8"/>
  <c r="HD33" i="8"/>
  <c r="AE45" i="8"/>
  <c r="C5" i="8"/>
  <c r="C6" i="8" s="1"/>
  <c r="AE46" i="8"/>
  <c r="U19" i="8"/>
  <c r="V19" i="8" s="1"/>
  <c r="AE49" i="8"/>
  <c r="AE48" i="8"/>
  <c r="AC45" i="8"/>
  <c r="AE44" i="8"/>
  <c r="AC42" i="8"/>
  <c r="AG29" i="8"/>
  <c r="AC47" i="8"/>
  <c r="AG25" i="8"/>
  <c r="GY36" i="8"/>
  <c r="Z42" i="8"/>
  <c r="AA42" i="8" s="1"/>
  <c r="AG23" i="8"/>
  <c r="AG48" i="8"/>
  <c r="AG44" i="8"/>
  <c r="U40" i="8"/>
  <c r="AG46" i="8"/>
  <c r="AG43" i="8"/>
  <c r="AG47" i="8"/>
  <c r="AG42" i="8"/>
  <c r="AG45" i="8"/>
  <c r="AG50" i="8"/>
  <c r="AG49" i="8"/>
  <c r="AC46" i="8"/>
  <c r="AE29" i="8"/>
  <c r="AE26" i="8"/>
  <c r="AE28" i="8"/>
  <c r="AC25" i="8"/>
  <c r="AC24" i="8"/>
  <c r="AC28" i="8"/>
  <c r="AC22" i="8"/>
  <c r="AC21" i="8"/>
  <c r="AC23" i="8"/>
  <c r="AE21" i="8"/>
  <c r="Z21" i="8"/>
  <c r="AA21" i="8" s="1"/>
  <c r="AD96" i="8" s="1"/>
  <c r="AE96" i="8" s="1"/>
  <c r="AC27" i="8"/>
  <c r="AC26" i="8"/>
  <c r="AE27" i="8"/>
  <c r="AE25" i="8"/>
  <c r="AE23" i="8"/>
  <c r="U15" i="8"/>
  <c r="V15" i="8" s="1"/>
  <c r="AE24" i="8"/>
  <c r="AE22" i="8"/>
  <c r="AG24" i="8"/>
  <c r="I3" i="8"/>
  <c r="AG28" i="8"/>
  <c r="AC49" i="8"/>
  <c r="AE50" i="8"/>
  <c r="U36" i="8"/>
  <c r="AC44" i="8"/>
  <c r="AE42" i="8"/>
  <c r="AE47" i="8"/>
  <c r="AC43" i="8"/>
  <c r="AC48" i="8"/>
  <c r="AF29" i="8"/>
  <c r="AF27" i="8"/>
  <c r="AF26" i="8"/>
  <c r="AF23" i="8"/>
  <c r="AF22" i="8"/>
  <c r="U17" i="8"/>
  <c r="V17" i="8" s="1"/>
  <c r="AF25" i="8"/>
  <c r="AF28" i="8"/>
  <c r="AF24" i="8"/>
  <c r="AF21" i="8"/>
  <c r="GZ33" i="8"/>
  <c r="GY15" i="8"/>
  <c r="GY18" i="8"/>
  <c r="AG26" i="8"/>
  <c r="AG21" i="8"/>
  <c r="AF50" i="8"/>
  <c r="AF47" i="8"/>
  <c r="AF49" i="8"/>
  <c r="AF45" i="8"/>
  <c r="AF42" i="8"/>
  <c r="AF44" i="8"/>
  <c r="AF48" i="8"/>
  <c r="AF43" i="8"/>
  <c r="AF46" i="8"/>
  <c r="U38" i="8"/>
  <c r="V38" i="8" s="1"/>
  <c r="F5" i="8"/>
  <c r="AG27" i="8"/>
  <c r="D12" i="6"/>
  <c r="L12" i="6"/>
  <c r="K12" i="6"/>
  <c r="E12" i="6"/>
  <c r="G12" i="6"/>
  <c r="J12" i="6"/>
  <c r="B5" i="6"/>
  <c r="L3" i="6" s="1"/>
  <c r="H12" i="6"/>
  <c r="L3" i="8"/>
  <c r="U3" i="7" l="1"/>
  <c r="R3" i="11"/>
  <c r="L45" i="4"/>
  <c r="L36" i="4"/>
  <c r="L27" i="4"/>
  <c r="BV77" i="10"/>
  <c r="D70" i="11"/>
  <c r="I24" i="15" s="1"/>
  <c r="D71" i="11"/>
  <c r="I25" i="15" s="1"/>
  <c r="L17" i="4"/>
  <c r="BV57" i="10"/>
  <c r="BV36" i="10"/>
  <c r="J13" i="6"/>
  <c r="J14" i="6" s="1"/>
  <c r="BV15" i="10"/>
  <c r="R5" i="11"/>
  <c r="R10" i="11"/>
  <c r="R9" i="11"/>
  <c r="R4" i="11"/>
  <c r="R7" i="11"/>
  <c r="R11" i="11"/>
  <c r="R8" i="11"/>
  <c r="R6" i="11"/>
  <c r="GY21" i="8"/>
  <c r="D22" i="8"/>
  <c r="D23" i="8" s="1"/>
  <c r="G23" i="8" s="1"/>
  <c r="G13" i="6"/>
  <c r="G14" i="6" s="1"/>
  <c r="GY33" i="8"/>
  <c r="J21" i="8"/>
  <c r="L21" i="8"/>
  <c r="Z23" i="8"/>
  <c r="AA23" i="8" s="1"/>
  <c r="Z14" i="8"/>
  <c r="Z58" i="8"/>
  <c r="AA58" i="8" s="1"/>
  <c r="Z44" i="8"/>
  <c r="AA44" i="8" s="1"/>
  <c r="Z35" i="8"/>
  <c r="AI48" i="8"/>
  <c r="AI49" i="8"/>
  <c r="AI44" i="8"/>
  <c r="AI43" i="8"/>
  <c r="AI42" i="8"/>
  <c r="AI25" i="8"/>
  <c r="AI28" i="8"/>
  <c r="U20" i="8"/>
  <c r="E22" i="8" s="1"/>
  <c r="Z39" i="8"/>
  <c r="AI27" i="8"/>
  <c r="AI46" i="8"/>
  <c r="AA35" i="8"/>
  <c r="AA14" i="8"/>
  <c r="AI26" i="8"/>
  <c r="AI45" i="8"/>
  <c r="V36" i="8"/>
  <c r="Z37" i="8"/>
  <c r="X36" i="8"/>
  <c r="Z16" i="8"/>
  <c r="X15" i="8"/>
  <c r="V20" i="8"/>
  <c r="AI29" i="8"/>
  <c r="AI24" i="8"/>
  <c r="U41" i="8"/>
  <c r="V40" i="8"/>
  <c r="F6" i="8"/>
  <c r="AI47" i="8"/>
  <c r="AI50" i="8"/>
  <c r="AI23" i="8"/>
  <c r="AI22" i="8"/>
  <c r="AI21" i="8"/>
  <c r="D13" i="6"/>
  <c r="D14" i="6" s="1"/>
  <c r="M3" i="6"/>
  <c r="G3" i="6"/>
  <c r="E3" i="6"/>
  <c r="J3" i="6"/>
  <c r="K3" i="6"/>
  <c r="H3" i="6"/>
  <c r="D3" i="6"/>
  <c r="I5" i="8"/>
  <c r="U11" i="7" l="1"/>
  <c r="U7" i="7"/>
  <c r="U12" i="7"/>
  <c r="U5" i="7"/>
  <c r="U9" i="7"/>
  <c r="U8" i="7"/>
  <c r="U10" i="7"/>
  <c r="U6" i="7"/>
  <c r="U4" i="7"/>
  <c r="Z18" i="8"/>
  <c r="AA18" i="8" s="1"/>
  <c r="O2" i="8"/>
  <c r="P2" i="8" s="1"/>
  <c r="J23" i="8"/>
  <c r="AA37" i="8"/>
  <c r="AB37" i="8" s="1"/>
  <c r="AA39" i="8"/>
  <c r="AA16" i="8"/>
  <c r="AI14" i="8" s="1"/>
  <c r="V41" i="8"/>
  <c r="X41" i="8" s="1"/>
  <c r="D24" i="8"/>
  <c r="X20" i="8"/>
  <c r="Z17" i="8"/>
  <c r="AA17" i="8" s="1"/>
  <c r="AI15" i="8" s="1"/>
  <c r="Z36" i="8"/>
  <c r="Z15" i="8"/>
  <c r="Z38" i="8"/>
  <c r="Z52" i="8"/>
  <c r="AB39" i="8"/>
  <c r="AI33" i="8"/>
  <c r="AD89" i="8"/>
  <c r="AE89" i="8" s="1"/>
  <c r="AI12" i="8"/>
  <c r="BF28" i="8"/>
  <c r="D6" i="6"/>
  <c r="D7" i="6" s="1"/>
  <c r="J4" i="6"/>
  <c r="G6" i="6"/>
  <c r="G7" i="6" s="1"/>
  <c r="I6" i="8"/>
  <c r="M4" i="6"/>
  <c r="V2" i="8" l="1"/>
  <c r="W2" i="8"/>
  <c r="T2" i="8"/>
  <c r="Q2" i="8"/>
  <c r="U2" i="8"/>
  <c r="S2" i="8"/>
  <c r="X2" i="8"/>
  <c r="C39" i="6"/>
  <c r="C37" i="6"/>
  <c r="C35" i="6"/>
  <c r="C31" i="6"/>
  <c r="C27" i="6"/>
  <c r="C40" i="6"/>
  <c r="C38" i="6"/>
  <c r="C36" i="6"/>
  <c r="C34" i="6"/>
  <c r="C32" i="6"/>
  <c r="C30" i="6"/>
  <c r="C28" i="6"/>
  <c r="C26" i="6"/>
  <c r="C33" i="6"/>
  <c r="C29" i="6"/>
  <c r="R2" i="8"/>
  <c r="AB16" i="8"/>
  <c r="AI16" i="8"/>
  <c r="AB18" i="8"/>
  <c r="AI37" i="8"/>
  <c r="AI35" i="8"/>
  <c r="Z19" i="8"/>
  <c r="AA19" i="8" s="1"/>
  <c r="AI17" i="8" s="1"/>
  <c r="E23" i="8"/>
  <c r="D25" i="8"/>
  <c r="G24" i="8"/>
  <c r="J24" i="8" s="1"/>
  <c r="AB17" i="8"/>
  <c r="AB19" i="8"/>
  <c r="Z59" i="8"/>
  <c r="Z53" i="8"/>
  <c r="AA53" i="8" s="1"/>
  <c r="Z61" i="8"/>
  <c r="AA61" i="8" s="1"/>
  <c r="Z55" i="8"/>
  <c r="AA55" i="8" s="1"/>
  <c r="C7" i="8"/>
  <c r="AA52" i="8"/>
  <c r="Z40" i="8"/>
  <c r="AA38" i="8"/>
  <c r="BF35" i="8"/>
  <c r="BF30" i="8"/>
  <c r="BF29" i="8"/>
  <c r="BF33" i="8"/>
  <c r="BF32" i="8"/>
  <c r="BF37" i="8"/>
  <c r="BF36" i="8"/>
  <c r="BF34" i="8"/>
  <c r="BF31" i="8"/>
  <c r="D16" i="6"/>
  <c r="J6" i="6"/>
  <c r="AC59" i="8" l="1"/>
  <c r="AB60" i="8" s="1"/>
  <c r="AC60" i="8"/>
  <c r="AB61" i="8" s="1"/>
  <c r="AC58" i="8"/>
  <c r="AB59" i="8"/>
  <c r="AA40" i="8"/>
  <c r="AB40" i="8" s="1"/>
  <c r="F16" i="6"/>
  <c r="AQ2" i="6" s="1"/>
  <c r="K21" i="8"/>
  <c r="M21" i="8"/>
  <c r="H23" i="8"/>
  <c r="L23" i="8" s="1"/>
  <c r="E24" i="8"/>
  <c r="E25" i="8" s="1"/>
  <c r="E26" i="8" s="1"/>
  <c r="E27" i="8" s="1"/>
  <c r="E28" i="8" s="1"/>
  <c r="E29" i="8" s="1"/>
  <c r="E30" i="8" s="1"/>
  <c r="E31" i="8" s="1"/>
  <c r="E32" i="8" s="1"/>
  <c r="D26" i="8"/>
  <c r="G25" i="8"/>
  <c r="J25" i="8" s="1"/>
  <c r="Z54" i="8"/>
  <c r="AA54" i="8" s="1"/>
  <c r="AI36" i="8"/>
  <c r="AB38" i="8"/>
  <c r="AA36" i="8"/>
  <c r="AA15" i="8"/>
  <c r="O3" i="8" s="1"/>
  <c r="AA59" i="8"/>
  <c r="Z60" i="8"/>
  <c r="AA60" i="8" s="1"/>
  <c r="J7" i="6"/>
  <c r="AB2" i="6" l="1"/>
  <c r="AB28" i="6" s="1"/>
  <c r="D17" i="6"/>
  <c r="AT2" i="6"/>
  <c r="AT33" i="6" s="1"/>
  <c r="AN2" i="6"/>
  <c r="AN33" i="6" s="1"/>
  <c r="AW2" i="6"/>
  <c r="AW31" i="6" s="1"/>
  <c r="AE2" i="6"/>
  <c r="AE17" i="6" s="1"/>
  <c r="S2" i="6"/>
  <c r="S17" i="6" s="1"/>
  <c r="Y2" i="6"/>
  <c r="Y28" i="6" s="1"/>
  <c r="V2" i="6"/>
  <c r="V14" i="6" s="1"/>
  <c r="AI38" i="8"/>
  <c r="AQ17" i="6"/>
  <c r="AQ9" i="6"/>
  <c r="AQ27" i="6"/>
  <c r="AQ16" i="6"/>
  <c r="AQ30" i="6"/>
  <c r="AQ20" i="6"/>
  <c r="AQ3" i="6"/>
  <c r="AQ6" i="6"/>
  <c r="AQ24" i="6"/>
  <c r="AQ18" i="6"/>
  <c r="AQ15" i="6"/>
  <c r="AQ4" i="6"/>
  <c r="AQ25" i="6"/>
  <c r="AQ12" i="6"/>
  <c r="AQ22" i="6"/>
  <c r="AQ19" i="6"/>
  <c r="AQ26" i="6"/>
  <c r="AQ32" i="6"/>
  <c r="AQ14" i="6"/>
  <c r="AQ31" i="6"/>
  <c r="AQ23" i="6"/>
  <c r="AQ11" i="6"/>
  <c r="AQ28" i="6"/>
  <c r="AQ10" i="6"/>
  <c r="AQ13" i="6"/>
  <c r="AQ7" i="6"/>
  <c r="AQ29" i="6"/>
  <c r="AQ21" i="6"/>
  <c r="AQ8" i="6"/>
  <c r="AQ5" i="6"/>
  <c r="AK2" i="6"/>
  <c r="AK29" i="6" s="1"/>
  <c r="AZ2" i="6"/>
  <c r="AZ29" i="6" s="1"/>
  <c r="AH2" i="6"/>
  <c r="AH15" i="6" s="1"/>
  <c r="F17" i="6"/>
  <c r="D18" i="6" s="1"/>
  <c r="F18" i="6" s="1"/>
  <c r="K25" i="8"/>
  <c r="K24" i="8"/>
  <c r="D8" i="6"/>
  <c r="M23" i="8"/>
  <c r="K23" i="8"/>
  <c r="D27" i="8"/>
  <c r="G26" i="8"/>
  <c r="J26" i="8" s="1"/>
  <c r="H24" i="8"/>
  <c r="L24" i="8" s="1"/>
  <c r="Q3" i="8"/>
  <c r="X3" i="8"/>
  <c r="U3" i="8"/>
  <c r="V3" i="8"/>
  <c r="W3" i="8"/>
  <c r="R3" i="8"/>
  <c r="T3" i="8"/>
  <c r="P3" i="8"/>
  <c r="S3" i="8"/>
  <c r="Z22" i="8"/>
  <c r="AA22" i="8" s="1"/>
  <c r="AD97" i="8" s="1"/>
  <c r="AE97" i="8" s="1"/>
  <c r="AC18" i="8"/>
  <c r="AD90" i="8"/>
  <c r="AE90" i="8" s="1"/>
  <c r="AI13" i="8"/>
  <c r="AH27" i="8" s="1"/>
  <c r="AJ27" i="8" s="1"/>
  <c r="AC17" i="8"/>
  <c r="AC16" i="8"/>
  <c r="AC19" i="8"/>
  <c r="BG28" i="8"/>
  <c r="AC38" i="8"/>
  <c r="AC37" i="8"/>
  <c r="Z43" i="8"/>
  <c r="AA43" i="8" s="1"/>
  <c r="AC39" i="8"/>
  <c r="AC40" i="8"/>
  <c r="AI34" i="8"/>
  <c r="AH48" i="8" s="1"/>
  <c r="AJ48" i="8" s="1"/>
  <c r="AB24" i="6" l="1"/>
  <c r="AB6" i="6"/>
  <c r="AB31" i="6"/>
  <c r="AB12" i="6"/>
  <c r="AW13" i="6"/>
  <c r="AB10" i="6"/>
  <c r="AB13" i="6"/>
  <c r="AB16" i="6"/>
  <c r="AB21" i="6"/>
  <c r="AW12" i="6"/>
  <c r="AB20" i="6"/>
  <c r="AB15" i="6"/>
  <c r="AB27" i="6"/>
  <c r="AB9" i="6"/>
  <c r="AB25" i="6"/>
  <c r="AB30" i="6"/>
  <c r="AB8" i="6"/>
  <c r="AB7" i="6"/>
  <c r="AB14" i="6"/>
  <c r="AB23" i="6"/>
  <c r="AE29" i="6"/>
  <c r="AB22" i="6"/>
  <c r="AB18" i="6"/>
  <c r="AB32" i="6"/>
  <c r="AE14" i="6"/>
  <c r="AB19" i="6"/>
  <c r="AB4" i="6"/>
  <c r="AB17" i="6"/>
  <c r="AB5" i="6"/>
  <c r="AB29" i="6"/>
  <c r="AE33" i="6"/>
  <c r="V24" i="6"/>
  <c r="AW25" i="6"/>
  <c r="AW27" i="6"/>
  <c r="AW4" i="6"/>
  <c r="AZ7" i="6"/>
  <c r="AZ12" i="6"/>
  <c r="AZ15" i="6"/>
  <c r="AW19" i="6"/>
  <c r="AW16" i="6"/>
  <c r="AW30" i="6"/>
  <c r="V8" i="6"/>
  <c r="V27" i="6"/>
  <c r="V21" i="6"/>
  <c r="AW24" i="6"/>
  <c r="AW17" i="6"/>
  <c r="AW22" i="6"/>
  <c r="V3" i="6"/>
  <c r="V18" i="6"/>
  <c r="AE10" i="6"/>
  <c r="AZ14" i="6"/>
  <c r="AW20" i="6"/>
  <c r="AW3" i="6"/>
  <c r="AW5" i="6"/>
  <c r="V25" i="6"/>
  <c r="V6" i="6"/>
  <c r="AW32" i="6"/>
  <c r="V16" i="6"/>
  <c r="V31" i="6"/>
  <c r="V19" i="6"/>
  <c r="AB26" i="6"/>
  <c r="AB3" i="6"/>
  <c r="AB11" i="6"/>
  <c r="AW6" i="6"/>
  <c r="V26" i="6"/>
  <c r="V29" i="6"/>
  <c r="V17" i="6"/>
  <c r="V20" i="6"/>
  <c r="AZ9" i="6"/>
  <c r="AE24" i="6"/>
  <c r="AZ11" i="6"/>
  <c r="AE21" i="6"/>
  <c r="AE15" i="6"/>
  <c r="AH7" i="6"/>
  <c r="AT21" i="6"/>
  <c r="AT29" i="6"/>
  <c r="AZ22" i="6"/>
  <c r="S3" i="6"/>
  <c r="AT6" i="6"/>
  <c r="AT28" i="6"/>
  <c r="AN19" i="6"/>
  <c r="AT14" i="6"/>
  <c r="S20" i="6"/>
  <c r="AT32" i="6"/>
  <c r="S28" i="6"/>
  <c r="S30" i="6"/>
  <c r="AE23" i="6"/>
  <c r="AT25" i="6"/>
  <c r="Y7" i="6"/>
  <c r="AT31" i="6"/>
  <c r="AT22" i="6"/>
  <c r="AN17" i="6"/>
  <c r="S15" i="6"/>
  <c r="AN18" i="6"/>
  <c r="AN21" i="6"/>
  <c r="AN25" i="6"/>
  <c r="AT24" i="6"/>
  <c r="Y10" i="6"/>
  <c r="Y32" i="6"/>
  <c r="AN20" i="6"/>
  <c r="Y17" i="6"/>
  <c r="AN4" i="6"/>
  <c r="AN14" i="6"/>
  <c r="S31" i="6"/>
  <c r="AT9" i="6"/>
  <c r="AT15" i="6"/>
  <c r="AT7" i="6"/>
  <c r="AN32" i="6"/>
  <c r="AN15" i="6"/>
  <c r="AT5" i="6"/>
  <c r="AZ28" i="6"/>
  <c r="AZ27" i="6"/>
  <c r="AT11" i="6"/>
  <c r="S9" i="6"/>
  <c r="AN28" i="6"/>
  <c r="AN10" i="6"/>
  <c r="S19" i="6"/>
  <c r="AN27" i="6"/>
  <c r="AN9" i="6"/>
  <c r="AN26" i="6"/>
  <c r="AN8" i="6"/>
  <c r="S6" i="6"/>
  <c r="AZ18" i="6"/>
  <c r="AN11" i="6"/>
  <c r="S29" i="6"/>
  <c r="S23" i="6"/>
  <c r="AZ30" i="6"/>
  <c r="AT10" i="6"/>
  <c r="AT20" i="6"/>
  <c r="AT13" i="6"/>
  <c r="AT12" i="6"/>
  <c r="AT30" i="6"/>
  <c r="AH11" i="6"/>
  <c r="AH13" i="6"/>
  <c r="Y3" i="6"/>
  <c r="AN31" i="6"/>
  <c r="AN13" i="6"/>
  <c r="AN30" i="6"/>
  <c r="AN12" i="6"/>
  <c r="AN7" i="6"/>
  <c r="AN29" i="6"/>
  <c r="AT23" i="6"/>
  <c r="AT4" i="6"/>
  <c r="Y24" i="6"/>
  <c r="Y16" i="6"/>
  <c r="AT8" i="6"/>
  <c r="AT26" i="6"/>
  <c r="AZ16" i="6"/>
  <c r="AT18" i="6"/>
  <c r="AZ24" i="6"/>
  <c r="AZ23" i="6"/>
  <c r="AT17" i="6"/>
  <c r="AH23" i="6"/>
  <c r="Y19" i="6"/>
  <c r="AN24" i="6"/>
  <c r="AN6" i="6"/>
  <c r="S10" i="6"/>
  <c r="AN23" i="6"/>
  <c r="AN5" i="6"/>
  <c r="AN22" i="6"/>
  <c r="AN3" i="6"/>
  <c r="S33" i="6"/>
  <c r="AN16" i="6"/>
  <c r="S8" i="6"/>
  <c r="AT27" i="6"/>
  <c r="AH3" i="6"/>
  <c r="AT3" i="6"/>
  <c r="AH5" i="6"/>
  <c r="AT19" i="6"/>
  <c r="AT16" i="6"/>
  <c r="AE28" i="6"/>
  <c r="AE19" i="6"/>
  <c r="AE25" i="6"/>
  <c r="AE30" i="6"/>
  <c r="AE5" i="6"/>
  <c r="AW23" i="6"/>
  <c r="AW28" i="6"/>
  <c r="AW10" i="6"/>
  <c r="AE9" i="6"/>
  <c r="AE11" i="6"/>
  <c r="AW11" i="6"/>
  <c r="V30" i="6"/>
  <c r="AE13" i="6"/>
  <c r="AE3" i="6"/>
  <c r="AE6" i="6"/>
  <c r="V23" i="6"/>
  <c r="V9" i="6"/>
  <c r="AE22" i="6"/>
  <c r="V28" i="6"/>
  <c r="V10" i="6"/>
  <c r="V22" i="6"/>
  <c r="V7" i="6"/>
  <c r="V5" i="6"/>
  <c r="AW26" i="6"/>
  <c r="AW18" i="6"/>
  <c r="AW7" i="6"/>
  <c r="AW29" i="6"/>
  <c r="AW21" i="6"/>
  <c r="AE4" i="6"/>
  <c r="AE12" i="6"/>
  <c r="AE18" i="6"/>
  <c r="AK7" i="6"/>
  <c r="AK31" i="6"/>
  <c r="V11" i="6"/>
  <c r="AE8" i="6"/>
  <c r="AE16" i="6"/>
  <c r="AE27" i="6"/>
  <c r="V12" i="6"/>
  <c r="V13" i="6"/>
  <c r="AE31" i="6"/>
  <c r="V15" i="6"/>
  <c r="AE26" i="6"/>
  <c r="V4" i="6"/>
  <c r="AE32" i="6"/>
  <c r="AE20" i="6"/>
  <c r="AE7" i="6"/>
  <c r="AW9" i="6"/>
  <c r="AW8" i="6"/>
  <c r="AW15" i="6"/>
  <c r="AW14" i="6"/>
  <c r="Y26" i="6"/>
  <c r="AH26" i="6"/>
  <c r="AH8" i="6"/>
  <c r="AH30" i="6"/>
  <c r="AH9" i="6"/>
  <c r="AH25" i="6"/>
  <c r="Y4" i="6"/>
  <c r="Y22" i="6"/>
  <c r="AH12" i="6"/>
  <c r="Y25" i="6"/>
  <c r="Y8" i="6"/>
  <c r="AH27" i="6"/>
  <c r="AZ25" i="6"/>
  <c r="AZ17" i="6"/>
  <c r="AH4" i="6"/>
  <c r="AZ32" i="6"/>
  <c r="AH22" i="6"/>
  <c r="AZ19" i="6"/>
  <c r="AZ20" i="6"/>
  <c r="S11" i="6"/>
  <c r="S26" i="6"/>
  <c r="Y23" i="6"/>
  <c r="Y27" i="6"/>
  <c r="S4" i="6"/>
  <c r="S22" i="6"/>
  <c r="S7" i="6"/>
  <c r="AZ4" i="6"/>
  <c r="S12" i="6"/>
  <c r="S14" i="6"/>
  <c r="AH31" i="6"/>
  <c r="AZ26" i="6"/>
  <c r="S13" i="6"/>
  <c r="AH20" i="6"/>
  <c r="Y20" i="6"/>
  <c r="Y5" i="6"/>
  <c r="Y29" i="6"/>
  <c r="Y15" i="6"/>
  <c r="AH16" i="6"/>
  <c r="Y13" i="6"/>
  <c r="Y18" i="6"/>
  <c r="Y14" i="6"/>
  <c r="Y21" i="6"/>
  <c r="Y6" i="6"/>
  <c r="Y11" i="6"/>
  <c r="AH6" i="6"/>
  <c r="AZ21" i="6"/>
  <c r="AZ5" i="6"/>
  <c r="AZ33" i="6"/>
  <c r="AZ10" i="6"/>
  <c r="AH10" i="6"/>
  <c r="AZ31" i="6"/>
  <c r="AZ13" i="6"/>
  <c r="AZ3" i="6"/>
  <c r="Y30" i="6"/>
  <c r="S27" i="6"/>
  <c r="S32" i="6"/>
  <c r="Y33" i="6"/>
  <c r="Y9" i="6"/>
  <c r="S25" i="6"/>
  <c r="S24" i="6"/>
  <c r="S21" i="6"/>
  <c r="Y12" i="6"/>
  <c r="S18" i="6"/>
  <c r="S5" i="6"/>
  <c r="AZ6" i="6"/>
  <c r="S16" i="6"/>
  <c r="AH19" i="6"/>
  <c r="AZ8" i="6"/>
  <c r="Y31" i="6"/>
  <c r="AK13" i="6"/>
  <c r="AK28" i="6"/>
  <c r="AK30" i="6"/>
  <c r="AK18" i="6"/>
  <c r="AH18" i="6"/>
  <c r="AH29" i="6"/>
  <c r="AH14" i="6"/>
  <c r="AH32" i="6"/>
  <c r="AH21" i="6"/>
  <c r="AH24" i="6"/>
  <c r="AK11" i="6"/>
  <c r="AH28" i="6"/>
  <c r="AH17" i="6"/>
  <c r="AK25" i="6"/>
  <c r="AK3" i="6"/>
  <c r="AK27" i="6"/>
  <c r="AK8" i="6"/>
  <c r="AK4" i="6"/>
  <c r="AK5" i="6"/>
  <c r="AK21" i="6"/>
  <c r="AK14" i="6"/>
  <c r="AK15" i="6"/>
  <c r="AK23" i="6"/>
  <c r="AK9" i="6"/>
  <c r="AK20" i="6"/>
  <c r="AK17" i="6"/>
  <c r="AK24" i="6"/>
  <c r="AK10" i="6"/>
  <c r="AK26" i="6"/>
  <c r="AK6" i="6"/>
  <c r="AK16" i="6"/>
  <c r="AK12" i="6"/>
  <c r="AK33" i="6"/>
  <c r="AK32" i="6"/>
  <c r="AK19" i="6"/>
  <c r="AK22" i="6"/>
  <c r="K26" i="8"/>
  <c r="M24" i="8"/>
  <c r="AK48" i="8"/>
  <c r="AL48" i="8"/>
  <c r="AK27" i="8"/>
  <c r="AL27" i="8"/>
  <c r="H25" i="8"/>
  <c r="D28" i="8"/>
  <c r="G27" i="8"/>
  <c r="BG37" i="8"/>
  <c r="BG35" i="8"/>
  <c r="BG34" i="8"/>
  <c r="BG32" i="8"/>
  <c r="BG36" i="8"/>
  <c r="BG31" i="8"/>
  <c r="BG30" i="8"/>
  <c r="BG29" i="8"/>
  <c r="BG33" i="8"/>
  <c r="AH24" i="8"/>
  <c r="AJ24" i="8" s="1"/>
  <c r="AH26" i="8"/>
  <c r="AJ26" i="8" s="1"/>
  <c r="AH29" i="8"/>
  <c r="AJ29" i="8" s="1"/>
  <c r="AH22" i="8"/>
  <c r="AJ22" i="8" s="1"/>
  <c r="AH23" i="8"/>
  <c r="AJ23" i="8" s="1"/>
  <c r="AH21" i="8"/>
  <c r="AJ21" i="8" s="1"/>
  <c r="AH25" i="8"/>
  <c r="AJ25" i="8" s="1"/>
  <c r="AH28" i="8"/>
  <c r="AJ28" i="8" s="1"/>
  <c r="AH42" i="8"/>
  <c r="AJ42" i="8" s="1"/>
  <c r="AH44" i="8"/>
  <c r="AJ44" i="8" s="1"/>
  <c r="AH50" i="8"/>
  <c r="AJ50" i="8" s="1"/>
  <c r="AH49" i="8"/>
  <c r="AJ49" i="8" s="1"/>
  <c r="AH47" i="8"/>
  <c r="AJ47" i="8" s="1"/>
  <c r="AH43" i="8"/>
  <c r="AJ43" i="8" s="1"/>
  <c r="AH45" i="8"/>
  <c r="AJ45" i="8" s="1"/>
  <c r="AH46" i="8"/>
  <c r="AJ46" i="8" s="1"/>
  <c r="L25" i="8" l="1"/>
  <c r="M25" i="8"/>
  <c r="J27" i="8"/>
  <c r="K27" i="8"/>
  <c r="AK43" i="8"/>
  <c r="AL43" i="8"/>
  <c r="AK42" i="8"/>
  <c r="AL42" i="8"/>
  <c r="AK44" i="8"/>
  <c r="AL44" i="8"/>
  <c r="AK47" i="8"/>
  <c r="AL47" i="8"/>
  <c r="AK46" i="8"/>
  <c r="AL46" i="8"/>
  <c r="AK45" i="8"/>
  <c r="AL45" i="8"/>
  <c r="AK21" i="8"/>
  <c r="AL21" i="8"/>
  <c r="AK25" i="8"/>
  <c r="AL25" i="8"/>
  <c r="AK23" i="8"/>
  <c r="AL23" i="8"/>
  <c r="AK24" i="8"/>
  <c r="AL24" i="8"/>
  <c r="AK22" i="8"/>
  <c r="AL22" i="8"/>
  <c r="AK26" i="8"/>
  <c r="AL26" i="8"/>
  <c r="D29" i="8"/>
  <c r="G28" i="8"/>
  <c r="H26" i="8"/>
  <c r="AL50" i="8"/>
  <c r="AK50" i="8"/>
  <c r="AK29" i="8"/>
  <c r="AL29" i="8"/>
  <c r="AL49" i="8"/>
  <c r="AK49" i="8"/>
  <c r="AL28" i="8"/>
  <c r="AK28" i="8"/>
  <c r="L26" i="8" l="1"/>
  <c r="M26" i="8"/>
  <c r="J28" i="8"/>
  <c r="K28" i="8"/>
  <c r="D30" i="8"/>
  <c r="G29" i="8"/>
  <c r="H27" i="8"/>
  <c r="J29" i="8" l="1"/>
  <c r="K29" i="8"/>
  <c r="L27" i="8"/>
  <c r="M27" i="8"/>
  <c r="D31" i="8"/>
  <c r="G30" i="8"/>
  <c r="H28" i="8"/>
  <c r="A13" i="5"/>
  <c r="L28" i="8" l="1"/>
  <c r="M28" i="8"/>
  <c r="J30" i="8"/>
  <c r="K30" i="8"/>
  <c r="H29" i="8"/>
  <c r="D32" i="8"/>
  <c r="G32" i="8" s="1"/>
  <c r="G31" i="8"/>
  <c r="B5" i="5"/>
  <c r="E12" i="5"/>
  <c r="D12" i="5"/>
  <c r="B4" i="5"/>
  <c r="C6" i="5" s="1"/>
  <c r="M12" i="5"/>
  <c r="H12" i="5"/>
  <c r="L12" i="5"/>
  <c r="G12" i="5"/>
  <c r="J12" i="5"/>
  <c r="K12" i="5"/>
  <c r="J31" i="8" l="1"/>
  <c r="K31" i="8"/>
  <c r="J32" i="8"/>
  <c r="K32" i="8"/>
  <c r="L29" i="8"/>
  <c r="M29" i="8"/>
  <c r="H30" i="8"/>
  <c r="M3" i="5"/>
  <c r="H3" i="5"/>
  <c r="J3" i="5"/>
  <c r="L3" i="5"/>
  <c r="G3" i="5"/>
  <c r="E3" i="5"/>
  <c r="D3" i="5"/>
  <c r="K3" i="5"/>
  <c r="D13" i="5"/>
  <c r="D14" i="5" s="1"/>
  <c r="G13" i="5"/>
  <c r="G14" i="5" s="1"/>
  <c r="J13" i="5"/>
  <c r="J14" i="5" s="1"/>
  <c r="L30" i="8" l="1"/>
  <c r="M30" i="8"/>
  <c r="H32" i="8"/>
  <c r="H31" i="8"/>
  <c r="D6" i="5"/>
  <c r="D7" i="5" s="1"/>
  <c r="J4" i="5"/>
  <c r="G6" i="5"/>
  <c r="G7" i="5" s="1"/>
  <c r="M4" i="5"/>
  <c r="C31" i="5" l="1"/>
  <c r="C26" i="5"/>
  <c r="C36" i="5"/>
  <c r="C40" i="5"/>
  <c r="C34" i="5"/>
  <c r="C35" i="5"/>
  <c r="C29" i="5"/>
  <c r="C27" i="5"/>
  <c r="C32" i="5"/>
  <c r="C38" i="5"/>
  <c r="C37" i="5"/>
  <c r="C39" i="5"/>
  <c r="C28" i="5"/>
  <c r="C30" i="5"/>
  <c r="C33" i="5"/>
  <c r="L31" i="8"/>
  <c r="M31" i="8"/>
  <c r="L32" i="8"/>
  <c r="M32" i="8"/>
  <c r="D16" i="5"/>
  <c r="F16" i="5" s="1"/>
  <c r="J6" i="5"/>
  <c r="AW2" i="5" l="1"/>
  <c r="D17" i="5"/>
  <c r="F17" i="5" s="1"/>
  <c r="V2" i="5"/>
  <c r="AH2" i="5"/>
  <c r="AQ2" i="5"/>
  <c r="AE2" i="5"/>
  <c r="AB2" i="5"/>
  <c r="S2" i="5"/>
  <c r="AZ2" i="5"/>
  <c r="Y2" i="5"/>
  <c r="AT2" i="5"/>
  <c r="AK2" i="5"/>
  <c r="AN2" i="5"/>
  <c r="J7" i="5"/>
  <c r="D8" i="5" l="1"/>
  <c r="AZ33" i="5"/>
  <c r="AZ29" i="5"/>
  <c r="AZ25" i="5"/>
  <c r="AZ21" i="5"/>
  <c r="AZ17" i="5"/>
  <c r="AZ13" i="5"/>
  <c r="AZ9" i="5"/>
  <c r="AZ5" i="5"/>
  <c r="AZ18" i="5"/>
  <c r="AZ6" i="5"/>
  <c r="AZ32" i="5"/>
  <c r="AZ28" i="5"/>
  <c r="AZ24" i="5"/>
  <c r="AZ20" i="5"/>
  <c r="AZ16" i="5"/>
  <c r="AZ12" i="5"/>
  <c r="AZ8" i="5"/>
  <c r="AZ4" i="5"/>
  <c r="AZ22" i="5"/>
  <c r="AZ10" i="5"/>
  <c r="AZ31" i="5"/>
  <c r="AZ27" i="5"/>
  <c r="AZ23" i="5"/>
  <c r="AZ19" i="5"/>
  <c r="AZ15" i="5"/>
  <c r="AZ11" i="5"/>
  <c r="AZ7" i="5"/>
  <c r="AZ30" i="5"/>
  <c r="AZ26" i="5"/>
  <c r="AZ14" i="5"/>
  <c r="AZ3" i="5"/>
  <c r="AW30" i="5"/>
  <c r="AW26" i="5"/>
  <c r="AW22" i="5"/>
  <c r="AW18" i="5"/>
  <c r="AW14" i="5"/>
  <c r="AW10" i="5"/>
  <c r="AW6" i="5"/>
  <c r="AW29" i="5"/>
  <c r="AW25" i="5"/>
  <c r="AW21" i="5"/>
  <c r="AW17" i="5"/>
  <c r="AW13" i="5"/>
  <c r="AW9" i="5"/>
  <c r="AW5" i="5"/>
  <c r="AW32" i="5"/>
  <c r="AW28" i="5"/>
  <c r="AW24" i="5"/>
  <c r="AW20" i="5"/>
  <c r="AW16" i="5"/>
  <c r="AW12" i="5"/>
  <c r="AW8" i="5"/>
  <c r="AW4" i="5"/>
  <c r="AW31" i="5"/>
  <c r="AW27" i="5"/>
  <c r="AW23" i="5"/>
  <c r="AW19" i="5"/>
  <c r="AW15" i="5"/>
  <c r="AW11" i="5"/>
  <c r="AW7" i="5"/>
  <c r="AW3" i="5"/>
  <c r="AT33" i="5"/>
  <c r="AT29" i="5"/>
  <c r="AT25" i="5"/>
  <c r="AT21" i="5"/>
  <c r="AT17" i="5"/>
  <c r="AT13" i="5"/>
  <c r="AT9" i="5"/>
  <c r="AT5" i="5"/>
  <c r="AT30" i="5"/>
  <c r="AT18" i="5"/>
  <c r="AT6" i="5"/>
  <c r="AT32" i="5"/>
  <c r="AT28" i="5"/>
  <c r="AT24" i="5"/>
  <c r="AT20" i="5"/>
  <c r="AT16" i="5"/>
  <c r="AT12" i="5"/>
  <c r="AT8" i="5"/>
  <c r="AT4" i="5"/>
  <c r="AT22" i="5"/>
  <c r="AT10" i="5"/>
  <c r="AT31" i="5"/>
  <c r="AT27" i="5"/>
  <c r="AT23" i="5"/>
  <c r="AT19" i="5"/>
  <c r="AT15" i="5"/>
  <c r="AT11" i="5"/>
  <c r="AT7" i="5"/>
  <c r="AT26" i="5"/>
  <c r="AT14" i="5"/>
  <c r="AT3" i="5"/>
  <c r="AQ32" i="5"/>
  <c r="AQ28" i="5"/>
  <c r="AQ24" i="5"/>
  <c r="AQ20" i="5"/>
  <c r="AQ16" i="5"/>
  <c r="AQ12" i="5"/>
  <c r="AQ8" i="5"/>
  <c r="AQ4" i="5"/>
  <c r="AQ21" i="5"/>
  <c r="AQ13" i="5"/>
  <c r="AQ31" i="5"/>
  <c r="AQ27" i="5"/>
  <c r="AQ23" i="5"/>
  <c r="AQ19" i="5"/>
  <c r="AQ15" i="5"/>
  <c r="AQ11" i="5"/>
  <c r="AQ7" i="5"/>
  <c r="AQ25" i="5"/>
  <c r="AQ9" i="5"/>
  <c r="AQ30" i="5"/>
  <c r="AQ26" i="5"/>
  <c r="AQ22" i="5"/>
  <c r="AQ18" i="5"/>
  <c r="AQ14" i="5"/>
  <c r="AQ10" i="5"/>
  <c r="AQ6" i="5"/>
  <c r="AQ29" i="5"/>
  <c r="AQ17" i="5"/>
  <c r="AQ5" i="5"/>
  <c r="AQ3" i="5"/>
  <c r="AN33" i="5"/>
  <c r="AN29" i="5"/>
  <c r="AN25" i="5"/>
  <c r="AN21" i="5"/>
  <c r="AN17" i="5"/>
  <c r="AN13" i="5"/>
  <c r="AN9" i="5"/>
  <c r="AN5" i="5"/>
  <c r="AN4" i="5"/>
  <c r="AN22" i="5"/>
  <c r="AN18" i="5"/>
  <c r="AN6" i="5"/>
  <c r="AN32" i="5"/>
  <c r="AN28" i="5"/>
  <c r="AN24" i="5"/>
  <c r="AN20" i="5"/>
  <c r="AN16" i="5"/>
  <c r="AN12" i="5"/>
  <c r="AN8" i="5"/>
  <c r="AN14" i="5"/>
  <c r="AN31" i="5"/>
  <c r="AN27" i="5"/>
  <c r="AN23" i="5"/>
  <c r="AN19" i="5"/>
  <c r="AN15" i="5"/>
  <c r="AN11" i="5"/>
  <c r="AN7" i="5"/>
  <c r="AN30" i="5"/>
  <c r="AN26" i="5"/>
  <c r="AN10" i="5"/>
  <c r="AN3" i="5"/>
  <c r="AK33" i="5"/>
  <c r="AK29" i="5"/>
  <c r="AK25" i="5"/>
  <c r="AK21" i="5"/>
  <c r="AK17" i="5"/>
  <c r="AK13" i="5"/>
  <c r="AK9" i="5"/>
  <c r="AK5" i="5"/>
  <c r="AK27" i="5"/>
  <c r="AK19" i="5"/>
  <c r="AK11" i="5"/>
  <c r="AK30" i="5"/>
  <c r="AK22" i="5"/>
  <c r="AK14" i="5"/>
  <c r="AK6" i="5"/>
  <c r="AK32" i="5"/>
  <c r="AK28" i="5"/>
  <c r="AK24" i="5"/>
  <c r="AK20" i="5"/>
  <c r="AK16" i="5"/>
  <c r="AK12" i="5"/>
  <c r="AK8" i="5"/>
  <c r="AK4" i="5"/>
  <c r="AK31" i="5"/>
  <c r="AK23" i="5"/>
  <c r="AK15" i="5"/>
  <c r="AK7" i="5"/>
  <c r="AK26" i="5"/>
  <c r="AK18" i="5"/>
  <c r="AK10" i="5"/>
  <c r="AK3" i="5"/>
  <c r="AH32" i="5"/>
  <c r="AH28" i="5"/>
  <c r="AH24" i="5"/>
  <c r="AH20" i="5"/>
  <c r="AH16" i="5"/>
  <c r="AH12" i="5"/>
  <c r="AH8" i="5"/>
  <c r="AH4" i="5"/>
  <c r="AH25" i="5"/>
  <c r="AH21" i="5"/>
  <c r="AH9" i="5"/>
  <c r="AH31" i="5"/>
  <c r="AH27" i="5"/>
  <c r="AH23" i="5"/>
  <c r="AH19" i="5"/>
  <c r="AH15" i="5"/>
  <c r="AH11" i="5"/>
  <c r="AH7" i="5"/>
  <c r="AH13" i="5"/>
  <c r="AH5" i="5"/>
  <c r="AH30" i="5"/>
  <c r="AH26" i="5"/>
  <c r="AH22" i="5"/>
  <c r="AH18" i="5"/>
  <c r="AH14" i="5"/>
  <c r="AH10" i="5"/>
  <c r="AH6" i="5"/>
  <c r="AH29" i="5"/>
  <c r="AH17" i="5"/>
  <c r="AH3" i="5"/>
  <c r="AE33" i="5"/>
  <c r="AE29" i="5"/>
  <c r="AE25" i="5"/>
  <c r="AE21" i="5"/>
  <c r="AE17" i="5"/>
  <c r="AE13" i="5"/>
  <c r="AE9" i="5"/>
  <c r="AE5" i="5"/>
  <c r="AE24" i="5"/>
  <c r="AE20" i="5"/>
  <c r="AE12" i="5"/>
  <c r="AE4" i="5"/>
  <c r="AE30" i="5"/>
  <c r="AE18" i="5"/>
  <c r="AE6" i="5"/>
  <c r="AE32" i="5"/>
  <c r="AE28" i="5"/>
  <c r="AE16" i="5"/>
  <c r="AE8" i="5"/>
  <c r="AE22" i="5"/>
  <c r="AE10" i="5"/>
  <c r="AE31" i="5"/>
  <c r="AE27" i="5"/>
  <c r="AE23" i="5"/>
  <c r="AE19" i="5"/>
  <c r="AE15" i="5"/>
  <c r="AE11" i="5"/>
  <c r="AE7" i="5"/>
  <c r="AE26" i="5"/>
  <c r="AE14" i="5"/>
  <c r="AE3" i="5"/>
  <c r="AB32" i="5"/>
  <c r="AB28" i="5"/>
  <c r="AB24" i="5"/>
  <c r="AB20" i="5"/>
  <c r="AB16" i="5"/>
  <c r="AB12" i="5"/>
  <c r="AB8" i="5"/>
  <c r="AB4" i="5"/>
  <c r="AB27" i="5"/>
  <c r="AB23" i="5"/>
  <c r="AB15" i="5"/>
  <c r="AB11" i="5"/>
  <c r="AB13" i="5"/>
  <c r="AB5" i="5"/>
  <c r="AB31" i="5"/>
  <c r="AB19" i="5"/>
  <c r="AB7" i="5"/>
  <c r="AB30" i="5"/>
  <c r="AB26" i="5"/>
  <c r="AB22" i="5"/>
  <c r="AB18" i="5"/>
  <c r="AB14" i="5"/>
  <c r="AB10" i="5"/>
  <c r="AB6" i="5"/>
  <c r="AB29" i="5"/>
  <c r="AB25" i="5"/>
  <c r="AB21" i="5"/>
  <c r="AB17" i="5"/>
  <c r="AB9" i="5"/>
  <c r="AB3" i="5"/>
  <c r="Y33" i="5"/>
  <c r="Y29" i="5"/>
  <c r="Y25" i="5"/>
  <c r="Y21" i="5"/>
  <c r="Y17" i="5"/>
  <c r="Y13" i="5"/>
  <c r="Y9" i="5"/>
  <c r="Y5" i="5"/>
  <c r="Y22" i="5"/>
  <c r="Y14" i="5"/>
  <c r="Y32" i="5"/>
  <c r="Y28" i="5"/>
  <c r="Y24" i="5"/>
  <c r="Y20" i="5"/>
  <c r="Y16" i="5"/>
  <c r="Y12" i="5"/>
  <c r="Y8" i="5"/>
  <c r="Y4" i="5"/>
  <c r="Y26" i="5"/>
  <c r="Y18" i="5"/>
  <c r="Y6" i="5"/>
  <c r="Y31" i="5"/>
  <c r="Y27" i="5"/>
  <c r="Y23" i="5"/>
  <c r="Y19" i="5"/>
  <c r="Y15" i="5"/>
  <c r="Y11" i="5"/>
  <c r="Y7" i="5"/>
  <c r="Y30" i="5"/>
  <c r="Y10" i="5"/>
  <c r="Y3" i="5"/>
  <c r="V31" i="5"/>
  <c r="V27" i="5"/>
  <c r="V23" i="5"/>
  <c r="V19" i="5"/>
  <c r="V15" i="5"/>
  <c r="V22" i="5"/>
  <c r="V14" i="5"/>
  <c r="V12" i="5"/>
  <c r="V30" i="5"/>
  <c r="V26" i="5"/>
  <c r="V18" i="5"/>
  <c r="V29" i="5"/>
  <c r="V25" i="5"/>
  <c r="V21" i="5"/>
  <c r="V17" i="5"/>
  <c r="V13" i="5"/>
  <c r="V28" i="5"/>
  <c r="V24" i="5"/>
  <c r="V20" i="5"/>
  <c r="V16" i="5"/>
  <c r="V8" i="5"/>
  <c r="V4" i="5"/>
  <c r="V11" i="5"/>
  <c r="V7" i="5"/>
  <c r="V10" i="5"/>
  <c r="V6" i="5"/>
  <c r="V9" i="5"/>
  <c r="V5" i="5"/>
  <c r="V3" i="5"/>
  <c r="S33" i="5"/>
  <c r="S29" i="5"/>
  <c r="S25" i="5"/>
  <c r="S21" i="5"/>
  <c r="S17" i="5"/>
  <c r="S13" i="5"/>
  <c r="S28" i="5"/>
  <c r="S24" i="5"/>
  <c r="S16" i="5"/>
  <c r="S31" i="5"/>
  <c r="S23" i="5"/>
  <c r="S15" i="5"/>
  <c r="S26" i="5"/>
  <c r="S18" i="5"/>
  <c r="S32" i="5"/>
  <c r="S20" i="5"/>
  <c r="S27" i="5"/>
  <c r="S19" i="5"/>
  <c r="S30" i="5"/>
  <c r="S22" i="5"/>
  <c r="S14" i="5"/>
  <c r="S12" i="5"/>
  <c r="S8" i="5"/>
  <c r="S4" i="5"/>
  <c r="S11" i="5"/>
  <c r="S7" i="5"/>
  <c r="S3" i="5"/>
  <c r="S10" i="5"/>
  <c r="S6" i="5"/>
  <c r="S9" i="5"/>
  <c r="S5" i="5"/>
  <c r="D18" i="5"/>
  <c r="F18" i="5" s="1"/>
  <c r="C6" i="4"/>
  <c r="B5" i="4"/>
  <c r="M3" i="4" s="1"/>
  <c r="M4" i="4" s="1"/>
  <c r="B4" i="4"/>
  <c r="O3" i="4"/>
  <c r="L3" i="4" l="1"/>
  <c r="L4" i="4" s="1"/>
  <c r="D3" i="4"/>
  <c r="J3" i="4"/>
  <c r="J4" i="4" s="1"/>
  <c r="G3" i="4"/>
  <c r="G4" i="4" s="1"/>
  <c r="E3" i="4"/>
  <c r="E4" i="4" s="1"/>
  <c r="K3" i="4"/>
  <c r="K4" i="4" s="1"/>
  <c r="H3" i="4"/>
  <c r="H4" i="4" s="1"/>
  <c r="C8" i="4" l="1"/>
  <c r="D8" i="4" s="1"/>
  <c r="D4" i="4"/>
  <c r="D6" i="4"/>
  <c r="G6" i="4"/>
  <c r="G7" i="4" s="1"/>
  <c r="J6" i="4"/>
  <c r="E7" i="4" l="1"/>
  <c r="C10" i="4"/>
  <c r="D10" i="4" s="1"/>
  <c r="J7" i="4"/>
  <c r="C12" i="4"/>
  <c r="C11" i="4" l="1"/>
  <c r="R6" i="4" s="1"/>
  <c r="U6" i="4" s="1"/>
  <c r="D12" i="4"/>
  <c r="U15" i="4" s="1"/>
  <c r="W23" i="10"/>
  <c r="O23" i="10"/>
  <c r="I4" i="10"/>
  <c r="P2" i="10"/>
  <c r="X23" i="10"/>
  <c r="L2" i="10"/>
  <c r="AE4" i="10"/>
  <c r="AD37" i="10"/>
  <c r="AD6" i="10"/>
  <c r="R4" i="10"/>
  <c r="AI35" i="10"/>
  <c r="V4" i="10"/>
  <c r="Q17" i="10"/>
  <c r="I25" i="10"/>
  <c r="AV26" i="10" s="1"/>
  <c r="AT26" i="10" s="1"/>
  <c r="AQ25" i="10" s="1"/>
  <c r="N27" i="10"/>
  <c r="AF35" i="10"/>
  <c r="AC6" i="10"/>
  <c r="U15" i="10"/>
  <c r="N37" i="10"/>
  <c r="X13" i="10"/>
  <c r="V17" i="10"/>
  <c r="AF27" i="10"/>
  <c r="AL37" i="10"/>
  <c r="T13" i="10"/>
  <c r="AF15" i="10"/>
  <c r="AI13" i="10"/>
  <c r="H4" i="10"/>
  <c r="Z27" i="10"/>
  <c r="U2" i="10"/>
  <c r="P6" i="10"/>
  <c r="AB35" i="10"/>
  <c r="AK4" i="10"/>
  <c r="AJ17" i="10"/>
  <c r="X27" i="10"/>
  <c r="V37" i="10"/>
  <c r="L13" i="10"/>
  <c r="AK6" i="10"/>
  <c r="AK15" i="10"/>
  <c r="AL27" i="10"/>
  <c r="AH35" i="10"/>
  <c r="Y6" i="10"/>
  <c r="Q27" i="10"/>
  <c r="L23" i="10"/>
  <c r="O35" i="10"/>
  <c r="V6" i="10"/>
  <c r="AD33" i="10"/>
  <c r="R6" i="10"/>
  <c r="M15" i="10"/>
  <c r="R13" i="10"/>
  <c r="AF2" i="10"/>
  <c r="P13" i="10"/>
  <c r="O4" i="10"/>
  <c r="T17" i="10"/>
  <c r="AB25" i="10"/>
  <c r="AF37" i="10"/>
  <c r="AE13" i="10"/>
  <c r="P17" i="10"/>
  <c r="T27" i="10"/>
  <c r="AG33" i="10"/>
  <c r="K13" i="10"/>
  <c r="O17" i="10"/>
  <c r="AH27" i="10"/>
  <c r="AH33" i="10"/>
  <c r="U35" i="10"/>
  <c r="AJ37" i="10"/>
  <c r="T4" i="10"/>
  <c r="W17" i="10"/>
  <c r="AB6" i="10"/>
  <c r="T6" i="10"/>
  <c r="AL23" i="10"/>
  <c r="AE15" i="10"/>
  <c r="AF6" i="10"/>
  <c r="N23" i="10"/>
  <c r="L25" i="10"/>
  <c r="U25" i="10"/>
  <c r="Q25" i="10"/>
  <c r="AE6" i="10"/>
  <c r="K15" i="10"/>
  <c r="K23" i="10"/>
  <c r="AE33" i="10"/>
  <c r="AJ13" i="10"/>
  <c r="AK27" i="10"/>
  <c r="AK25" i="10"/>
  <c r="AL4" i="10"/>
  <c r="R37" i="10"/>
  <c r="V2" i="10"/>
  <c r="Z15" i="10"/>
  <c r="L35" i="10"/>
  <c r="AI2" i="10"/>
  <c r="P15" i="10"/>
  <c r="T2" i="10"/>
  <c r="Y4" i="10"/>
  <c r="AD17" i="10"/>
  <c r="R25" i="10"/>
  <c r="J33" i="10"/>
  <c r="AB13" i="10"/>
  <c r="M17" i="10"/>
  <c r="V23" i="10"/>
  <c r="AH37" i="10"/>
  <c r="AL33" i="10"/>
  <c r="L15" i="10"/>
  <c r="Y23" i="10"/>
  <c r="Z37" i="10"/>
  <c r="AL15" i="10"/>
  <c r="AF25" i="10"/>
  <c r="AA23" i="10"/>
  <c r="J2" i="10"/>
  <c r="S25" i="10"/>
  <c r="N6" i="10"/>
  <c r="AC15" i="10"/>
  <c r="W2" i="10"/>
  <c r="M4" i="10"/>
  <c r="N17" i="10"/>
  <c r="Q23" i="10"/>
  <c r="U33" i="10"/>
  <c r="AH13" i="10"/>
  <c r="AF17" i="10"/>
  <c r="AJ27" i="10"/>
  <c r="AB37" i="10"/>
  <c r="AA13" i="10"/>
  <c r="AE17" i="10"/>
  <c r="R23" i="10"/>
  <c r="Q37" i="10"/>
  <c r="J35" i="10"/>
  <c r="AU36" i="10" s="1"/>
  <c r="AT36" i="10" s="1"/>
  <c r="AQ35" i="10" s="1"/>
  <c r="AA17" i="10"/>
  <c r="Z35" i="10"/>
  <c r="X6" i="10"/>
  <c r="V27" i="10"/>
  <c r="AL2" i="10"/>
  <c r="U17" i="10"/>
  <c r="AK2" i="10"/>
  <c r="K4" i="10"/>
  <c r="J15" i="10"/>
  <c r="V25" i="10"/>
  <c r="W37" i="10"/>
  <c r="AL13" i="10"/>
  <c r="AH15" i="10"/>
  <c r="AK37" i="10"/>
  <c r="V15" i="10"/>
  <c r="AJ2" i="10"/>
  <c r="S15" i="10"/>
  <c r="Y35" i="10"/>
  <c r="X4" i="10"/>
  <c r="M25" i="10"/>
  <c r="K33" i="10"/>
  <c r="U4" i="10"/>
  <c r="AB27" i="10"/>
  <c r="AG2" i="10"/>
  <c r="E4" i="10"/>
  <c r="W15" i="10"/>
  <c r="AG23" i="10"/>
  <c r="AK33" i="10"/>
  <c r="O33" i="10"/>
  <c r="AK17" i="10"/>
  <c r="AH6" i="10"/>
  <c r="N33" i="10"/>
  <c r="AE25" i="10"/>
  <c r="AA15" i="10"/>
  <c r="AJ35" i="10"/>
  <c r="AH23" i="10"/>
  <c r="X35" i="10"/>
  <c r="AF33" i="10"/>
  <c r="AI15" i="10"/>
  <c r="N2" i="10"/>
  <c r="P4" i="10"/>
  <c r="Z23" i="10"/>
  <c r="AD35" i="10"/>
  <c r="H15" i="10"/>
  <c r="AA35" i="10"/>
  <c r="AB15" i="10"/>
  <c r="AE37" i="10"/>
  <c r="U23" i="10"/>
  <c r="AG6" i="10"/>
  <c r="AA4" i="10"/>
  <c r="AD2" i="10"/>
  <c r="Y27" i="10"/>
  <c r="M35" i="10"/>
  <c r="U27" i="10"/>
  <c r="S37" i="10"/>
  <c r="S6" i="10"/>
  <c r="AG25" i="10"/>
  <c r="AC33" i="10"/>
  <c r="AD13" i="10"/>
  <c r="S35" i="10"/>
  <c r="R27" i="10"/>
  <c r="AF23" i="10"/>
  <c r="AJ33" i="10"/>
  <c r="AA33" i="10"/>
  <c r="S13" i="10"/>
  <c r="G15" i="10"/>
  <c r="V33" i="10"/>
  <c r="R35" i="10"/>
  <c r="T23" i="10"/>
  <c r="AG13" i="10"/>
  <c r="R2" i="10"/>
  <c r="AJ15" i="10"/>
  <c r="AI17" i="10"/>
  <c r="AL17" i="10"/>
  <c r="O27" i="10"/>
  <c r="Y25" i="10"/>
  <c r="AI6" i="10"/>
  <c r="AE27" i="10"/>
  <c r="AF4" i="10"/>
  <c r="L33" i="10"/>
  <c r="W27" i="10"/>
  <c r="M13" i="10"/>
  <c r="AB23" i="10"/>
  <c r="AE2" i="10"/>
  <c r="AH2" i="10"/>
  <c r="Y33" i="10"/>
  <c r="P25" i="10"/>
  <c r="G4" i="10"/>
  <c r="AV5" i="10" s="1"/>
  <c r="O25" i="10"/>
  <c r="Q13" i="10"/>
  <c r="AC23" i="10"/>
  <c r="Z13" i="10"/>
  <c r="P27" i="10"/>
  <c r="W13" i="10"/>
  <c r="F15" i="10"/>
  <c r="AA37" i="10"/>
  <c r="AC25" i="10"/>
  <c r="AH4" i="10"/>
  <c r="AJ23" i="10"/>
  <c r="W4" i="10"/>
  <c r="M23" i="10"/>
  <c r="N35" i="10"/>
  <c r="Y17" i="10"/>
  <c r="AJ25" i="10"/>
  <c r="O37" i="10"/>
  <c r="L4" i="10"/>
  <c r="AH17" i="10"/>
  <c r="Z33" i="10"/>
  <c r="T35" i="10"/>
  <c r="AG17" i="10"/>
  <c r="R17" i="10"/>
  <c r="F4" i="10"/>
  <c r="P37" i="10"/>
  <c r="AG35" i="10"/>
  <c r="N15" i="10"/>
  <c r="N13" i="10"/>
  <c r="AG4" i="10"/>
  <c r="AC37" i="10"/>
  <c r="AA27" i="10"/>
  <c r="X25" i="10"/>
  <c r="AH25" i="10"/>
  <c r="AB2" i="10"/>
  <c r="AI33" i="10"/>
  <c r="W33" i="10"/>
  <c r="S33" i="10"/>
  <c r="AD25" i="10"/>
  <c r="AC2" i="10"/>
  <c r="AD4" i="10"/>
  <c r="U13" i="10"/>
  <c r="P23" i="10"/>
  <c r="O6" i="10"/>
  <c r="AG37" i="10"/>
  <c r="J4" i="10"/>
  <c r="AJ6" i="10"/>
  <c r="AK13" i="10"/>
  <c r="T37" i="10"/>
  <c r="M6" i="10"/>
  <c r="N25" i="10"/>
  <c r="AI4" i="10"/>
  <c r="AA25" i="10"/>
  <c r="AE23" i="10"/>
  <c r="AI27" i="10"/>
  <c r="AD15" i="10"/>
  <c r="M2" i="10"/>
  <c r="AF13" i="10"/>
  <c r="AI25" i="10"/>
  <c r="S2" i="10"/>
  <c r="Y37" i="10"/>
  <c r="W6" i="10"/>
  <c r="K25" i="10"/>
  <c r="Q35" i="10"/>
  <c r="O15" i="10"/>
  <c r="S27" i="10"/>
  <c r="AE35" i="10"/>
  <c r="Z2" i="10"/>
  <c r="AL6" i="10"/>
  <c r="AC35" i="10"/>
  <c r="Y15" i="10"/>
  <c r="P35" i="10"/>
  <c r="V35" i="10"/>
  <c r="O2" i="10"/>
  <c r="O13" i="10"/>
  <c r="AB17" i="10"/>
  <c r="Q4" i="10"/>
  <c r="M33" i="10"/>
  <c r="AK23" i="10"/>
  <c r="U6" i="10"/>
  <c r="AB33" i="10"/>
  <c r="Q33" i="10"/>
  <c r="R33" i="10"/>
  <c r="Q2" i="10"/>
  <c r="X33" i="10"/>
  <c r="Q15" i="10"/>
  <c r="T33" i="10"/>
  <c r="K2" i="10"/>
  <c r="AI37" i="10"/>
  <c r="AB4" i="10"/>
  <c r="AL35" i="10"/>
  <c r="I15" i="10"/>
  <c r="AC4" i="10"/>
  <c r="AC27" i="10"/>
  <c r="Y2" i="10"/>
  <c r="V13" i="10"/>
  <c r="T25" i="10"/>
  <c r="AD23" i="10"/>
  <c r="X2" i="10"/>
  <c r="AL25" i="10"/>
  <c r="AJ4" i="10"/>
  <c r="S17" i="10"/>
  <c r="Z25" i="10"/>
  <c r="AG15" i="10"/>
  <c r="R15" i="10"/>
  <c r="AA6" i="10"/>
  <c r="X15" i="10"/>
  <c r="AD27" i="10"/>
  <c r="E15" i="10"/>
  <c r="Z4" i="10"/>
  <c r="AI23" i="10"/>
  <c r="AK35" i="10"/>
  <c r="Y13" i="10"/>
  <c r="K35" i="10"/>
  <c r="N4" i="10"/>
  <c r="W35" i="10"/>
  <c r="X37" i="10"/>
  <c r="Z6" i="10"/>
  <c r="U37" i="10"/>
  <c r="S23" i="10"/>
  <c r="W25" i="10"/>
  <c r="AC17" i="10"/>
  <c r="S4" i="10"/>
  <c r="AA2" i="10"/>
  <c r="AG27" i="10"/>
  <c r="Q6" i="10"/>
  <c r="Z17" i="10"/>
  <c r="M27" i="10"/>
  <c r="T15" i="10"/>
  <c r="AC13" i="10"/>
  <c r="X17" i="10"/>
  <c r="J25" i="10"/>
  <c r="P33" i="10"/>
  <c r="H25" i="10"/>
  <c r="L27" i="10"/>
  <c r="D15" i="10"/>
  <c r="L17" i="10"/>
  <c r="M37" i="10"/>
  <c r="I33" i="10"/>
  <c r="AW33" i="10" s="1"/>
  <c r="J13" i="10"/>
  <c r="AV13" i="10" s="1"/>
  <c r="AT13" i="10" s="1"/>
  <c r="AQ13" i="10" s="1"/>
  <c r="D4" i="10"/>
  <c r="I35" i="10"/>
  <c r="J23" i="10"/>
  <c r="AU23" i="10" s="1"/>
  <c r="AT23" i="10" s="1"/>
  <c r="AQ23" i="10" s="1"/>
  <c r="AQ29" i="10" s="1"/>
  <c r="K45" i="11" s="1"/>
  <c r="I2" i="10"/>
  <c r="L6" i="10"/>
  <c r="R8" i="4" l="1"/>
  <c r="W10" i="4" s="1"/>
  <c r="AU2" i="10"/>
  <c r="AY2" i="10"/>
  <c r="AV16" i="10"/>
  <c r="AW16" i="10"/>
  <c r="AY16" i="10"/>
  <c r="AY5" i="10"/>
  <c r="R3" i="4"/>
  <c r="V10" i="4" s="1"/>
  <c r="R9" i="4"/>
  <c r="W8" i="4" s="1"/>
  <c r="R5" i="4"/>
  <c r="U8" i="4" s="1"/>
  <c r="R11" i="4"/>
  <c r="V6" i="4" s="1"/>
  <c r="K39" i="4"/>
  <c r="L45" i="11"/>
  <c r="BU60" i="10"/>
  <c r="R4" i="4"/>
  <c r="W6" i="4" s="1"/>
  <c r="U19" i="4"/>
  <c r="R10" i="4"/>
  <c r="U10" i="4" s="1"/>
  <c r="R7" i="4"/>
  <c r="V8" i="4" s="1"/>
  <c r="U22" i="4"/>
  <c r="U18" i="4"/>
  <c r="U20" i="4"/>
  <c r="U14" i="4"/>
  <c r="U16" i="4"/>
  <c r="U21" i="4"/>
  <c r="U17" i="4"/>
  <c r="AU5" i="10"/>
  <c r="AW5" i="10"/>
  <c r="BZ87" i="10"/>
  <c r="CB86" i="10"/>
  <c r="CB85" i="10"/>
  <c r="CB84" i="10"/>
  <c r="CB88" i="10"/>
  <c r="CB83" i="10"/>
  <c r="BZ67" i="10"/>
  <c r="BZ63" i="10"/>
  <c r="CB63" i="10"/>
  <c r="CB64" i="10"/>
  <c r="BZ46" i="10"/>
  <c r="BZ42" i="10"/>
  <c r="BZ21" i="10"/>
  <c r="BZ25" i="10"/>
  <c r="AW8" i="10"/>
  <c r="AT8" i="10" s="1"/>
  <c r="AQ7" i="10" s="1"/>
  <c r="CB21" i="10"/>
  <c r="AU33" i="10"/>
  <c r="AT33" i="10" s="1"/>
  <c r="AQ33" i="10" s="1"/>
  <c r="AQ39" i="10" s="1"/>
  <c r="K56" i="11" s="1"/>
  <c r="BZ83" i="10"/>
  <c r="CB42" i="10"/>
  <c r="AU16" i="10"/>
  <c r="BZ86" i="10"/>
  <c r="BZ89" i="10"/>
  <c r="CB43" i="10"/>
  <c r="CB22" i="10"/>
  <c r="BZ90" i="10"/>
  <c r="BZ85" i="10"/>
  <c r="BZ88" i="10"/>
  <c r="BZ91" i="10"/>
  <c r="BZ84" i="10"/>
  <c r="CB89" i="10"/>
  <c r="CB90" i="10"/>
  <c r="CB91" i="10"/>
  <c r="CB87" i="10"/>
  <c r="CA87" i="10"/>
  <c r="CA84" i="10"/>
  <c r="CA83" i="10"/>
  <c r="BX84" i="10"/>
  <c r="U51" i="11" s="1"/>
  <c r="CA90" i="10"/>
  <c r="BX87" i="10"/>
  <c r="U54" i="11" s="1"/>
  <c r="CA86" i="10"/>
  <c r="CA85" i="10"/>
  <c r="BX86" i="10"/>
  <c r="U53" i="11" s="1"/>
  <c r="BX88" i="10"/>
  <c r="U55" i="11" s="1"/>
  <c r="BX91" i="10"/>
  <c r="U58" i="11" s="1"/>
  <c r="CA88" i="10"/>
  <c r="CA89" i="10"/>
  <c r="BX83" i="10"/>
  <c r="U50" i="11" s="1"/>
  <c r="BX90" i="10"/>
  <c r="U57" i="11" s="1"/>
  <c r="BX89" i="10"/>
  <c r="U56" i="11" s="1"/>
  <c r="BX85" i="10"/>
  <c r="U52" i="11" s="1"/>
  <c r="CA91" i="10"/>
  <c r="BZ44" i="10"/>
  <c r="BZ65" i="10"/>
  <c r="BZ23" i="10"/>
  <c r="CB67" i="10"/>
  <c r="BZ64" i="10"/>
  <c r="BZ69" i="10"/>
  <c r="CB46" i="10"/>
  <c r="BZ43" i="10"/>
  <c r="BZ48" i="10"/>
  <c r="CB25" i="10"/>
  <c r="BZ22" i="10"/>
  <c r="BZ27" i="10"/>
  <c r="CB65" i="10"/>
  <c r="CB66" i="10"/>
  <c r="CB71" i="10"/>
  <c r="CB69" i="10"/>
  <c r="CB70" i="10"/>
  <c r="CB68" i="10"/>
  <c r="BZ70" i="10"/>
  <c r="BZ66" i="10"/>
  <c r="BZ71" i="10"/>
  <c r="BZ68" i="10"/>
  <c r="CA71" i="10"/>
  <c r="CA69" i="10"/>
  <c r="CA65" i="10"/>
  <c r="CA64" i="10"/>
  <c r="CA67" i="10"/>
  <c r="BX63" i="10"/>
  <c r="U39" i="11" s="1"/>
  <c r="BX67" i="10"/>
  <c r="U43" i="11" s="1"/>
  <c r="BX70" i="10"/>
  <c r="U46" i="11" s="1"/>
  <c r="CA68" i="10"/>
  <c r="CA70" i="10"/>
  <c r="BX68" i="10"/>
  <c r="U44" i="11" s="1"/>
  <c r="BX66" i="10"/>
  <c r="U42" i="11" s="1"/>
  <c r="CA63" i="10"/>
  <c r="BX71" i="10"/>
  <c r="U47" i="11" s="1"/>
  <c r="BX64" i="10"/>
  <c r="U40" i="11" s="1"/>
  <c r="CA66" i="10"/>
  <c r="BX69" i="10"/>
  <c r="U45" i="11" s="1"/>
  <c r="BX65" i="10"/>
  <c r="U41" i="11" s="1"/>
  <c r="BZ49" i="10"/>
  <c r="BZ50" i="10"/>
  <c r="BZ47" i="10"/>
  <c r="BZ45" i="10"/>
  <c r="BZ29" i="10"/>
  <c r="BZ28" i="10"/>
  <c r="BZ26" i="10"/>
  <c r="BZ24" i="10"/>
  <c r="CA45" i="10"/>
  <c r="CA24" i="10"/>
  <c r="CB28" i="10"/>
  <c r="CB26" i="10"/>
  <c r="CB24" i="10"/>
  <c r="CB23" i="10"/>
  <c r="CB29" i="10"/>
  <c r="CB27" i="10"/>
  <c r="CA47" i="10"/>
  <c r="CA48" i="10"/>
  <c r="CA44" i="10"/>
  <c r="CA42" i="10"/>
  <c r="CA43" i="10"/>
  <c r="CA50" i="10"/>
  <c r="CA49" i="10"/>
  <c r="CA46" i="10"/>
  <c r="CA29" i="10"/>
  <c r="CA25" i="10"/>
  <c r="CA21" i="10"/>
  <c r="CA22" i="10"/>
  <c r="CA27" i="10"/>
  <c r="CA23" i="10"/>
  <c r="CA28" i="10"/>
  <c r="CA26" i="10"/>
  <c r="CB44" i="10"/>
  <c r="CB48" i="10"/>
  <c r="CB50" i="10"/>
  <c r="CB49" i="10"/>
  <c r="CB45" i="10"/>
  <c r="CB47" i="10"/>
  <c r="AX5" i="10"/>
  <c r="BU44" i="10" s="1"/>
  <c r="BV44" i="10" s="1"/>
  <c r="BX28" i="10"/>
  <c r="U23" i="11" s="1"/>
  <c r="D28" i="15" s="1"/>
  <c r="BX24" i="10"/>
  <c r="U19" i="11" s="1"/>
  <c r="D24" i="15" s="1"/>
  <c r="BX22" i="10"/>
  <c r="U17" i="11" s="1"/>
  <c r="D22" i="15" s="1"/>
  <c r="BX27" i="10"/>
  <c r="U22" i="11" s="1"/>
  <c r="D27" i="15" s="1"/>
  <c r="BX23" i="10"/>
  <c r="U18" i="11" s="1"/>
  <c r="D23" i="15" s="1"/>
  <c r="BX26" i="10"/>
  <c r="U21" i="11" s="1"/>
  <c r="D26" i="15" s="1"/>
  <c r="BX25" i="10"/>
  <c r="U20" i="11" s="1"/>
  <c r="D25" i="15" s="1"/>
  <c r="AX16" i="10"/>
  <c r="BX49" i="10"/>
  <c r="U35" i="11" s="1"/>
  <c r="BX45" i="10"/>
  <c r="U31" i="11" s="1"/>
  <c r="BX44" i="10"/>
  <c r="U30" i="11" s="1"/>
  <c r="BX46" i="10"/>
  <c r="U32" i="11" s="1"/>
  <c r="BX48" i="10"/>
  <c r="U34" i="11" s="1"/>
  <c r="BX47" i="10"/>
  <c r="U33" i="11" s="1"/>
  <c r="BX43" i="10"/>
  <c r="U29" i="11" s="1"/>
  <c r="BX42" i="10"/>
  <c r="U28" i="11" s="1"/>
  <c r="AM25" i="10"/>
  <c r="D41" i="11" s="1"/>
  <c r="AM13" i="10"/>
  <c r="D30" i="11" s="1"/>
  <c r="AM6" i="10"/>
  <c r="D18" i="11" s="1"/>
  <c r="AM37" i="10"/>
  <c r="D53" i="11" s="1"/>
  <c r="D45" i="4" s="1"/>
  <c r="AM27" i="10"/>
  <c r="D42" i="11" s="1"/>
  <c r="AM4" i="10"/>
  <c r="D17" i="11" s="1"/>
  <c r="AM17" i="10"/>
  <c r="D32" i="11" s="1"/>
  <c r="AM23" i="10"/>
  <c r="AN23" i="10" s="1"/>
  <c r="AM15" i="10"/>
  <c r="D31" i="11" s="1"/>
  <c r="AV2" i="10"/>
  <c r="BX21" i="10"/>
  <c r="U16" i="11" s="1"/>
  <c r="D21" i="15" s="1"/>
  <c r="AM35" i="10"/>
  <c r="AM33" i="10"/>
  <c r="D51" i="11" s="1"/>
  <c r="D43" i="4" s="1"/>
  <c r="AM2" i="10"/>
  <c r="AP2" i="10" s="1"/>
  <c r="G16" i="11" s="1"/>
  <c r="G15" i="4" s="1"/>
  <c r="CD89" i="10" l="1"/>
  <c r="AT2" i="10"/>
  <c r="AQ2" i="10" s="1"/>
  <c r="L39" i="4"/>
  <c r="BV60" i="10"/>
  <c r="M45" i="11"/>
  <c r="M39" i="4" s="1"/>
  <c r="N45" i="11"/>
  <c r="N39" i="4" s="1"/>
  <c r="V24" i="4"/>
  <c r="V25" i="4"/>
  <c r="CD83" i="10"/>
  <c r="AT16" i="10"/>
  <c r="AQ16" i="10" s="1"/>
  <c r="AQ19" i="10" s="1"/>
  <c r="K35" i="11" s="1"/>
  <c r="BU39" i="10" s="1"/>
  <c r="CD42" i="10"/>
  <c r="CD63" i="10"/>
  <c r="CD25" i="10"/>
  <c r="CD21" i="10"/>
  <c r="K48" i="4"/>
  <c r="BU80" i="10"/>
  <c r="L56" i="11"/>
  <c r="CD86" i="10"/>
  <c r="CD84" i="10"/>
  <c r="CD91" i="10"/>
  <c r="AN35" i="10"/>
  <c r="D52" i="11"/>
  <c r="CD87" i="10"/>
  <c r="CD88" i="10"/>
  <c r="CD90" i="10"/>
  <c r="CD85" i="10"/>
  <c r="E51" i="11"/>
  <c r="E43" i="4" s="1"/>
  <c r="K54" i="11"/>
  <c r="CD43" i="10"/>
  <c r="CD67" i="10"/>
  <c r="AN25" i="10"/>
  <c r="CD64" i="10"/>
  <c r="CD69" i="10"/>
  <c r="CD46" i="10"/>
  <c r="E31" i="11"/>
  <c r="E26" i="4" s="1"/>
  <c r="D26" i="4"/>
  <c r="E42" i="11"/>
  <c r="E36" i="4" s="1"/>
  <c r="D36" i="4"/>
  <c r="E41" i="11"/>
  <c r="E35" i="4" s="1"/>
  <c r="D35" i="4"/>
  <c r="E32" i="11"/>
  <c r="E27" i="4" s="1"/>
  <c r="D27" i="4"/>
  <c r="E30" i="11"/>
  <c r="E25" i="4" s="1"/>
  <c r="D25" i="4"/>
  <c r="E18" i="11"/>
  <c r="E17" i="4" s="1"/>
  <c r="D17" i="4"/>
  <c r="E17" i="11"/>
  <c r="E16" i="4" s="1"/>
  <c r="D16" i="4"/>
  <c r="AP33" i="10"/>
  <c r="G51" i="11" s="1"/>
  <c r="G43" i="4" s="1"/>
  <c r="AN33" i="10"/>
  <c r="AN13" i="10"/>
  <c r="AP13" i="10"/>
  <c r="G30" i="11" s="1"/>
  <c r="G25" i="4" s="1"/>
  <c r="K33" i="11"/>
  <c r="K28" i="4" s="1"/>
  <c r="CD66" i="10"/>
  <c r="CD50" i="10"/>
  <c r="CD45" i="10"/>
  <c r="CD68" i="10"/>
  <c r="AN17" i="10"/>
  <c r="CD65" i="10"/>
  <c r="CD71" i="10"/>
  <c r="AM28" i="10"/>
  <c r="CD70" i="10"/>
  <c r="AN27" i="10"/>
  <c r="AP23" i="10"/>
  <c r="G40" i="11" s="1"/>
  <c r="G34" i="4" s="1"/>
  <c r="BU23" i="10"/>
  <c r="BV23" i="10" s="1"/>
  <c r="AT5" i="10"/>
  <c r="AQ4" i="10" s="1"/>
  <c r="AQ8" i="10" s="1"/>
  <c r="K21" i="11" s="1"/>
  <c r="AN37" i="10"/>
  <c r="CD48" i="10"/>
  <c r="CD47" i="10"/>
  <c r="CD49" i="10"/>
  <c r="CD44" i="10"/>
  <c r="AN4" i="10"/>
  <c r="CD23" i="10"/>
  <c r="AN6" i="10"/>
  <c r="D16" i="11"/>
  <c r="AM7" i="10"/>
  <c r="D19" i="11" s="1"/>
  <c r="D18" i="4" s="1"/>
  <c r="AN15" i="10"/>
  <c r="CD24" i="10"/>
  <c r="AN2" i="10"/>
  <c r="CD22" i="10"/>
  <c r="AM38" i="10"/>
  <c r="AM18" i="10"/>
  <c r="CD27" i="10"/>
  <c r="D40" i="11"/>
  <c r="CD29" i="10"/>
  <c r="CD26" i="10"/>
  <c r="CD28" i="10"/>
  <c r="D33" i="11"/>
  <c r="F26" i="7"/>
  <c r="F25" i="7"/>
  <c r="K20" i="4" l="1"/>
  <c r="L21" i="11"/>
  <c r="B14" i="15" s="1"/>
  <c r="BW60" i="10"/>
  <c r="BX60" i="10"/>
  <c r="L35" i="11"/>
  <c r="BV39" i="10" s="1"/>
  <c r="K30" i="4"/>
  <c r="AN28" i="10"/>
  <c r="AP28" i="10" s="1"/>
  <c r="G43" i="11" s="1"/>
  <c r="G37" i="4" s="1"/>
  <c r="L48" i="4"/>
  <c r="M56" i="11"/>
  <c r="M48" i="4" s="1"/>
  <c r="BV80" i="10"/>
  <c r="N56" i="11"/>
  <c r="N48" i="4" s="1"/>
  <c r="L54" i="11"/>
  <c r="M54" i="11" s="1"/>
  <c r="M46" i="4" s="1"/>
  <c r="K46" i="4"/>
  <c r="BU78" i="10"/>
  <c r="E52" i="11"/>
  <c r="E44" i="4" s="1"/>
  <c r="D44" i="4"/>
  <c r="E53" i="11"/>
  <c r="D54" i="11"/>
  <c r="AN38" i="10"/>
  <c r="AP38" i="10" s="1"/>
  <c r="G54" i="11" s="1"/>
  <c r="G46" i="4" s="1"/>
  <c r="BU37" i="10"/>
  <c r="E33" i="11"/>
  <c r="E28" i="4" s="1"/>
  <c r="L33" i="11"/>
  <c r="K43" i="11"/>
  <c r="K37" i="4" s="1"/>
  <c r="D34" i="4"/>
  <c r="K34" i="11"/>
  <c r="L34" i="11" s="1"/>
  <c r="E35" i="11" s="1"/>
  <c r="D28" i="4"/>
  <c r="AB17" i="11"/>
  <c r="AB18" i="11" s="1"/>
  <c r="AB19" i="11" s="1"/>
  <c r="D15" i="4"/>
  <c r="E16" i="11"/>
  <c r="AN18" i="10"/>
  <c r="AP18" i="10" s="1"/>
  <c r="G33" i="11" s="1"/>
  <c r="G28" i="4" s="1"/>
  <c r="D43" i="11"/>
  <c r="E40" i="11"/>
  <c r="BU18" i="10"/>
  <c r="AN7" i="10"/>
  <c r="AP7" i="10" s="1"/>
  <c r="G19" i="11" s="1"/>
  <c r="G18" i="4" s="1"/>
  <c r="K19" i="11"/>
  <c r="AH17" i="11"/>
  <c r="AH18" i="11" s="1"/>
  <c r="K20" i="11"/>
  <c r="L43" i="11" l="1"/>
  <c r="L37" i="4" s="1"/>
  <c r="N35" i="11"/>
  <c r="N30" i="4" s="1"/>
  <c r="M35" i="11"/>
  <c r="M30" i="4" s="1"/>
  <c r="L30" i="4"/>
  <c r="BX80" i="10"/>
  <c r="BW80" i="10"/>
  <c r="BX39" i="10"/>
  <c r="BW39" i="10"/>
  <c r="N54" i="11"/>
  <c r="N46" i="4" s="1"/>
  <c r="K55" i="11"/>
  <c r="K57" i="11" s="1"/>
  <c r="K49" i="4" s="1"/>
  <c r="D46" i="4"/>
  <c r="E54" i="11"/>
  <c r="E46" i="4" s="1"/>
  <c r="E45" i="4"/>
  <c r="L46" i="4"/>
  <c r="BV78" i="10"/>
  <c r="BU58" i="10"/>
  <c r="AC18" i="11"/>
  <c r="AD18" i="11" s="1"/>
  <c r="K36" i="11"/>
  <c r="K31" i="4" s="1"/>
  <c r="BV37" i="10"/>
  <c r="L28" i="4"/>
  <c r="N33" i="11"/>
  <c r="N28" i="4" s="1"/>
  <c r="M33" i="11"/>
  <c r="M28" i="4" s="1"/>
  <c r="BV38" i="10"/>
  <c r="L29" i="4"/>
  <c r="BU38" i="10"/>
  <c r="K29" i="4"/>
  <c r="K44" i="11"/>
  <c r="K38" i="4" s="1"/>
  <c r="D37" i="4"/>
  <c r="E43" i="11"/>
  <c r="E37" i="4" s="1"/>
  <c r="E34" i="4"/>
  <c r="BV58" i="10"/>
  <c r="BU17" i="10"/>
  <c r="K19" i="4"/>
  <c r="L19" i="11"/>
  <c r="K18" i="4"/>
  <c r="E19" i="11"/>
  <c r="E18" i="4" s="1"/>
  <c r="E15" i="4"/>
  <c r="BV18" i="10"/>
  <c r="L20" i="4"/>
  <c r="BU16" i="10"/>
  <c r="M43" i="11"/>
  <c r="M37" i="4" s="1"/>
  <c r="N43" i="11"/>
  <c r="N37" i="4" s="1"/>
  <c r="N21" i="11"/>
  <c r="N20" i="4" s="1"/>
  <c r="M21" i="11"/>
  <c r="M20" i="4" s="1"/>
  <c r="K22" i="11"/>
  <c r="K21" i="4" s="1"/>
  <c r="L20" i="11"/>
  <c r="AH19" i="11"/>
  <c r="AI18" i="11"/>
  <c r="N34" i="11"/>
  <c r="N29" i="4" s="1"/>
  <c r="M34" i="11"/>
  <c r="M29" i="4" s="1"/>
  <c r="AB20" i="11"/>
  <c r="AC19" i="11"/>
  <c r="E22" i="11" l="1"/>
  <c r="N4" i="15" s="1"/>
  <c r="B13" i="15"/>
  <c r="M19" i="11"/>
  <c r="M18" i="4" s="1"/>
  <c r="B12" i="15"/>
  <c r="BW18" i="10"/>
  <c r="BX18" i="10"/>
  <c r="BX58" i="10"/>
  <c r="BW58" i="10"/>
  <c r="BX38" i="10"/>
  <c r="BW38" i="10"/>
  <c r="BX37" i="10"/>
  <c r="BW37" i="10"/>
  <c r="BW78" i="10"/>
  <c r="BX78" i="10"/>
  <c r="L55" i="11"/>
  <c r="E56" i="11" s="1"/>
  <c r="BU79" i="10"/>
  <c r="K47" i="4"/>
  <c r="L57" i="11"/>
  <c r="BU81" i="10"/>
  <c r="BU43" i="10"/>
  <c r="BV43" i="10" s="1"/>
  <c r="AE18" i="11"/>
  <c r="BU40" i="10"/>
  <c r="K46" i="11"/>
  <c r="K40" i="4" s="1"/>
  <c r="L36" i="11"/>
  <c r="BV40" i="10" s="1"/>
  <c r="BU59" i="10"/>
  <c r="L44" i="11"/>
  <c r="E45" i="11" s="1"/>
  <c r="BV16" i="10"/>
  <c r="L18" i="4"/>
  <c r="BV17" i="10"/>
  <c r="L19" i="4"/>
  <c r="N19" i="11"/>
  <c r="N18" i="4" s="1"/>
  <c r="N26" i="4"/>
  <c r="M26" i="4"/>
  <c r="L22" i="11"/>
  <c r="B15" i="15" s="1"/>
  <c r="BU19" i="10"/>
  <c r="AD19" i="11"/>
  <c r="AE19" i="11"/>
  <c r="AJ18" i="11"/>
  <c r="AK18" i="11"/>
  <c r="M20" i="11"/>
  <c r="M19" i="4" s="1"/>
  <c r="N20" i="11"/>
  <c r="N19" i="4" s="1"/>
  <c r="AB21" i="11"/>
  <c r="AC20" i="11"/>
  <c r="AI19" i="11"/>
  <c r="AH20" i="11"/>
  <c r="N55" i="11" l="1"/>
  <c r="N47" i="4" s="1"/>
  <c r="BX16" i="10"/>
  <c r="BW16" i="10"/>
  <c r="CC48" i="10"/>
  <c r="CE48" i="10" s="1"/>
  <c r="CF48" i="10" s="1"/>
  <c r="R34" i="11" s="1"/>
  <c r="BX40" i="10"/>
  <c r="BW40" i="10"/>
  <c r="BX17" i="10"/>
  <c r="BW17" i="10"/>
  <c r="BV79" i="10"/>
  <c r="M55" i="11"/>
  <c r="M47" i="4" s="1"/>
  <c r="CC42" i="10"/>
  <c r="CE42" i="10" s="1"/>
  <c r="L47" i="4"/>
  <c r="N36" i="11"/>
  <c r="N31" i="4" s="1"/>
  <c r="CC47" i="10"/>
  <c r="CE47" i="10" s="1"/>
  <c r="M36" i="11"/>
  <c r="M31" i="4" s="1"/>
  <c r="L31" i="4"/>
  <c r="BV81" i="10"/>
  <c r="L49" i="4"/>
  <c r="N44" i="11"/>
  <c r="N38" i="4" s="1"/>
  <c r="L38" i="4"/>
  <c r="N57" i="11"/>
  <c r="N49" i="4" s="1"/>
  <c r="M57" i="11"/>
  <c r="M49" i="4" s="1"/>
  <c r="L46" i="11"/>
  <c r="L40" i="4" s="1"/>
  <c r="BU61" i="10"/>
  <c r="BV59" i="10"/>
  <c r="M44" i="11"/>
  <c r="M38" i="4" s="1"/>
  <c r="CC50" i="10"/>
  <c r="CE50" i="10" s="1"/>
  <c r="CF50" i="10" s="1"/>
  <c r="R36" i="11" s="1"/>
  <c r="CC45" i="10"/>
  <c r="CE45" i="10" s="1"/>
  <c r="CF45" i="10" s="1"/>
  <c r="CC43" i="10"/>
  <c r="CE43" i="10" s="1"/>
  <c r="CC49" i="10"/>
  <c r="CE49" i="10" s="1"/>
  <c r="CF49" i="10" s="1"/>
  <c r="CC46" i="10"/>
  <c r="CE46" i="10" s="1"/>
  <c r="CC44" i="10"/>
  <c r="CE44" i="10" s="1"/>
  <c r="BU22" i="10"/>
  <c r="BV22" i="10" s="1"/>
  <c r="BV19" i="10"/>
  <c r="CC22" i="10" s="1"/>
  <c r="L21" i="4"/>
  <c r="M22" i="11"/>
  <c r="M21" i="4" s="1"/>
  <c r="N22" i="11"/>
  <c r="N21" i="4" s="1"/>
  <c r="AC21" i="11"/>
  <c r="AB22" i="11"/>
  <c r="AD20" i="11"/>
  <c r="AE20" i="11"/>
  <c r="AH21" i="11"/>
  <c r="AI20" i="11"/>
  <c r="AJ19" i="11"/>
  <c r="AK19" i="11"/>
  <c r="CF46" i="10" l="1"/>
  <c r="R32" i="11" s="1"/>
  <c r="CG46" i="10"/>
  <c r="S32" i="11" s="1"/>
  <c r="CF42" i="10"/>
  <c r="R28" i="11" s="1"/>
  <c r="CG42" i="10"/>
  <c r="S28" i="11" s="1"/>
  <c r="CF44" i="10"/>
  <c r="R30" i="11" s="1"/>
  <c r="CG44" i="10"/>
  <c r="S30" i="11" s="1"/>
  <c r="CC85" i="10"/>
  <c r="CE85" i="10" s="1"/>
  <c r="CG48" i="10"/>
  <c r="S34" i="11" s="1"/>
  <c r="CC89" i="10"/>
  <c r="CE89" i="10" s="1"/>
  <c r="M46" i="11"/>
  <c r="M40" i="4" s="1"/>
  <c r="CC25" i="10"/>
  <c r="CE25" i="10" s="1"/>
  <c r="BX19" i="10"/>
  <c r="BW19" i="10"/>
  <c r="BU84" i="10"/>
  <c r="BV84" i="10" s="1"/>
  <c r="BX79" i="10"/>
  <c r="BW79" i="10"/>
  <c r="CC91" i="10"/>
  <c r="CE91" i="10" s="1"/>
  <c r="BX81" i="10"/>
  <c r="BW81" i="10"/>
  <c r="BX59" i="10"/>
  <c r="BW59" i="10"/>
  <c r="CC88" i="10"/>
  <c r="CE88" i="10" s="1"/>
  <c r="CC84" i="10"/>
  <c r="CE84" i="10" s="1"/>
  <c r="CC87" i="10"/>
  <c r="CE87" i="10" s="1"/>
  <c r="CC90" i="10"/>
  <c r="CE90" i="10" s="1"/>
  <c r="CG45" i="10"/>
  <c r="S31" i="11" s="1"/>
  <c r="CF43" i="10"/>
  <c r="R29" i="11" s="1"/>
  <c r="CG43" i="10"/>
  <c r="S29" i="11" s="1"/>
  <c r="CC86" i="10"/>
  <c r="CE86" i="10" s="1"/>
  <c r="CC83" i="10"/>
  <c r="CE83" i="10" s="1"/>
  <c r="N46" i="11"/>
  <c r="N40" i="4" s="1"/>
  <c r="BV61" i="10"/>
  <c r="CC70" i="10" s="1"/>
  <c r="CE70" i="10" s="1"/>
  <c r="CC26" i="10"/>
  <c r="CE26" i="10" s="1"/>
  <c r="BU64" i="10"/>
  <c r="BV64" i="10" s="1"/>
  <c r="CG50" i="10"/>
  <c r="S36" i="11" s="1"/>
  <c r="CG49" i="10"/>
  <c r="S35" i="11" s="1"/>
  <c r="CC29" i="10"/>
  <c r="CE29" i="10" s="1"/>
  <c r="CF29" i="10" s="1"/>
  <c r="R24" i="11" s="1"/>
  <c r="B29" i="15" s="1"/>
  <c r="CC27" i="10"/>
  <c r="CE27" i="10" s="1"/>
  <c r="CC24" i="10"/>
  <c r="CE24" i="10" s="1"/>
  <c r="CC23" i="10"/>
  <c r="CE23" i="10" s="1"/>
  <c r="CC28" i="10"/>
  <c r="CE28" i="10" s="1"/>
  <c r="CC21" i="10"/>
  <c r="CE21" i="10" s="1"/>
  <c r="R31" i="11"/>
  <c r="R35" i="11"/>
  <c r="CF47" i="10"/>
  <c r="CG47" i="10"/>
  <c r="CE22" i="10"/>
  <c r="AJ20" i="11"/>
  <c r="AK20" i="11"/>
  <c r="AC22" i="11"/>
  <c r="AB23" i="11"/>
  <c r="AH22" i="11"/>
  <c r="AI21" i="11"/>
  <c r="AE21" i="11"/>
  <c r="AD21" i="11"/>
  <c r="CC66" i="10" l="1"/>
  <c r="CE66" i="10" s="1"/>
  <c r="CF66" i="10" s="1"/>
  <c r="R42" i="11" s="1"/>
  <c r="CC68" i="10"/>
  <c r="CE68" i="10" s="1"/>
  <c r="CF68" i="10" s="1"/>
  <c r="R44" i="11" s="1"/>
  <c r="CC67" i="10"/>
  <c r="CE67" i="10" s="1"/>
  <c r="CG67" i="10" s="1"/>
  <c r="S43" i="11" s="1"/>
  <c r="CF87" i="10"/>
  <c r="R54" i="11" s="1"/>
  <c r="CG87" i="10"/>
  <c r="S54" i="11" s="1"/>
  <c r="CF84" i="10"/>
  <c r="R51" i="11" s="1"/>
  <c r="CG84" i="10"/>
  <c r="S51" i="11" s="1"/>
  <c r="CF85" i="10"/>
  <c r="R52" i="11" s="1"/>
  <c r="CG85" i="10"/>
  <c r="S52" i="11" s="1"/>
  <c r="CF83" i="10"/>
  <c r="R50" i="11" s="1"/>
  <c r="CG83" i="10"/>
  <c r="S50" i="11" s="1"/>
  <c r="CF88" i="10"/>
  <c r="R55" i="11" s="1"/>
  <c r="CG88" i="10"/>
  <c r="S55" i="11" s="1"/>
  <c r="CF86" i="10"/>
  <c r="R53" i="11" s="1"/>
  <c r="CG86" i="10"/>
  <c r="S53" i="11" s="1"/>
  <c r="CC71" i="10"/>
  <c r="CE71" i="10" s="1"/>
  <c r="CG71" i="10" s="1"/>
  <c r="S47" i="11" s="1"/>
  <c r="CC63" i="10"/>
  <c r="CE63" i="10" s="1"/>
  <c r="CF23" i="10"/>
  <c r="R18" i="11" s="1"/>
  <c r="B23" i="15" s="1"/>
  <c r="CG23" i="10"/>
  <c r="S18" i="11" s="1"/>
  <c r="C23" i="15" s="1"/>
  <c r="CF21" i="10"/>
  <c r="R16" i="11" s="1"/>
  <c r="B21" i="15" s="1"/>
  <c r="CG21" i="10"/>
  <c r="S16" i="11" s="1"/>
  <c r="C21" i="15" s="1"/>
  <c r="CF25" i="10"/>
  <c r="R20" i="11" s="1"/>
  <c r="B25" i="15" s="1"/>
  <c r="CG25" i="10"/>
  <c r="S20" i="11" s="1"/>
  <c r="C25" i="15" s="1"/>
  <c r="CF89" i="10"/>
  <c r="R56" i="11" s="1"/>
  <c r="CG89" i="10"/>
  <c r="S56" i="11" s="1"/>
  <c r="CC64" i="10"/>
  <c r="CE64" i="10" s="1"/>
  <c r="CC69" i="10"/>
  <c r="CE69" i="10" s="1"/>
  <c r="CF69" i="10" s="1"/>
  <c r="R45" i="11" s="1"/>
  <c r="CC65" i="10"/>
  <c r="CE65" i="10" s="1"/>
  <c r="BX61" i="10"/>
  <c r="BW61" i="10"/>
  <c r="CG90" i="10"/>
  <c r="S57" i="11" s="1"/>
  <c r="CF90" i="10"/>
  <c r="R57" i="11" s="1"/>
  <c r="CF22" i="10"/>
  <c r="R17" i="11" s="1"/>
  <c r="B22" i="15" s="1"/>
  <c r="CG22" i="10"/>
  <c r="S17" i="11" s="1"/>
  <c r="C22" i="15" s="1"/>
  <c r="CF91" i="10"/>
  <c r="R58" i="11" s="1"/>
  <c r="CG91" i="10"/>
  <c r="S58" i="11" s="1"/>
  <c r="CG29" i="10"/>
  <c r="S24" i="11" s="1"/>
  <c r="C29" i="15" s="1"/>
  <c r="CG28" i="10"/>
  <c r="S23" i="11" s="1"/>
  <c r="C28" i="15" s="1"/>
  <c r="CF28" i="10"/>
  <c r="R23" i="11" s="1"/>
  <c r="B28" i="15" s="1"/>
  <c r="CF70" i="10"/>
  <c r="R46" i="11" s="1"/>
  <c r="CG70" i="10"/>
  <c r="S46" i="11" s="1"/>
  <c r="GZ33" i="11"/>
  <c r="S33" i="11"/>
  <c r="HB33" i="11"/>
  <c r="HB34" i="11"/>
  <c r="HD34" i="11"/>
  <c r="HA33" i="11"/>
  <c r="HA34" i="11"/>
  <c r="GZ34" i="11"/>
  <c r="HC33" i="11"/>
  <c r="HC34" i="11"/>
  <c r="HD33" i="11"/>
  <c r="R33" i="11"/>
  <c r="CG26" i="10"/>
  <c r="S21" i="11" s="1"/>
  <c r="C26" i="15" s="1"/>
  <c r="CF26" i="10"/>
  <c r="R21" i="11" s="1"/>
  <c r="B26" i="15" s="1"/>
  <c r="CF24" i="10"/>
  <c r="R19" i="11" s="1"/>
  <c r="B24" i="15" s="1"/>
  <c r="CG24" i="10"/>
  <c r="S19" i="11" s="1"/>
  <c r="C24" i="15" s="1"/>
  <c r="CF27" i="10"/>
  <c r="R22" i="11" s="1"/>
  <c r="B27" i="15" s="1"/>
  <c r="CG27" i="10"/>
  <c r="S22" i="11" s="1"/>
  <c r="C27" i="15" s="1"/>
  <c r="AC23" i="11"/>
  <c r="AB24" i="11"/>
  <c r="AE22" i="11"/>
  <c r="AD22" i="11"/>
  <c r="AK21" i="11"/>
  <c r="AJ21" i="11"/>
  <c r="AH23" i="11"/>
  <c r="AI22" i="11"/>
  <c r="CG68" i="10" l="1"/>
  <c r="S44" i="11" s="1"/>
  <c r="CG66" i="10"/>
  <c r="S42" i="11" s="1"/>
  <c r="GZ22" i="11"/>
  <c r="HC22" i="11"/>
  <c r="CF71" i="10"/>
  <c r="R47" i="11" s="1"/>
  <c r="CF67" i="10"/>
  <c r="R43" i="11" s="1"/>
  <c r="HC18" i="11"/>
  <c r="HB21" i="11"/>
  <c r="HA22" i="11"/>
  <c r="HC21" i="11"/>
  <c r="HA21" i="11"/>
  <c r="HD22" i="11"/>
  <c r="HD21" i="11"/>
  <c r="GZ19" i="11"/>
  <c r="HB18" i="11"/>
  <c r="HB22" i="11"/>
  <c r="GZ21" i="11"/>
  <c r="CF63" i="10"/>
  <c r="R39" i="11" s="1"/>
  <c r="CG63" i="10"/>
  <c r="S39" i="11" s="1"/>
  <c r="CF65" i="10"/>
  <c r="R41" i="11" s="1"/>
  <c r="CG65" i="10"/>
  <c r="S41" i="11" s="1"/>
  <c r="CF64" i="10"/>
  <c r="R40" i="11" s="1"/>
  <c r="CG64" i="10"/>
  <c r="S40" i="11" s="1"/>
  <c r="GZ18" i="11"/>
  <c r="HC19" i="11"/>
  <c r="HA18" i="11"/>
  <c r="HA19" i="11"/>
  <c r="HB19" i="11"/>
  <c r="HD19" i="11"/>
  <c r="HD18" i="11"/>
  <c r="CG69" i="10"/>
  <c r="S45" i="11" s="1"/>
  <c r="GY33" i="11"/>
  <c r="AJ22" i="11"/>
  <c r="AK22" i="11"/>
  <c r="AI23" i="11"/>
  <c r="AH24" i="11"/>
  <c r="AB25" i="11"/>
  <c r="AC24" i="11"/>
  <c r="AE23" i="11"/>
  <c r="AD23" i="11"/>
  <c r="HD40" i="11" l="1"/>
  <c r="GY21" i="11"/>
  <c r="HC39" i="11"/>
  <c r="HC40" i="11"/>
  <c r="HA39" i="11"/>
  <c r="HB39" i="11"/>
  <c r="HA40" i="11"/>
  <c r="GZ40" i="11"/>
  <c r="HD39" i="11"/>
  <c r="GZ39" i="11"/>
  <c r="HB40" i="11"/>
  <c r="GY18" i="11"/>
  <c r="AI24" i="11"/>
  <c r="AH25" i="11"/>
  <c r="AJ23" i="11"/>
  <c r="AK23" i="11"/>
  <c r="AE24" i="11"/>
  <c r="AD24" i="11"/>
  <c r="AB26" i="11"/>
  <c r="AC25" i="11"/>
  <c r="GY39" i="11" l="1"/>
  <c r="AD25" i="11"/>
  <c r="AE25" i="11"/>
  <c r="AB27" i="11"/>
  <c r="AC27" i="11" s="1"/>
  <c r="AC26" i="11"/>
  <c r="AI25" i="11"/>
  <c r="AH26" i="11"/>
  <c r="AK24" i="11"/>
  <c r="AJ24" i="11"/>
  <c r="AH27" i="11" l="1"/>
  <c r="AI27" i="11" s="1"/>
  <c r="AI26" i="11"/>
  <c r="AD26" i="11"/>
  <c r="AE26" i="11"/>
  <c r="AK25" i="11"/>
  <c r="AJ25" i="11"/>
  <c r="AE27" i="11"/>
  <c r="AD27" i="11"/>
  <c r="AJ27" i="11" l="1"/>
  <c r="AK27" i="11"/>
  <c r="AK26" i="11"/>
  <c r="AJ26" i="11"/>
</calcChain>
</file>

<file path=xl/sharedStrings.xml><?xml version="1.0" encoding="utf-8"?>
<sst xmlns="http://schemas.openxmlformats.org/spreadsheetml/2006/main" count="4805" uniqueCount="300">
  <si>
    <t>Compatibility Table</t>
  </si>
  <si>
    <t>Alphabet</t>
  </si>
  <si>
    <t>Number</t>
  </si>
  <si>
    <t>Compound Numbers</t>
  </si>
  <si>
    <t>Vowels</t>
  </si>
  <si>
    <t>a</t>
  </si>
  <si>
    <t>e</t>
  </si>
  <si>
    <t>i</t>
  </si>
  <si>
    <t>o</t>
  </si>
  <si>
    <t>u</t>
  </si>
  <si>
    <t>Current Name</t>
  </si>
  <si>
    <t>Old Core</t>
  </si>
  <si>
    <t>With BD</t>
  </si>
  <si>
    <t>With LP</t>
  </si>
  <si>
    <t>A</t>
  </si>
  <si>
    <t>No</t>
  </si>
  <si>
    <t>Rank</t>
  </si>
  <si>
    <t>First Name</t>
  </si>
  <si>
    <t>BD</t>
  </si>
  <si>
    <t>E</t>
  </si>
  <si>
    <t>G</t>
  </si>
  <si>
    <t>F</t>
  </si>
  <si>
    <t>B</t>
  </si>
  <si>
    <t>X</t>
  </si>
  <si>
    <t>FN</t>
  </si>
  <si>
    <t>LP</t>
  </si>
  <si>
    <t>VG</t>
  </si>
  <si>
    <t>C</t>
  </si>
  <si>
    <t>FN Vowel</t>
  </si>
  <si>
    <t>D</t>
  </si>
  <si>
    <t>Middle Name</t>
  </si>
  <si>
    <t>EXP</t>
  </si>
  <si>
    <t>SU</t>
  </si>
  <si>
    <t>√</t>
  </si>
  <si>
    <t>MN Vovel</t>
  </si>
  <si>
    <t>SS</t>
  </si>
  <si>
    <t>Karmic Number</t>
  </si>
  <si>
    <t>Last Name</t>
  </si>
  <si>
    <t>Hidden Passion</t>
  </si>
  <si>
    <t>LN</t>
  </si>
  <si>
    <t>Core</t>
  </si>
  <si>
    <t>H</t>
  </si>
  <si>
    <t>Balance</t>
  </si>
  <si>
    <t>I</t>
  </si>
  <si>
    <t>LN Vowel</t>
  </si>
  <si>
    <t>Maturity</t>
  </si>
  <si>
    <t>J</t>
  </si>
  <si>
    <t>M</t>
  </si>
  <si>
    <t>Y</t>
  </si>
  <si>
    <t>Attitude</t>
  </si>
  <si>
    <t>K</t>
  </si>
  <si>
    <t>U</t>
  </si>
  <si>
    <t>O</t>
  </si>
  <si>
    <t>L</t>
  </si>
  <si>
    <t>BM</t>
  </si>
  <si>
    <t>BY</t>
  </si>
  <si>
    <t>V</t>
  </si>
  <si>
    <t>Z</t>
  </si>
  <si>
    <t>P</t>
  </si>
  <si>
    <t>R</t>
  </si>
  <si>
    <t>T</t>
  </si>
  <si>
    <t>N</t>
  </si>
  <si>
    <t>W</t>
  </si>
  <si>
    <t>Q</t>
  </si>
  <si>
    <t>S</t>
  </si>
  <si>
    <t>Corrected Name</t>
  </si>
  <si>
    <t>New Core</t>
  </si>
  <si>
    <t>*</t>
  </si>
  <si>
    <t>Today's Date</t>
  </si>
  <si>
    <t>Current Year</t>
  </si>
  <si>
    <t>Challenge</t>
  </si>
  <si>
    <t>Current Month</t>
  </si>
  <si>
    <t>Chlg 1</t>
  </si>
  <si>
    <t>0 to 35 yrs</t>
  </si>
  <si>
    <t>Current Date</t>
  </si>
  <si>
    <t>Chlg 2</t>
  </si>
  <si>
    <t>35 to 55 yrs</t>
  </si>
  <si>
    <t>Chlg 3</t>
  </si>
  <si>
    <t>Birth to Death</t>
  </si>
  <si>
    <t>Chlg 4</t>
  </si>
  <si>
    <t>55 till Death</t>
  </si>
  <si>
    <t>Pinacale</t>
  </si>
  <si>
    <t>P1</t>
  </si>
  <si>
    <t>P2</t>
  </si>
  <si>
    <t>P3</t>
  </si>
  <si>
    <t>P4</t>
  </si>
  <si>
    <t>Mobile No. 1</t>
  </si>
  <si>
    <t>=</t>
  </si>
  <si>
    <t>Mobile No. 2</t>
  </si>
  <si>
    <t>House No</t>
  </si>
  <si>
    <t>Vehicle 1</t>
  </si>
  <si>
    <t>Vehicle 2</t>
  </si>
  <si>
    <t>House Number</t>
  </si>
  <si>
    <t>Old Company Name</t>
  </si>
  <si>
    <t>Co Name / Brand</t>
  </si>
  <si>
    <t>New Company Name</t>
  </si>
  <si>
    <t>SA</t>
  </si>
  <si>
    <t>Please Enter the details only in the YELLOW boxes</t>
  </si>
  <si>
    <t>A - SA</t>
  </si>
  <si>
    <t>Old Aspects / Compatibility</t>
  </si>
  <si>
    <t>New Aspects / Compatibility</t>
  </si>
  <si>
    <t>This Sheet only calculate  the numbers and does not give any corrections or predictions. You can play and do comparison with Old &amp; New name by making changes till the Aspects / Compatibility table Turn All WHITE</t>
  </si>
  <si>
    <t>For Your convenience, I have made the Alphabet table highlighting Vowels which will help on Spelling corrections</t>
  </si>
  <si>
    <t>You will have to refer to Notes to understand the definition of Numbers and other calculations (Challenge, Pinnacles etc.)</t>
  </si>
  <si>
    <t>You can also calcuate and correct COMPANY Names, which gives result after comparing with BD &amp; LP.</t>
  </si>
  <si>
    <t>Sr. No</t>
  </si>
  <si>
    <t>Notes</t>
  </si>
  <si>
    <t>In Hidden Passion the Cell will Turn Blue for the Highest Number and the rest will be Shades of Red in desending order</t>
  </si>
  <si>
    <t>Date of Birth</t>
  </si>
  <si>
    <t>Bank A/c No. 1</t>
  </si>
  <si>
    <t>Bank A/c No. 2</t>
  </si>
  <si>
    <t>Age</t>
  </si>
  <si>
    <t>MN</t>
  </si>
  <si>
    <t>Capricorn</t>
  </si>
  <si>
    <t>Aquarius</t>
  </si>
  <si>
    <t>Pisces</t>
  </si>
  <si>
    <t>Aries</t>
  </si>
  <si>
    <t>Taurus</t>
  </si>
  <si>
    <t>Gemini</t>
  </si>
  <si>
    <t>Cancer</t>
  </si>
  <si>
    <t>Leo</t>
  </si>
  <si>
    <t>Virgo</t>
  </si>
  <si>
    <t>Libra</t>
  </si>
  <si>
    <t>Scorpio</t>
  </si>
  <si>
    <t>Sagittarius</t>
  </si>
  <si>
    <t>Date</t>
  </si>
  <si>
    <t>Zodiac</t>
  </si>
  <si>
    <t>Zodiac &amp; Element</t>
  </si>
  <si>
    <t>Element</t>
  </si>
  <si>
    <t>Fire</t>
  </si>
  <si>
    <t>Earth</t>
  </si>
  <si>
    <t>Water</t>
  </si>
  <si>
    <t>Air</t>
  </si>
  <si>
    <t>From</t>
  </si>
  <si>
    <t>To</t>
  </si>
  <si>
    <t>Onwards</t>
  </si>
  <si>
    <t>KLs</t>
  </si>
  <si>
    <t>MKLs</t>
  </si>
  <si>
    <t>3 X 3</t>
  </si>
  <si>
    <t>Will</t>
  </si>
  <si>
    <t>4
(Rahu)</t>
  </si>
  <si>
    <t>9
(Mangal)</t>
  </si>
  <si>
    <t>2
(Chandra)</t>
  </si>
  <si>
    <t>3
(Guru)</t>
  </si>
  <si>
    <t>5
(Budh)</t>
  </si>
  <si>
    <t>7
(Ketu)</t>
  </si>
  <si>
    <t>6
(Shukr)</t>
  </si>
  <si>
    <t>1
(Surya)</t>
  </si>
  <si>
    <t>8
(Shani)</t>
  </si>
  <si>
    <t>Lo Shu</t>
  </si>
  <si>
    <t>Number Series</t>
  </si>
  <si>
    <t>KUA</t>
  </si>
  <si>
    <t>Gender</t>
  </si>
  <si>
    <t>Mental Plane</t>
  </si>
  <si>
    <t>Emotional Plane</t>
  </si>
  <si>
    <t>Practical Plane</t>
  </si>
  <si>
    <t>Jan</t>
  </si>
  <si>
    <t>Feb</t>
  </si>
  <si>
    <t>March</t>
  </si>
  <si>
    <t>April</t>
  </si>
  <si>
    <t>May</t>
  </si>
  <si>
    <t>June</t>
  </si>
  <si>
    <t>July</t>
  </si>
  <si>
    <t>Aug</t>
  </si>
  <si>
    <t>Sep</t>
  </si>
  <si>
    <t>Oct</t>
  </si>
  <si>
    <t>Nov</t>
  </si>
  <si>
    <t>Dec</t>
  </si>
  <si>
    <t>Personal Month</t>
  </si>
  <si>
    <t>Personal Day</t>
  </si>
  <si>
    <t>Personal Year</t>
  </si>
  <si>
    <t>In Aspect / Compatibility table E-Excellent, VG-Very Good, G-Good, F-Fair, A-Avoid &amp; SA - Super Avoid</t>
  </si>
  <si>
    <t>Thought</t>
  </si>
  <si>
    <t>1</t>
  </si>
  <si>
    <t>2</t>
  </si>
  <si>
    <t>3</t>
  </si>
  <si>
    <t>4</t>
  </si>
  <si>
    <t>5</t>
  </si>
  <si>
    <t>6</t>
  </si>
  <si>
    <t>7</t>
  </si>
  <si>
    <t>8</t>
  </si>
  <si>
    <t>9</t>
  </si>
  <si>
    <t>0</t>
  </si>
  <si>
    <t>Action</t>
  </si>
  <si>
    <t>Raj Yog 2</t>
  </si>
  <si>
    <t>Raj Yog 1</t>
  </si>
  <si>
    <t>Angelic white wings</t>
  </si>
  <si>
    <t>Male</t>
  </si>
  <si>
    <t>Kasturia</t>
  </si>
  <si>
    <t>Company Name</t>
  </si>
  <si>
    <t>Core 1</t>
  </si>
  <si>
    <t>Option 1</t>
  </si>
  <si>
    <t>Option 2</t>
  </si>
  <si>
    <t>Option 3</t>
  </si>
  <si>
    <t>KL</t>
  </si>
  <si>
    <t>MKL</t>
  </si>
  <si>
    <t>Kriishh</t>
  </si>
  <si>
    <t>Karrpe</t>
  </si>
  <si>
    <t>HP</t>
  </si>
  <si>
    <t>Core 2</t>
  </si>
  <si>
    <t>Core 3</t>
  </si>
  <si>
    <t>Challenge 1</t>
  </si>
  <si>
    <t>Challenge 4</t>
  </si>
  <si>
    <t>Challenge 2</t>
  </si>
  <si>
    <t>Challenge 3</t>
  </si>
  <si>
    <t>Mannooj</t>
  </si>
  <si>
    <t>Current</t>
  </si>
  <si>
    <t>-</t>
  </si>
  <si>
    <t>ChaganBahi Maganbhai Chimanlal Financial Services Private Limited</t>
  </si>
  <si>
    <t>Balance No.</t>
  </si>
  <si>
    <t>Attitude No.</t>
  </si>
  <si>
    <t>Maturity No.</t>
  </si>
  <si>
    <t>By Entering Name, Surname &amp; Date of Birth All Numbers get calculated automaticaly - 
1. CORE - BD (Birth Date), LP (Life Path), FN (First Name), EXP (Expression No), SU (Soul Urge), SS (Secret Self), 
2. Balance, Maturity, Attitude 
3. Hidden Passion, 
4. Karmic,
5. Challenge, 
6. Pinnacles, 
7. PY, PM, PD (PM &amp; PD -  For Current Full Year)
8. Please enter Gender if you are using Lo Shu Grid</t>
  </si>
  <si>
    <r>
      <t xml:space="preserve">Please DO NOT enter anything anywhere Except </t>
    </r>
    <r>
      <rPr>
        <b/>
        <sz val="11"/>
        <color rgb="FFFFFF00"/>
        <rFont val="Calibri"/>
        <family val="2"/>
        <scheme val="minor"/>
      </rPr>
      <t>YELLOW BOX</t>
    </r>
    <r>
      <rPr>
        <b/>
        <sz val="11"/>
        <color theme="1"/>
        <rFont val="Calibri"/>
        <family val="2"/>
        <scheme val="minor"/>
      </rPr>
      <t xml:space="preserve"> else the file will get corrupted</t>
    </r>
  </si>
  <si>
    <r>
      <t xml:space="preserve">In Karmic Numbers, </t>
    </r>
    <r>
      <rPr>
        <sz val="11"/>
        <rFont val="Calibri"/>
        <family val="2"/>
        <scheme val="minor"/>
      </rPr>
      <t>KL &amp; MKL gets highlightes with Blue Colour</t>
    </r>
  </si>
  <si>
    <t>In Aspects / Compatibility table if result is A-Avoid or SA-Super Avoid the Box will turn RED</t>
  </si>
  <si>
    <t>Apart from there is a separate sheet to calculate all the below calculations
1. Mobile, 
2. Bank A/c No., 
3. Vehicle, 
4. House numbers</t>
  </si>
  <si>
    <t>Sheets Name</t>
  </si>
  <si>
    <t>Master Calculator</t>
  </si>
  <si>
    <t>Working / Calculation in the Sheet</t>
  </si>
  <si>
    <t>Lo Shu Grid</t>
  </si>
  <si>
    <t>I. Pull the details from Master Calculator and Prepares Lo Shu Grid
II. Pull the Name details from Master Calculator and Shows the Grid</t>
  </si>
  <si>
    <t>Current Year
Personal Year-Month-Day</t>
  </si>
  <si>
    <t>Mobile-Vehicle-House-Bank
Coompany Name</t>
  </si>
  <si>
    <t xml:space="preserve">1. Calculates Mobile No. Vehicle No. House No. Bank A/c No.
2. Calculates Company Name and Compares with BD &amp; LP
</t>
  </si>
  <si>
    <t>Past - Future 
Personal Year-Month-Day</t>
  </si>
  <si>
    <t>In this Sheet one can calculate PY, PM, PD for Past and Future Year by entering DOB &amp; Date in Yellow Box</t>
  </si>
  <si>
    <t>I. Pull the Details from Master Calculator and calculates the Following
1. Current Personal Year
2. Full Years Personal Month
3. Full Years Personal Day
4. In this Personal Day gets highlighted which is compatible with BD/LP</t>
  </si>
  <si>
    <r>
      <t xml:space="preserve">All Numbers get calculated automatically:-
1. CORE - BD (Birth Date), LP (Life Path), FN (First Name), EXP (Expression No), SU (Soul Urge), SS (Secret Self), 
2. Balance, Maturity, Attitude
3. Hidden Passion, 
4. Karmic,
5. Challenge, 
6. Pinnacles, 
7. In this seet In BD/LP Table, Whatever is Active Turns </t>
    </r>
    <r>
      <rPr>
        <sz val="11"/>
        <color rgb="FF92D050"/>
        <rFont val="Calibri"/>
        <family val="2"/>
        <scheme val="minor"/>
      </rPr>
      <t>GREEN</t>
    </r>
    <r>
      <rPr>
        <sz val="11"/>
        <color theme="1"/>
        <rFont val="Calibri"/>
        <family val="2"/>
        <scheme val="minor"/>
      </rPr>
      <t xml:space="preserve">
II. Name Correction - Compatibility Chart</t>
    </r>
  </si>
  <si>
    <t>Important Points &amp; Rules for Name Change:</t>
  </si>
  <si>
    <t>Birthday is active from 0 years to 35 years while Life Path becomes active from 36 years onwards.</t>
  </si>
  <si>
    <t>Series of 4 and 8 are totally avoided in First Name and Expression Numbers while working on New spellings but can be given in Vowels and Consonants total.</t>
  </si>
  <si>
    <t>If the prominent Number that is Birthday or Life Path (irrespective of what is active) is of the 3/6 series one cannot give the First Name or Expression as a 6/3 series, but it can be given in the vowels and consonants total.</t>
  </si>
  <si>
    <t>The Combination of 369 is called the magical triangle in a Core.</t>
  </si>
  <si>
    <t>Avoid 4 and 9 or 8 and 9 totally in the core as these combinations attract court cases and health issues respectively.</t>
  </si>
  <si>
    <t>If the First Name or Expression comes to a Harsh Number, it is a mandate to give a new spelling.</t>
  </si>
  <si>
    <t>The following details to be taken by the client over email- Full Date of Birth; Name as in use and as on documents; Issues (if any) and Desire of the client.</t>
  </si>
  <si>
    <t>The first step is checking the active component (Birthday or life Path as per the age). Once the active component is ascertained check it with the First Name, Expression, Soul Urge and Secret Self Number. Make use of the Aspects shared above for this purpose. Then check the First Name and Expression and see if they come to Harsh/Good/Very Good or Numbers. If they come to Harsh Numbers, then even if they get a tick in the aspects part while checking still the person would require a spelling change.</t>
  </si>
  <si>
    <t xml:space="preserve">The Suggested (worked) spelling to be written 21 times thrice a day (morning-afternoon-night) with a green coloured pen (ink green) for minimal 6 months in a new copy from the New Moon or Full Moon Day whichever falls earlier (time as per your choice) for a minimum of 6 months. Make sure the writing is neat and clear. It’s your choice to write in cursive handwriting or in capital letters. Failure to write the spelling won't bring any changes hence make it a daily happy ritual to write the name and write it with positivity and happiness...You are welcome to change the spelling in social networking sites, signature of your emails and in any other place where you can though no legal changes are required anywhere .. If you are not comfortable changing the spelling on social networking site, please carry on only with religiously practicing the new spelling daily and encounter bliss in the coming days...  </t>
  </si>
  <si>
    <t>Once the copy in which the name is being written is finished, it can be put in the soil or can be put in a nearby lake/river/sea.</t>
  </si>
  <si>
    <t>E - Excelent | VG - Very Good | G - Good | F - Fair | A - Avoid | SA - Super Avoid</t>
  </si>
  <si>
    <t>Op 1. Aspects / Compatibility</t>
  </si>
  <si>
    <t>Op2 Aspects / Compatibility</t>
  </si>
  <si>
    <t>Op3 Aspects / Compatibility</t>
  </si>
  <si>
    <t>Yang</t>
  </si>
  <si>
    <t>Yin</t>
  </si>
  <si>
    <t>Type</t>
  </si>
  <si>
    <t>Value</t>
  </si>
  <si>
    <t>Simple</t>
  </si>
  <si>
    <t>Compound</t>
  </si>
  <si>
    <t>Date Value</t>
  </si>
  <si>
    <t>Adjustment</t>
  </si>
  <si>
    <t>Yin &amp; Yang Enegery Table</t>
  </si>
  <si>
    <t>BD / LP</t>
  </si>
  <si>
    <t>KBP171K</t>
  </si>
  <si>
    <t>Avaa Enterprises Limited</t>
  </si>
  <si>
    <t>Year</t>
  </si>
  <si>
    <t>PY</t>
  </si>
  <si>
    <t>Age chart for life path period timing</t>
  </si>
  <si>
    <t>Life path number</t>
  </si>
  <si>
    <t>Second life path period</t>
  </si>
  <si>
    <t>First life path period</t>
  </si>
  <si>
    <t>Third life path period</t>
  </si>
  <si>
    <t>till death</t>
  </si>
  <si>
    <t>MM/DD/YYYY</t>
  </si>
  <si>
    <t>cycles</t>
  </si>
  <si>
    <t>C1</t>
  </si>
  <si>
    <t>C2</t>
  </si>
  <si>
    <t>C3</t>
  </si>
  <si>
    <t>Full Name</t>
  </si>
  <si>
    <t>First name</t>
  </si>
  <si>
    <t>Maturity no.</t>
  </si>
  <si>
    <t>Balance no.</t>
  </si>
  <si>
    <t>I Minor Challenge</t>
  </si>
  <si>
    <t>II Minor Challenge</t>
  </si>
  <si>
    <t>III Minor Challenge</t>
  </si>
  <si>
    <t>IV Minor Challenge</t>
  </si>
  <si>
    <t>Numerology chart</t>
  </si>
  <si>
    <t>Middle name</t>
  </si>
  <si>
    <t>Challenges</t>
  </si>
  <si>
    <t>Minor influences</t>
  </si>
  <si>
    <t>Date of birth</t>
  </si>
  <si>
    <t>Cycles</t>
  </si>
  <si>
    <t>Pinnacles</t>
  </si>
  <si>
    <t>Karmic lessons</t>
  </si>
  <si>
    <t>Modified karmic lessons</t>
  </si>
  <si>
    <t>no</t>
  </si>
  <si>
    <t>Hidden passion number</t>
  </si>
  <si>
    <t>Attitude no.</t>
  </si>
  <si>
    <t>ajay</t>
  </si>
  <si>
    <t>kumar</t>
  </si>
  <si>
    <t>meena</t>
  </si>
  <si>
    <t>female</t>
  </si>
  <si>
    <t>rj14cy5850</t>
  </si>
  <si>
    <t>b 25</t>
  </si>
  <si>
    <t>KAMLESH</t>
  </si>
  <si>
    <t>MEENA</t>
  </si>
  <si>
    <t>KAAMLESH</t>
  </si>
  <si>
    <t>VIJAY</t>
  </si>
  <si>
    <t>ACHARYA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</si>
</sst>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b/>
      <sz val="14"/>
      <name val="Calibri"/>
      <family val="2"/>
      <scheme val="minor"/>
    </font>
    <font>
      <sz val="10"/>
      <name val="Calibri"/>
      <family val="2"/>
      <scheme val="minor"/>
    </font>
    <font>
      <sz val="11"/>
      <color rgb="FFFF0000"/>
      <name val="Calibri"/>
      <family val="2"/>
      <scheme val="minor"/>
    </font>
    <font>
      <b/>
      <sz val="12"/>
      <name val="Calibri"/>
      <family val="2"/>
      <scheme val="minor"/>
    </font>
    <font>
      <b/>
      <sz val="11"/>
      <color rgb="FFFF3399"/>
      <name val="Calibri"/>
      <family val="2"/>
      <scheme val="minor"/>
    </font>
    <font>
      <b/>
      <sz val="11"/>
      <color rgb="FFFFFF00"/>
      <name val="Calibri"/>
      <family val="2"/>
      <scheme val="minor"/>
    </font>
    <font>
      <sz val="11"/>
      <color theme="0"/>
      <name val="Calibri"/>
      <family val="2"/>
      <scheme val="minor"/>
    </font>
    <font>
      <b/>
      <sz val="11"/>
      <color rgb="FFFF0000"/>
      <name val="Calibri"/>
      <family val="2"/>
      <scheme val="minor"/>
    </font>
    <font>
      <u/>
      <sz val="11"/>
      <color rgb="FFFF0000"/>
      <name val="Calibri"/>
      <family val="2"/>
      <scheme val="minor"/>
    </font>
    <font>
      <sz val="11"/>
      <color rgb="FFFF0000"/>
      <name val="Calibri"/>
      <family val="2"/>
    </font>
    <font>
      <strike/>
      <sz val="11"/>
      <color rgb="FFFF0000"/>
      <name val="Calibri"/>
      <family val="2"/>
      <scheme val="minor"/>
    </font>
    <font>
      <b/>
      <sz val="11"/>
      <color theme="8"/>
      <name val="Calibri"/>
      <family val="2"/>
      <scheme val="minor"/>
    </font>
    <font>
      <b/>
      <sz val="11"/>
      <color theme="9"/>
      <name val="Calibri"/>
      <family val="2"/>
      <scheme val="minor"/>
    </font>
    <font>
      <b/>
      <sz val="7"/>
      <name val="Calibri"/>
      <family val="2"/>
      <scheme val="minor"/>
    </font>
    <font>
      <b/>
      <sz val="11"/>
      <color theme="0"/>
      <name val="Calibri"/>
      <family val="2"/>
      <scheme val="minor"/>
    </font>
    <font>
      <sz val="11"/>
      <color theme="2" tint="-9.9978637043366805E-2"/>
      <name val="Calibri"/>
      <family val="2"/>
      <scheme val="minor"/>
    </font>
    <font>
      <sz val="11"/>
      <color rgb="FF92D050"/>
      <name val="Calibri"/>
      <family val="2"/>
      <scheme val="minor"/>
    </font>
    <font>
      <u/>
      <sz val="11"/>
      <color theme="0"/>
      <name val="Calibri"/>
      <family val="2"/>
      <scheme val="minor"/>
    </font>
    <font>
      <sz val="11"/>
      <color theme="0"/>
      <name val="Calibri"/>
      <family val="2"/>
    </font>
    <font>
      <b/>
      <sz val="12"/>
      <color theme="0"/>
      <name val="Calibri"/>
      <family val="2"/>
      <scheme val="minor"/>
    </font>
    <font>
      <b/>
      <sz val="6"/>
      <color theme="1"/>
      <name val="Calibri"/>
      <family val="2"/>
      <scheme val="minor"/>
    </font>
    <font>
      <sz val="11"/>
      <color theme="0" tint="-0.249977111117893"/>
      <name val="Calibri"/>
      <family val="2"/>
      <scheme val="minor"/>
    </font>
    <font>
      <b/>
      <i/>
      <sz val="11"/>
      <color theme="1"/>
      <name val="Times New Roman"/>
      <family val="1"/>
    </font>
    <font>
      <b/>
      <i/>
      <u/>
      <sz val="12"/>
      <color theme="1"/>
      <name val="Comic Sans MS"/>
      <family val="4"/>
    </font>
    <font>
      <i/>
      <sz val="28"/>
      <color theme="1"/>
      <name val="Rockwell"/>
      <family val="1"/>
    </font>
    <font>
      <b/>
      <i/>
      <sz val="12"/>
      <color theme="1"/>
      <name val="Times New Roman"/>
      <family val="1"/>
    </font>
    <font>
      <sz val="11"/>
      <color theme="1"/>
      <name val="Times New Roman"/>
      <family val="1"/>
    </font>
    <font>
      <b/>
      <i/>
      <sz val="11"/>
      <color theme="1"/>
      <name val="Calibri"/>
      <family val="2"/>
      <scheme val="minor"/>
    </font>
    <font>
      <b/>
      <i/>
      <sz val="11"/>
      <color theme="1"/>
      <name val="Arial"/>
      <family val="2"/>
    </font>
  </fonts>
  <fills count="23">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00FF"/>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CCFF"/>
        <bgColor indexed="64"/>
      </patternFill>
    </fill>
    <fill>
      <patternFill patternType="solid">
        <fgColor rgb="FF92D050"/>
        <bgColor indexed="64"/>
      </patternFill>
    </fill>
    <fill>
      <patternFill patternType="solid">
        <fgColor theme="7" tint="0.59999389629810485"/>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4"/>
        <bgColor indexed="64"/>
      </patternFill>
    </fill>
    <fill>
      <patternFill patternType="solid">
        <fgColor theme="9"/>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s>
  <borders count="8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00B0F0"/>
      </left>
      <right/>
      <top style="medium">
        <color rgb="FF00B0F0"/>
      </top>
      <bottom/>
      <diagonal/>
    </border>
    <border>
      <left/>
      <right/>
      <top style="medium">
        <color rgb="FF00B0F0"/>
      </top>
      <bottom/>
      <diagonal/>
    </border>
    <border>
      <left/>
      <right style="medium">
        <color rgb="FF00B0F0"/>
      </right>
      <top style="medium">
        <color rgb="FF00B0F0"/>
      </top>
      <bottom/>
      <diagonal/>
    </border>
    <border>
      <left style="medium">
        <color rgb="FF00B0F0"/>
      </left>
      <right/>
      <top/>
      <bottom/>
      <diagonal/>
    </border>
    <border>
      <left/>
      <right style="medium">
        <color rgb="FF00B0F0"/>
      </right>
      <top/>
      <bottom/>
      <diagonal/>
    </border>
    <border>
      <left style="medium">
        <color rgb="FF00B0F0"/>
      </left>
      <right/>
      <top/>
      <bottom style="medium">
        <color rgb="FF00B0F0"/>
      </bottom>
      <diagonal/>
    </border>
    <border>
      <left/>
      <right/>
      <top/>
      <bottom style="medium">
        <color rgb="FF00B0F0"/>
      </bottom>
      <diagonal/>
    </border>
    <border>
      <left/>
      <right/>
      <top style="medium">
        <color theme="9"/>
      </top>
      <bottom/>
      <diagonal/>
    </border>
    <border>
      <left/>
      <right/>
      <top/>
      <bottom style="medium">
        <color theme="9"/>
      </bottom>
      <diagonal/>
    </border>
    <border>
      <left/>
      <right/>
      <top/>
      <bottom style="medium">
        <color rgb="FFFFC000"/>
      </bottom>
      <diagonal/>
    </border>
    <border>
      <left/>
      <right style="thin">
        <color rgb="FF00B050"/>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DashDot">
        <color indexed="64"/>
      </left>
      <right style="mediumDashDot">
        <color indexed="64"/>
      </right>
      <top style="mediumDashDot">
        <color indexed="64"/>
      </top>
      <bottom/>
      <diagonal/>
    </border>
    <border>
      <left style="mediumDashDot">
        <color indexed="64"/>
      </left>
      <right style="mediumDashDot">
        <color indexed="64"/>
      </right>
      <top/>
      <bottom/>
      <diagonal/>
    </border>
    <border>
      <left style="mediumDashDot">
        <color indexed="64"/>
      </left>
      <right style="mediumDashDot">
        <color indexed="64"/>
      </right>
      <top/>
      <bottom style="mediumDashDot">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0" fontId="4" fillId="0" borderId="0" applyNumberFormat="0" applyFill="0" applyBorder="0" applyAlignment="0" applyProtection="0"/>
  </cellStyleXfs>
  <cellXfs count="663">
    <xf numFmtId="0" fontId="0" fillId="0" borderId="0" xfId="0"/>
    <xf numFmtId="0" fontId="0" fillId="0" borderId="0" xfId="0" applyAlignment="1">
      <alignment horizontal="center" vertical="center"/>
    </xf>
    <xf numFmtId="0" fontId="0" fillId="0" borderId="12" xfId="0" applyBorder="1" applyAlignment="1">
      <alignment wrapText="1"/>
    </xf>
    <xf numFmtId="0" fontId="0" fillId="0" borderId="12" xfId="0" applyBorder="1" applyAlignment="1">
      <alignment vertical="center" wrapText="1"/>
    </xf>
    <xf numFmtId="0" fontId="0" fillId="0" borderId="15" xfId="0" applyBorder="1" applyAlignment="1">
      <alignment horizontal="center" vertical="center"/>
    </xf>
    <xf numFmtId="0" fontId="0" fillId="0" borderId="16" xfId="0" applyBorder="1"/>
    <xf numFmtId="0" fontId="9" fillId="8" borderId="16" xfId="0" applyFont="1" applyFill="1" applyBorder="1"/>
    <xf numFmtId="0" fontId="0" fillId="0" borderId="18" xfId="0" applyBorder="1"/>
    <xf numFmtId="0" fontId="0" fillId="7" borderId="16" xfId="0" applyFill="1" applyBorder="1" applyAlignment="1" applyProtection="1">
      <alignment horizontal="center" vertical="center"/>
      <protection hidden="1"/>
    </xf>
    <xf numFmtId="0" fontId="0" fillId="0" borderId="1" xfId="0" applyBorder="1" applyProtection="1">
      <protection locked="0" hidden="1"/>
    </xf>
    <xf numFmtId="0" fontId="0" fillId="0" borderId="2" xfId="0" applyBorder="1" applyProtection="1">
      <protection locked="0" hidden="1"/>
    </xf>
    <xf numFmtId="0" fontId="0" fillId="0" borderId="2" xfId="0" applyBorder="1" applyAlignment="1" applyProtection="1">
      <alignment vertical="center"/>
      <protection locked="0" hidden="1"/>
    </xf>
    <xf numFmtId="0" fontId="0" fillId="0" borderId="3" xfId="0" applyBorder="1" applyProtection="1">
      <protection locked="0" hidden="1"/>
    </xf>
    <xf numFmtId="0" fontId="0" fillId="0" borderId="0" xfId="0" applyProtection="1">
      <protection locked="0" hidden="1"/>
    </xf>
    <xf numFmtId="0" fontId="7" fillId="0" borderId="0" xfId="0" applyFont="1" applyProtection="1">
      <protection locked="0" hidden="1"/>
    </xf>
    <xf numFmtId="0" fontId="7" fillId="0" borderId="0" xfId="0" applyFont="1" applyAlignment="1" applyProtection="1">
      <alignment horizontal="center"/>
      <protection locked="0" hidden="1"/>
    </xf>
    <xf numFmtId="0" fontId="12" fillId="0" borderId="0" xfId="0" applyFont="1" applyAlignment="1" applyProtection="1">
      <alignment horizontal="center" vertical="center"/>
      <protection locked="0" hidden="1"/>
    </xf>
    <xf numFmtId="0" fontId="3" fillId="0" borderId="0" xfId="0" applyFont="1" applyProtection="1">
      <protection locked="0" hidden="1"/>
    </xf>
    <xf numFmtId="0" fontId="0" fillId="0" borderId="0" xfId="0" applyAlignment="1" applyProtection="1">
      <alignment vertical="center"/>
      <protection locked="0" hidden="1"/>
    </xf>
    <xf numFmtId="0" fontId="0" fillId="0" borderId="5" xfId="0" applyBorder="1" applyProtection="1">
      <protection locked="0" hidden="1"/>
    </xf>
    <xf numFmtId="0" fontId="3" fillId="8" borderId="10" xfId="0" applyFont="1" applyFill="1" applyBorder="1" applyAlignment="1" applyProtection="1">
      <alignment horizontal="center"/>
      <protection locked="0" hidden="1"/>
    </xf>
    <xf numFmtId="0" fontId="3" fillId="8" borderId="9" xfId="0" applyFont="1" applyFill="1" applyBorder="1" applyAlignment="1" applyProtection="1">
      <alignment horizontal="center"/>
      <protection locked="0" hidden="1"/>
    </xf>
    <xf numFmtId="0" fontId="3" fillId="8" borderId="11" xfId="0" applyFont="1" applyFill="1" applyBorder="1" applyAlignment="1" applyProtection="1">
      <alignment horizontal="center"/>
      <protection locked="0" hidden="1"/>
    </xf>
    <xf numFmtId="0" fontId="3" fillId="0" borderId="0" xfId="0" applyFont="1" applyAlignment="1" applyProtection="1">
      <alignment horizontal="center"/>
      <protection locked="0" hidden="1"/>
    </xf>
    <xf numFmtId="0" fontId="7" fillId="0" borderId="0" xfId="0" applyFont="1" applyAlignment="1" applyProtection="1">
      <alignment horizontal="center" vertical="center"/>
      <protection locked="0" hidden="1"/>
    </xf>
    <xf numFmtId="16" fontId="7" fillId="0" borderId="0" xfId="0" applyNumberFormat="1" applyFont="1" applyProtection="1">
      <protection locked="0" hidden="1"/>
    </xf>
    <xf numFmtId="0" fontId="0" fillId="0" borderId="4" xfId="0" applyBorder="1" applyProtection="1">
      <protection locked="0" hidden="1"/>
    </xf>
    <xf numFmtId="0" fontId="3" fillId="4" borderId="0" xfId="0" applyFont="1" applyFill="1" applyAlignment="1" applyProtection="1">
      <alignment horizontal="center"/>
      <protection locked="0" hidden="1"/>
    </xf>
    <xf numFmtId="0" fontId="3" fillId="3" borderId="0" xfId="0" applyFont="1" applyFill="1" applyAlignment="1" applyProtection="1">
      <alignment horizontal="center"/>
      <protection locked="0" hidden="1"/>
    </xf>
    <xf numFmtId="0" fontId="3" fillId="9" borderId="4" xfId="0" applyFont="1" applyFill="1" applyBorder="1" applyAlignment="1" applyProtection="1">
      <alignment horizontal="center"/>
      <protection locked="0" hidden="1"/>
    </xf>
    <xf numFmtId="0" fontId="3" fillId="9" borderId="0" xfId="0" applyFont="1" applyFill="1" applyAlignment="1" applyProtection="1">
      <alignment horizontal="center"/>
      <protection locked="0" hidden="1"/>
    </xf>
    <xf numFmtId="0" fontId="3" fillId="0" borderId="5" xfId="0" applyFont="1" applyBorder="1" applyAlignment="1" applyProtection="1">
      <alignment horizontal="center"/>
      <protection locked="0" hidden="1"/>
    </xf>
    <xf numFmtId="0" fontId="3" fillId="6" borderId="0" xfId="0" applyFont="1" applyFill="1" applyAlignment="1" applyProtection="1">
      <alignment horizontal="center"/>
      <protection locked="0" hidden="1"/>
    </xf>
    <xf numFmtId="0" fontId="0" fillId="2" borderId="0" xfId="0" applyFill="1" applyProtection="1">
      <protection locked="0" hidden="1"/>
    </xf>
    <xf numFmtId="0" fontId="13" fillId="0" borderId="0" xfId="1" applyFont="1" applyFill="1" applyAlignment="1" applyProtection="1">
      <alignment horizontal="center" vertical="center"/>
      <protection locked="0" hidden="1"/>
    </xf>
    <xf numFmtId="0" fontId="3" fillId="0" borderId="0" xfId="0" applyFont="1" applyAlignment="1" applyProtection="1">
      <alignment horizontal="center" vertical="center"/>
      <protection locked="0" hidden="1"/>
    </xf>
    <xf numFmtId="0" fontId="3" fillId="0" borderId="4" xfId="0" applyFont="1" applyBorder="1" applyAlignment="1" applyProtection="1">
      <alignment horizontal="center"/>
      <protection locked="0" hidden="1"/>
    </xf>
    <xf numFmtId="0" fontId="3" fillId="0" borderId="6" xfId="0" applyFont="1" applyBorder="1" applyAlignment="1" applyProtection="1">
      <alignment horizontal="center"/>
      <protection locked="0" hidden="1"/>
    </xf>
    <xf numFmtId="0" fontId="3" fillId="0" borderId="7" xfId="0" applyFont="1" applyBorder="1" applyAlignment="1" applyProtection="1">
      <alignment horizontal="center"/>
      <protection locked="0" hidden="1"/>
    </xf>
    <xf numFmtId="0" fontId="3" fillId="0" borderId="8" xfId="0" applyFont="1" applyBorder="1" applyAlignment="1" applyProtection="1">
      <alignment horizontal="center"/>
      <protection locked="0" hidden="1"/>
    </xf>
    <xf numFmtId="0" fontId="14" fillId="0" borderId="0" xfId="0" applyFont="1" applyAlignment="1" applyProtection="1">
      <alignment horizontal="center" vertical="center"/>
      <protection locked="0" hidden="1"/>
    </xf>
    <xf numFmtId="0" fontId="2" fillId="0" borderId="5" xfId="0" applyFont="1" applyBorder="1" applyAlignment="1" applyProtection="1">
      <alignment horizontal="center"/>
      <protection locked="0" hidden="1"/>
    </xf>
    <xf numFmtId="0" fontId="12" fillId="0" borderId="0" xfId="0" applyFont="1" applyAlignment="1" applyProtection="1">
      <alignment horizontal="center"/>
      <protection locked="0" hidden="1"/>
    </xf>
    <xf numFmtId="0" fontId="0" fillId="0" borderId="0" xfId="0" applyAlignment="1" applyProtection="1">
      <alignment horizontal="center"/>
      <protection locked="0" hidden="1"/>
    </xf>
    <xf numFmtId="0" fontId="3" fillId="0" borderId="4" xfId="0" applyFont="1" applyBorder="1" applyAlignment="1" applyProtection="1">
      <alignment horizontal="left"/>
      <protection locked="0" hidden="1"/>
    </xf>
    <xf numFmtId="2" fontId="0" fillId="0" borderId="0" xfId="0" applyNumberFormat="1" applyAlignment="1" applyProtection="1">
      <alignment horizontal="center"/>
      <protection locked="0" hidden="1"/>
    </xf>
    <xf numFmtId="0" fontId="11" fillId="0" borderId="0" xfId="0" applyFont="1" applyProtection="1">
      <protection locked="0" hidden="1"/>
    </xf>
    <xf numFmtId="0" fontId="0" fillId="0" borderId="19" xfId="0" applyBorder="1" applyAlignment="1" applyProtection="1">
      <alignment horizontal="center"/>
      <protection locked="0" hidden="1"/>
    </xf>
    <xf numFmtId="0" fontId="2" fillId="3" borderId="0" xfId="0" applyFont="1" applyFill="1" applyAlignment="1" applyProtection="1">
      <alignment horizontal="center"/>
      <protection locked="0" hidden="1"/>
    </xf>
    <xf numFmtId="0" fontId="0" fillId="0" borderId="6" xfId="0" applyBorder="1" applyProtection="1">
      <protection locked="0" hidden="1"/>
    </xf>
    <xf numFmtId="0" fontId="0" fillId="0" borderId="7" xfId="0" applyBorder="1" applyProtection="1">
      <protection locked="0" hidden="1"/>
    </xf>
    <xf numFmtId="0" fontId="0" fillId="0" borderId="7" xfId="0" applyBorder="1" applyAlignment="1" applyProtection="1">
      <alignment horizontal="center"/>
      <protection locked="0" hidden="1"/>
    </xf>
    <xf numFmtId="0" fontId="2" fillId="0" borderId="0" xfId="0" applyFont="1" applyAlignment="1" applyProtection="1">
      <alignment horizontal="center"/>
      <protection locked="0" hidden="1"/>
    </xf>
    <xf numFmtId="0" fontId="3" fillId="0" borderId="0" xfId="0" applyFont="1" applyAlignment="1" applyProtection="1">
      <alignment horizontal="left"/>
      <protection locked="0" hidden="1"/>
    </xf>
    <xf numFmtId="0" fontId="3" fillId="0" borderId="2" xfId="0" applyFont="1" applyBorder="1" applyProtection="1">
      <protection locked="0" hidden="1"/>
    </xf>
    <xf numFmtId="0" fontId="2" fillId="8" borderId="4" xfId="0" applyFont="1" applyFill="1" applyBorder="1" applyAlignment="1" applyProtection="1">
      <alignment horizontal="left"/>
      <protection locked="0" hidden="1"/>
    </xf>
    <xf numFmtId="0" fontId="5" fillId="0" borderId="0" xfId="0" applyFont="1" applyAlignment="1" applyProtection="1">
      <alignment horizontal="center" vertical="center"/>
      <protection locked="0" hidden="1"/>
    </xf>
    <xf numFmtId="0" fontId="8" fillId="8" borderId="1" xfId="0" applyFont="1" applyFill="1" applyBorder="1" applyAlignment="1" applyProtection="1">
      <alignment vertical="center"/>
      <protection locked="0" hidden="1"/>
    </xf>
    <xf numFmtId="0" fontId="8" fillId="8" borderId="2" xfId="0" applyFont="1" applyFill="1" applyBorder="1" applyAlignment="1" applyProtection="1">
      <alignment vertical="center"/>
      <protection locked="0" hidden="1"/>
    </xf>
    <xf numFmtId="0" fontId="8" fillId="8" borderId="2" xfId="0" applyFont="1" applyFill="1" applyBorder="1" applyAlignment="1" applyProtection="1">
      <alignment horizontal="center" vertical="center"/>
      <protection locked="0" hidden="1"/>
    </xf>
    <xf numFmtId="0" fontId="8" fillId="8" borderId="3" xfId="0" applyFont="1" applyFill="1" applyBorder="1" applyAlignment="1" applyProtection="1">
      <alignment horizontal="center" vertical="center"/>
      <protection locked="0" hidden="1"/>
    </xf>
    <xf numFmtId="0" fontId="0" fillId="0" borderId="5" xfId="0" applyBorder="1" applyAlignment="1" applyProtection="1">
      <alignment horizontal="center"/>
      <protection locked="0" hidden="1"/>
    </xf>
    <xf numFmtId="0" fontId="2" fillId="3" borderId="7" xfId="0" applyFont="1" applyFill="1" applyBorder="1" applyAlignment="1" applyProtection="1">
      <alignment horizontal="center"/>
      <protection locked="0" hidden="1"/>
    </xf>
    <xf numFmtId="0" fontId="0" fillId="0" borderId="8" xfId="0" applyBorder="1" applyAlignment="1" applyProtection="1">
      <alignment horizontal="center"/>
      <protection locked="0" hidden="1"/>
    </xf>
    <xf numFmtId="0" fontId="0" fillId="0" borderId="8" xfId="0" applyBorder="1" applyProtection="1">
      <protection locked="0" hidden="1"/>
    </xf>
    <xf numFmtId="0" fontId="3" fillId="4" borderId="2" xfId="0" applyFont="1" applyFill="1" applyBorder="1" applyAlignment="1" applyProtection="1">
      <alignment horizontal="center"/>
      <protection locked="0" hidden="1"/>
    </xf>
    <xf numFmtId="0" fontId="3" fillId="0" borderId="0" xfId="0" quotePrefix="1" applyFont="1" applyAlignment="1" applyProtection="1">
      <alignment horizontal="center"/>
      <protection locked="0" hidden="1"/>
    </xf>
    <xf numFmtId="0" fontId="3" fillId="4" borderId="0" xfId="0" quotePrefix="1" applyFont="1" applyFill="1" applyAlignment="1" applyProtection="1">
      <alignment horizontal="center"/>
      <protection locked="0" hidden="1"/>
    </xf>
    <xf numFmtId="0" fontId="7" fillId="0" borderId="0" xfId="0" applyFont="1" applyAlignment="1" applyProtection="1">
      <alignment vertical="center"/>
      <protection locked="0" hidden="1"/>
    </xf>
    <xf numFmtId="0" fontId="2" fillId="3" borderId="5" xfId="0" applyFont="1" applyFill="1" applyBorder="1" applyAlignment="1" applyProtection="1">
      <alignment horizontal="center"/>
      <protection locked="0" hidden="1"/>
    </xf>
    <xf numFmtId="0" fontId="2" fillId="3" borderId="8" xfId="0" applyFont="1" applyFill="1" applyBorder="1" applyAlignment="1" applyProtection="1">
      <alignment horizontal="center"/>
      <protection locked="0" hidden="1"/>
    </xf>
    <xf numFmtId="0" fontId="0" fillId="4" borderId="0" xfId="0" applyFill="1" applyProtection="1">
      <protection locked="0" hidden="1"/>
    </xf>
    <xf numFmtId="0" fontId="3" fillId="3" borderId="0" xfId="0" applyFont="1" applyFill="1" applyAlignment="1" applyProtection="1">
      <alignment horizontal="center" vertical="center"/>
      <protection locked="0" hidden="1"/>
    </xf>
    <xf numFmtId="0" fontId="2" fillId="5" borderId="2" xfId="0" applyFont="1" applyFill="1" applyBorder="1" applyAlignment="1" applyProtection="1">
      <alignment horizontal="center"/>
      <protection locked="0" hidden="1"/>
    </xf>
    <xf numFmtId="0" fontId="2" fillId="8" borderId="6" xfId="0" applyFont="1" applyFill="1" applyBorder="1" applyAlignment="1" applyProtection="1">
      <alignment horizontal="center"/>
      <protection locked="0" hidden="1"/>
    </xf>
    <xf numFmtId="0" fontId="2" fillId="5" borderId="7" xfId="0" applyFont="1" applyFill="1" applyBorder="1" applyAlignment="1" applyProtection="1">
      <alignment horizontal="center"/>
      <protection locked="0" hidden="1"/>
    </xf>
    <xf numFmtId="0" fontId="0" fillId="0" borderId="6" xfId="0" applyBorder="1" applyAlignment="1" applyProtection="1">
      <alignment horizontal="center"/>
      <protection locked="0" hidden="1"/>
    </xf>
    <xf numFmtId="0" fontId="3" fillId="7" borderId="5" xfId="0" applyFont="1" applyFill="1" applyBorder="1" applyAlignment="1" applyProtection="1">
      <alignment horizontal="center"/>
      <protection locked="0" hidden="1"/>
    </xf>
    <xf numFmtId="0" fontId="2" fillId="0" borderId="4" xfId="0" applyFont="1" applyBorder="1" applyAlignment="1" applyProtection="1">
      <alignment horizontal="center"/>
      <protection locked="0" hidden="1"/>
    </xf>
    <xf numFmtId="0" fontId="3" fillId="0" borderId="5" xfId="0" applyFont="1" applyBorder="1" applyAlignment="1" applyProtection="1">
      <alignment horizontal="center" vertical="center"/>
      <protection locked="0" hidden="1"/>
    </xf>
    <xf numFmtId="0" fontId="1" fillId="8" borderId="20" xfId="0" applyFont="1" applyFill="1" applyBorder="1" applyProtection="1">
      <protection locked="0" hidden="1"/>
    </xf>
    <xf numFmtId="0" fontId="3" fillId="0" borderId="21" xfId="0" applyFont="1" applyBorder="1" applyAlignment="1" applyProtection="1">
      <alignment horizontal="center"/>
      <protection locked="0" hidden="1"/>
    </xf>
    <xf numFmtId="0" fontId="3" fillId="0" borderId="22" xfId="0" applyFont="1" applyBorder="1" applyAlignment="1" applyProtection="1">
      <alignment horizontal="center"/>
      <protection locked="0" hidden="1"/>
    </xf>
    <xf numFmtId="0" fontId="3" fillId="0" borderId="23" xfId="0" applyFont="1" applyBorder="1" applyAlignment="1" applyProtection="1">
      <alignment horizontal="center"/>
      <protection locked="0" hidden="1"/>
    </xf>
    <xf numFmtId="0" fontId="2" fillId="5" borderId="24" xfId="0" applyFont="1" applyFill="1" applyBorder="1" applyAlignment="1" applyProtection="1">
      <alignment horizontal="center"/>
      <protection locked="0" hidden="1"/>
    </xf>
    <xf numFmtId="0" fontId="3" fillId="0" borderId="25" xfId="0" applyFont="1" applyBorder="1" applyAlignment="1" applyProtection="1">
      <alignment horizontal="center"/>
      <protection locked="0" hidden="1"/>
    </xf>
    <xf numFmtId="0" fontId="3" fillId="0" borderId="26" xfId="0" applyFont="1" applyBorder="1" applyAlignment="1" applyProtection="1">
      <alignment horizontal="center"/>
      <protection locked="0" hidden="1"/>
    </xf>
    <xf numFmtId="0" fontId="0" fillId="0" borderId="27" xfId="0" applyBorder="1" applyProtection="1">
      <protection locked="0" hidden="1"/>
    </xf>
    <xf numFmtId="0" fontId="0" fillId="0" borderId="28" xfId="0" applyBorder="1" applyProtection="1">
      <protection locked="0" hidden="1"/>
    </xf>
    <xf numFmtId="0" fontId="0" fillId="0" borderId="29" xfId="0" applyBorder="1" applyProtection="1">
      <protection locked="0" hidden="1"/>
    </xf>
    <xf numFmtId="0" fontId="3" fillId="0" borderId="7" xfId="0" applyFont="1" applyBorder="1" applyAlignment="1" applyProtection="1">
      <alignment horizontal="center" vertical="center"/>
      <protection locked="0" hidden="1"/>
    </xf>
    <xf numFmtId="0" fontId="0" fillId="0" borderId="30" xfId="0" applyBorder="1" applyProtection="1">
      <protection locked="0" hidden="1"/>
    </xf>
    <xf numFmtId="0" fontId="2" fillId="8" borderId="20" xfId="0" applyFont="1" applyFill="1" applyBorder="1" applyAlignment="1" applyProtection="1">
      <alignment horizontal="center"/>
      <protection locked="0" hidden="1"/>
    </xf>
    <xf numFmtId="0" fontId="0" fillId="8" borderId="19" xfId="0" applyFill="1" applyBorder="1" applyAlignment="1" applyProtection="1">
      <alignment horizontal="center"/>
      <protection locked="0" hidden="1"/>
    </xf>
    <xf numFmtId="0" fontId="0" fillId="8" borderId="11" xfId="0" applyFill="1" applyBorder="1" applyAlignment="1" applyProtection="1">
      <alignment horizontal="center"/>
      <protection locked="0" hidden="1"/>
    </xf>
    <xf numFmtId="0" fontId="0" fillId="0" borderId="31" xfId="0" applyBorder="1" applyAlignment="1" applyProtection="1">
      <alignment horizontal="center"/>
      <protection locked="0" hidden="1"/>
    </xf>
    <xf numFmtId="0" fontId="0" fillId="0" borderId="32" xfId="0" applyBorder="1" applyAlignment="1" applyProtection="1">
      <alignment horizontal="center"/>
      <protection locked="0" hidden="1"/>
    </xf>
    <xf numFmtId="0" fontId="0" fillId="8" borderId="32" xfId="0" applyFill="1" applyBorder="1" applyAlignment="1" applyProtection="1">
      <alignment horizontal="center"/>
      <protection locked="0" hidden="1"/>
    </xf>
    <xf numFmtId="0" fontId="0" fillId="8" borderId="8" xfId="0" applyFill="1" applyBorder="1" applyAlignment="1" applyProtection="1">
      <alignment horizontal="center"/>
      <protection locked="0" hidden="1"/>
    </xf>
    <xf numFmtId="0" fontId="0" fillId="0" borderId="0" xfId="0" applyProtection="1">
      <protection hidden="1"/>
    </xf>
    <xf numFmtId="0" fontId="3" fillId="0" borderId="0" xfId="0" applyFont="1" applyProtection="1">
      <protection hidden="1"/>
    </xf>
    <xf numFmtId="0" fontId="12" fillId="0" borderId="0" xfId="0" applyFont="1" applyProtection="1">
      <protection locked="0" hidden="1"/>
    </xf>
    <xf numFmtId="0" fontId="2" fillId="3" borderId="3" xfId="0" applyFont="1" applyFill="1" applyBorder="1" applyAlignment="1" applyProtection="1">
      <alignment horizontal="center"/>
      <protection locked="0" hidden="1"/>
    </xf>
    <xf numFmtId="0" fontId="0" fillId="0" borderId="1" xfId="0" applyBorder="1" applyAlignment="1" applyProtection="1">
      <alignment horizontal="center"/>
      <protection locked="0" hidden="1"/>
    </xf>
    <xf numFmtId="0" fontId="0" fillId="0" borderId="2" xfId="0" applyBorder="1" applyAlignment="1" applyProtection="1">
      <alignment horizontal="center"/>
      <protection locked="0" hidden="1"/>
    </xf>
    <xf numFmtId="0" fontId="0" fillId="0" borderId="3" xfId="0" applyBorder="1" applyAlignment="1" applyProtection="1">
      <alignment horizontal="center"/>
      <protection locked="0" hidden="1"/>
    </xf>
    <xf numFmtId="0" fontId="0" fillId="0" borderId="4" xfId="0" applyBorder="1" applyAlignment="1" applyProtection="1">
      <alignment horizontal="center"/>
      <protection locked="0" hidden="1"/>
    </xf>
    <xf numFmtId="0" fontId="7" fillId="0" borderId="12" xfId="0" applyFont="1" applyBorder="1" applyAlignment="1" applyProtection="1">
      <alignment horizontal="center"/>
      <protection locked="0" hidden="1"/>
    </xf>
    <xf numFmtId="0" fontId="12" fillId="11" borderId="12" xfId="0" applyFont="1" applyFill="1" applyBorder="1" applyAlignment="1" applyProtection="1">
      <alignment horizontal="center"/>
      <protection locked="0" hidden="1"/>
    </xf>
    <xf numFmtId="0" fontId="1" fillId="0" borderId="12" xfId="0" applyFont="1" applyBorder="1" applyAlignment="1" applyProtection="1">
      <alignment horizontal="center" vertical="center"/>
      <protection locked="0" hidden="1"/>
    </xf>
    <xf numFmtId="0" fontId="15" fillId="0" borderId="12" xfId="0" applyFont="1" applyBorder="1" applyAlignment="1" applyProtection="1">
      <alignment horizontal="center"/>
      <protection locked="0" hidden="1"/>
    </xf>
    <xf numFmtId="0" fontId="0" fillId="0" borderId="12" xfId="0" applyBorder="1" applyAlignment="1" applyProtection="1">
      <alignment horizontal="center"/>
      <protection locked="0" hidden="1"/>
    </xf>
    <xf numFmtId="0" fontId="0" fillId="12" borderId="12" xfId="0" applyFill="1" applyBorder="1" applyAlignment="1" applyProtection="1">
      <alignment horizontal="center"/>
      <protection locked="0" hidden="1"/>
    </xf>
    <xf numFmtId="0" fontId="3" fillId="0" borderId="12" xfId="0" applyFont="1" applyBorder="1" applyAlignment="1" applyProtection="1">
      <alignment horizontal="center"/>
      <protection locked="0" hidden="1"/>
    </xf>
    <xf numFmtId="0" fontId="3" fillId="12" borderId="12" xfId="0" applyFont="1" applyFill="1" applyBorder="1" applyAlignment="1" applyProtection="1">
      <alignment horizontal="center"/>
      <protection locked="0" hidden="1"/>
    </xf>
    <xf numFmtId="0" fontId="16" fillId="0" borderId="12" xfId="0" applyFont="1" applyBorder="1" applyAlignment="1" applyProtection="1">
      <alignment horizontal="center"/>
      <protection locked="0" hidden="1"/>
    </xf>
    <xf numFmtId="0" fontId="17" fillId="0" borderId="12" xfId="0" applyFont="1" applyBorder="1" applyAlignment="1" applyProtection="1">
      <alignment horizontal="center"/>
      <protection locked="0" hidden="1"/>
    </xf>
    <xf numFmtId="0" fontId="12" fillId="0" borderId="12" xfId="0" applyFont="1" applyBorder="1" applyAlignment="1" applyProtection="1">
      <alignment horizontal="center" vertical="center"/>
      <protection locked="0" hidden="1"/>
    </xf>
    <xf numFmtId="0" fontId="3" fillId="0" borderId="2" xfId="0" applyFont="1" applyBorder="1" applyAlignment="1" applyProtection="1">
      <alignment horizontal="center"/>
      <protection locked="0" hidden="1"/>
    </xf>
    <xf numFmtId="0" fontId="2" fillId="8" borderId="1" xfId="0" applyFont="1" applyFill="1" applyBorder="1" applyAlignment="1" applyProtection="1">
      <alignment horizontal="center"/>
      <protection locked="0" hidden="1"/>
    </xf>
    <xf numFmtId="14" fontId="3" fillId="4" borderId="0" xfId="0" applyNumberFormat="1" applyFont="1" applyFill="1" applyAlignment="1" applyProtection="1">
      <alignment horizontal="left"/>
      <protection locked="0" hidden="1"/>
    </xf>
    <xf numFmtId="0" fontId="3" fillId="0" borderId="1" xfId="0" applyFont="1" applyBorder="1" applyAlignment="1" applyProtection="1">
      <alignment horizontal="left"/>
      <protection hidden="1"/>
    </xf>
    <xf numFmtId="0" fontId="3" fillId="0" borderId="2" xfId="0" applyFont="1" applyBorder="1" applyProtection="1">
      <protection hidden="1"/>
    </xf>
    <xf numFmtId="0" fontId="3" fillId="0" borderId="2" xfId="0" applyFont="1" applyBorder="1" applyAlignment="1" applyProtection="1">
      <alignment horizontal="center"/>
      <protection hidden="1"/>
    </xf>
    <xf numFmtId="0" fontId="0" fillId="4" borderId="19" xfId="0" applyFill="1" applyBorder="1" applyAlignment="1" applyProtection="1">
      <alignment wrapText="1"/>
      <protection hidden="1"/>
    </xf>
    <xf numFmtId="0" fontId="0" fillId="4" borderId="19" xfId="0" applyFill="1" applyBorder="1" applyAlignment="1" applyProtection="1">
      <alignment horizontal="center" vertical="center"/>
      <protection hidden="1"/>
    </xf>
    <xf numFmtId="0" fontId="3" fillId="0" borderId="4" xfId="0" applyFont="1" applyBorder="1" applyAlignment="1" applyProtection="1">
      <alignment horizontal="left"/>
      <protection hidden="1"/>
    </xf>
    <xf numFmtId="0" fontId="3" fillId="0" borderId="0" xfId="0" applyFont="1" applyAlignment="1" applyProtection="1">
      <alignment horizontal="center"/>
      <protection hidden="1"/>
    </xf>
    <xf numFmtId="0" fontId="3" fillId="0" borderId="5" xfId="0" applyFont="1" applyBorder="1" applyProtection="1">
      <protection hidden="1"/>
    </xf>
    <xf numFmtId="0" fontId="0" fillId="3" borderId="19" xfId="0" applyFill="1" applyBorder="1" applyAlignment="1" applyProtection="1">
      <alignment wrapText="1"/>
      <protection hidden="1"/>
    </xf>
    <xf numFmtId="0" fontId="0" fillId="0" borderId="4" xfId="0" applyBorder="1" applyAlignment="1" applyProtection="1">
      <alignment horizontal="center" vertical="center"/>
      <protection hidden="1"/>
    </xf>
    <xf numFmtId="0" fontId="0" fillId="3" borderId="5" xfId="0"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11" fillId="0" borderId="4" xfId="0" applyFont="1" applyBorder="1" applyProtection="1">
      <protection hidden="1"/>
    </xf>
    <xf numFmtId="0" fontId="0" fillId="0" borderId="5" xfId="0" applyBorder="1" applyProtection="1">
      <protection hidden="1"/>
    </xf>
    <xf numFmtId="0" fontId="0" fillId="0" borderId="0" xfId="0" applyAlignment="1" applyProtection="1">
      <alignment vertical="center"/>
      <protection hidden="1"/>
    </xf>
    <xf numFmtId="0" fontId="11" fillId="0" borderId="4" xfId="0" applyFont="1" applyBorder="1" applyAlignment="1" applyProtection="1">
      <alignment vertical="center"/>
      <protection hidden="1"/>
    </xf>
    <xf numFmtId="0" fontId="2" fillId="3" borderId="0" xfId="0" applyFont="1" applyFill="1" applyAlignment="1" applyProtection="1">
      <alignment horizontal="center"/>
      <protection hidden="1"/>
    </xf>
    <xf numFmtId="0" fontId="3" fillId="0" borderId="6" xfId="0" applyFont="1" applyBorder="1" applyAlignment="1" applyProtection="1">
      <alignment horizontal="left"/>
      <protection hidden="1"/>
    </xf>
    <xf numFmtId="0" fontId="3" fillId="0" borderId="7" xfId="0" applyFont="1" applyBorder="1" applyAlignment="1" applyProtection="1">
      <alignment horizontal="center"/>
      <protection hidden="1"/>
    </xf>
    <xf numFmtId="0" fontId="2" fillId="3" borderId="1" xfId="0" applyFont="1" applyFill="1" applyBorder="1" applyAlignment="1" applyProtection="1">
      <alignment horizontal="left"/>
      <protection hidden="1"/>
    </xf>
    <xf numFmtId="0" fontId="0" fillId="0" borderId="2" xfId="0" applyBorder="1" applyProtection="1">
      <protection hidden="1"/>
    </xf>
    <xf numFmtId="0" fontId="0" fillId="0" borderId="3" xfId="0" applyBorder="1" applyProtection="1">
      <protection hidden="1"/>
    </xf>
    <xf numFmtId="14" fontId="3" fillId="0" borderId="4" xfId="0" applyNumberFormat="1" applyFont="1" applyBorder="1" applyAlignment="1" applyProtection="1">
      <alignment horizontal="left"/>
      <protection hidden="1"/>
    </xf>
    <xf numFmtId="0" fontId="2" fillId="0" borderId="0" xfId="0" applyFont="1" applyAlignment="1" applyProtection="1">
      <alignment horizontal="center"/>
      <protection hidden="1"/>
    </xf>
    <xf numFmtId="0" fontId="2" fillId="8" borderId="4" xfId="0" applyFont="1" applyFill="1" applyBorder="1" applyAlignment="1" applyProtection="1">
      <alignment horizontal="left"/>
      <protection hidden="1"/>
    </xf>
    <xf numFmtId="0" fontId="18" fillId="0" borderId="0" xfId="0" applyFont="1" applyAlignment="1" applyProtection="1">
      <alignment vertical="center" wrapText="1"/>
      <protection hidden="1"/>
    </xf>
    <xf numFmtId="0" fontId="3" fillId="0" borderId="7" xfId="0" applyFont="1" applyBorder="1" applyProtection="1">
      <protection hidden="1"/>
    </xf>
    <xf numFmtId="0" fontId="0" fillId="0" borderId="8" xfId="0" applyBorder="1" applyProtection="1">
      <protection hidden="1"/>
    </xf>
    <xf numFmtId="0" fontId="0" fillId="3" borderId="8" xfId="0" applyFill="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2" fillId="10" borderId="19" xfId="0" applyFont="1" applyFill="1" applyBorder="1" applyAlignment="1" applyProtection="1">
      <alignment horizontal="center"/>
      <protection hidden="1"/>
    </xf>
    <xf numFmtId="0" fontId="2" fillId="0" borderId="33" xfId="0" applyFont="1" applyBorder="1" applyAlignment="1" applyProtection="1">
      <alignment horizontal="center" vertical="center" wrapText="1"/>
      <protection hidden="1"/>
    </xf>
    <xf numFmtId="0" fontId="2" fillId="0" borderId="34" xfId="0" applyFont="1" applyBorder="1" applyAlignment="1" applyProtection="1">
      <alignment horizontal="center" vertical="center" wrapText="1"/>
      <protection hidden="1"/>
    </xf>
    <xf numFmtId="0" fontId="2" fillId="0" borderId="35"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3" fillId="0" borderId="36" xfId="0" applyFont="1" applyBorder="1" applyAlignment="1" applyProtection="1">
      <alignment horizontal="center" vertical="center"/>
      <protection hidden="1"/>
    </xf>
    <xf numFmtId="0" fontId="3" fillId="0" borderId="37" xfId="0" applyFont="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2" fillId="0" borderId="39" xfId="0" applyFont="1" applyBorder="1" applyAlignment="1" applyProtection="1">
      <alignment horizontal="center" vertical="center" wrapText="1"/>
      <protection hidden="1"/>
    </xf>
    <xf numFmtId="0" fontId="2" fillId="0" borderId="40" xfId="0" applyFont="1" applyBorder="1" applyAlignment="1" applyProtection="1">
      <alignment horizontal="center" vertical="center" wrapText="1"/>
      <protection hidden="1"/>
    </xf>
    <xf numFmtId="0" fontId="2" fillId="0" borderId="41" xfId="0" applyFont="1" applyBorder="1" applyAlignment="1" applyProtection="1">
      <alignment horizontal="center" vertical="center" wrapText="1"/>
      <protection hidden="1"/>
    </xf>
    <xf numFmtId="0" fontId="3" fillId="0" borderId="42" xfId="0" applyFont="1" applyBorder="1" applyAlignment="1" applyProtection="1">
      <alignment horizontal="center" vertical="center"/>
      <protection hidden="1"/>
    </xf>
    <xf numFmtId="0" fontId="3" fillId="0" borderId="43" xfId="0" applyFont="1" applyBorder="1" applyAlignment="1" applyProtection="1">
      <alignment horizontal="center" vertical="center"/>
      <protection hidden="1"/>
    </xf>
    <xf numFmtId="0" fontId="3" fillId="0" borderId="44" xfId="0" applyFont="1" applyBorder="1" applyAlignment="1" applyProtection="1">
      <alignment horizontal="center" vertical="center"/>
      <protection hidden="1"/>
    </xf>
    <xf numFmtId="0" fontId="3" fillId="0" borderId="36" xfId="0" applyFont="1" applyBorder="1" applyAlignment="1" applyProtection="1">
      <alignment horizontal="center"/>
      <protection hidden="1"/>
    </xf>
    <xf numFmtId="0" fontId="3" fillId="0" borderId="37" xfId="0" applyFont="1" applyBorder="1" applyAlignment="1" applyProtection="1">
      <alignment horizontal="center"/>
      <protection hidden="1"/>
    </xf>
    <xf numFmtId="0" fontId="3" fillId="0" borderId="38" xfId="0" applyFont="1" applyBorder="1" applyAlignment="1" applyProtection="1">
      <alignment horizontal="center"/>
      <protection hidden="1"/>
    </xf>
    <xf numFmtId="0" fontId="1" fillId="0" borderId="0" xfId="0" applyFont="1" applyProtection="1">
      <protection locked="0" hidden="1"/>
    </xf>
    <xf numFmtId="0" fontId="0" fillId="4" borderId="0" xfId="0" applyFill="1" applyAlignment="1" applyProtection="1">
      <alignment horizontal="center" vertical="center"/>
      <protection locked="0" hidden="1"/>
    </xf>
    <xf numFmtId="0" fontId="11" fillId="0" borderId="10" xfId="0" applyFont="1" applyBorder="1" applyAlignment="1" applyProtection="1">
      <alignment horizontal="center" vertical="center"/>
      <protection hidden="1"/>
    </xf>
    <xf numFmtId="0" fontId="19" fillId="0" borderId="0" xfId="0" applyFont="1" applyProtection="1">
      <protection locked="0" hidden="1"/>
    </xf>
    <xf numFmtId="0" fontId="2" fillId="0" borderId="7" xfId="0" applyFont="1" applyBorder="1" applyAlignment="1" applyProtection="1">
      <alignment horizontal="center"/>
      <protection locked="0" hidden="1"/>
    </xf>
    <xf numFmtId="0" fontId="3" fillId="0" borderId="2" xfId="0" quotePrefix="1" applyFont="1" applyBorder="1" applyAlignment="1" applyProtection="1">
      <alignment horizontal="center"/>
      <protection locked="0" hidden="1"/>
    </xf>
    <xf numFmtId="0" fontId="2" fillId="0" borderId="2" xfId="0" applyFont="1" applyBorder="1" applyAlignment="1" applyProtection="1">
      <alignment horizontal="center"/>
      <protection locked="0" hidden="1"/>
    </xf>
    <xf numFmtId="2" fontId="3" fillId="0" borderId="0" xfId="0" applyNumberFormat="1" applyFont="1" applyAlignment="1" applyProtection="1">
      <alignment horizontal="center"/>
      <protection locked="0" hidden="1"/>
    </xf>
    <xf numFmtId="0" fontId="7" fillId="0" borderId="0" xfId="0" quotePrefix="1" applyFont="1" applyAlignment="1" applyProtection="1">
      <alignment horizontal="center"/>
      <protection locked="0" hidden="1"/>
    </xf>
    <xf numFmtId="0" fontId="2" fillId="8" borderId="1" xfId="0" applyFont="1" applyFill="1" applyBorder="1" applyAlignment="1" applyProtection="1">
      <alignment horizontal="left"/>
      <protection locked="0" hidden="1"/>
    </xf>
    <xf numFmtId="0" fontId="2" fillId="0" borderId="2" xfId="0" applyFont="1" applyBorder="1" applyProtection="1">
      <protection locked="0" hidden="1"/>
    </xf>
    <xf numFmtId="0" fontId="3" fillId="0" borderId="6" xfId="0" applyFont="1" applyBorder="1" applyAlignment="1" applyProtection="1">
      <alignment horizontal="left"/>
      <protection locked="0" hidden="1"/>
    </xf>
    <xf numFmtId="0" fontId="3" fillId="0" borderId="7" xfId="0" applyFont="1" applyBorder="1" applyProtection="1">
      <protection locked="0" hidden="1"/>
    </xf>
    <xf numFmtId="0" fontId="0" fillId="0" borderId="5" xfId="0" applyBorder="1" applyAlignment="1" applyProtection="1">
      <alignment vertical="center"/>
      <protection hidden="1"/>
    </xf>
    <xf numFmtId="0" fontId="6" fillId="0" borderId="0" xfId="0" applyFont="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0" xfId="0" applyFont="1" applyAlignment="1" applyProtection="1">
      <alignment horizontal="center" vertical="center"/>
      <protection hidden="1"/>
    </xf>
    <xf numFmtId="14" fontId="3" fillId="0" borderId="0" xfId="0" applyNumberFormat="1" applyFont="1" applyAlignment="1" applyProtection="1">
      <alignment horizontal="left"/>
      <protection hidden="1"/>
    </xf>
    <xf numFmtId="0" fontId="3" fillId="0" borderId="0" xfId="0" applyFont="1" applyAlignment="1" applyProtection="1">
      <alignment horizontal="left"/>
      <protection hidden="1"/>
    </xf>
    <xf numFmtId="0" fontId="5" fillId="0" borderId="7" xfId="0" applyFont="1" applyBorder="1" applyAlignment="1" applyProtection="1">
      <alignment horizontal="center" vertical="center"/>
      <protection hidden="1"/>
    </xf>
    <xf numFmtId="0" fontId="3" fillId="0" borderId="8" xfId="0" applyFont="1" applyBorder="1" applyProtection="1">
      <protection hidden="1"/>
    </xf>
    <xf numFmtId="0" fontId="0" fillId="0" borderId="1" xfId="0" applyBorder="1" applyAlignment="1" applyProtection="1">
      <alignment horizontal="center" vertical="center"/>
      <protection hidden="1"/>
    </xf>
    <xf numFmtId="0" fontId="0" fillId="3" borderId="3" xfId="0" applyFill="1" applyBorder="1" applyAlignment="1" applyProtection="1">
      <alignment horizontal="center" vertical="center"/>
      <protection hidden="1"/>
    </xf>
    <xf numFmtId="0" fontId="1" fillId="0" borderId="9" xfId="0" applyFont="1"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0" xfId="0" applyBorder="1" applyAlignment="1" applyProtection="1">
      <alignment horizontal="center" vertical="center"/>
      <protection hidden="1"/>
    </xf>
    <xf numFmtId="0" fontId="0" fillId="0" borderId="7" xfId="0" applyBorder="1" applyAlignment="1" applyProtection="1">
      <alignment horizontal="center" vertical="center"/>
      <protection hidden="1"/>
    </xf>
    <xf numFmtId="0" fontId="2" fillId="8" borderId="45" xfId="0" applyFont="1" applyFill="1" applyBorder="1" applyAlignment="1" applyProtection="1">
      <alignment horizontal="center"/>
      <protection hidden="1"/>
    </xf>
    <xf numFmtId="0" fontId="2" fillId="8" borderId="32" xfId="0" applyFont="1" applyFill="1" applyBorder="1" applyAlignment="1" applyProtection="1">
      <alignment horizontal="center"/>
      <protection hidden="1"/>
    </xf>
    <xf numFmtId="0" fontId="2" fillId="8" borderId="19" xfId="0" applyFont="1" applyFill="1" applyBorder="1" applyAlignment="1" applyProtection="1">
      <alignment horizontal="center" vertical="center"/>
      <protection hidden="1"/>
    </xf>
    <xf numFmtId="0" fontId="2" fillId="8" borderId="0" xfId="0" applyFont="1" applyFill="1" applyAlignment="1" applyProtection="1">
      <alignment horizontal="center"/>
      <protection locked="0" hidden="1"/>
    </xf>
    <xf numFmtId="0" fontId="2" fillId="5" borderId="0" xfId="0" applyFont="1" applyFill="1" applyAlignment="1" applyProtection="1">
      <alignment horizontal="center"/>
      <protection locked="0" hidden="1"/>
    </xf>
    <xf numFmtId="0" fontId="2" fillId="8" borderId="4" xfId="0" applyFont="1" applyFill="1" applyBorder="1" applyAlignment="1" applyProtection="1">
      <alignment horizontal="center"/>
      <protection locked="0" hidden="1"/>
    </xf>
    <xf numFmtId="0" fontId="1" fillId="0" borderId="9" xfId="0" applyFont="1" applyBorder="1" applyAlignment="1" applyProtection="1">
      <alignment horizontal="center" vertical="center"/>
      <protection locked="0" hidden="1"/>
    </xf>
    <xf numFmtId="0" fontId="3" fillId="0" borderId="1" xfId="0" applyFont="1" applyBorder="1" applyAlignment="1" applyProtection="1">
      <alignment horizontal="left"/>
      <protection locked="0" hidden="1"/>
    </xf>
    <xf numFmtId="0" fontId="0" fillId="4" borderId="19" xfId="0" applyFill="1" applyBorder="1" applyAlignment="1" applyProtection="1">
      <alignment wrapText="1"/>
      <protection locked="0" hidden="1"/>
    </xf>
    <xf numFmtId="0" fontId="11" fillId="0" borderId="10" xfId="0" applyFont="1" applyBorder="1" applyAlignment="1" applyProtection="1">
      <alignment horizontal="center" vertical="center"/>
      <protection locked="0" hidden="1"/>
    </xf>
    <xf numFmtId="0" fontId="0" fillId="4" borderId="45" xfId="0" applyFill="1" applyBorder="1" applyAlignment="1" applyProtection="1">
      <alignment horizontal="center" vertical="center"/>
      <protection locked="0" hidden="1"/>
    </xf>
    <xf numFmtId="0" fontId="0" fillId="0" borderId="9" xfId="0" applyBorder="1" applyAlignment="1" applyProtection="1">
      <alignment horizontal="center" vertical="center"/>
      <protection locked="0" hidden="1"/>
    </xf>
    <xf numFmtId="0" fontId="0" fillId="0" borderId="10" xfId="0" applyBorder="1" applyAlignment="1" applyProtection="1">
      <alignment horizontal="center" vertical="center"/>
      <protection locked="0" hidden="1"/>
    </xf>
    <xf numFmtId="0" fontId="0" fillId="3" borderId="19" xfId="0" applyFill="1" applyBorder="1" applyAlignment="1" applyProtection="1">
      <alignment wrapText="1"/>
      <protection locked="0" hidden="1"/>
    </xf>
    <xf numFmtId="0" fontId="0" fillId="0" borderId="1" xfId="0" applyBorder="1" applyAlignment="1" applyProtection="1">
      <alignment horizontal="center" vertical="center"/>
      <protection locked="0" hidden="1"/>
    </xf>
    <xf numFmtId="0" fontId="0" fillId="3" borderId="46" xfId="0" applyFill="1" applyBorder="1" applyAlignment="1" applyProtection="1">
      <alignment horizontal="center" vertical="center"/>
      <protection locked="0" hidden="1"/>
    </xf>
    <xf numFmtId="0" fontId="0" fillId="0" borderId="2" xfId="0" applyBorder="1" applyAlignment="1" applyProtection="1">
      <alignment horizontal="center" vertical="center"/>
      <protection locked="0" hidden="1"/>
    </xf>
    <xf numFmtId="0" fontId="11" fillId="0" borderId="4" xfId="0" applyFont="1" applyBorder="1" applyProtection="1">
      <protection locked="0" hidden="1"/>
    </xf>
    <xf numFmtId="0" fontId="0" fillId="0" borderId="4" xfId="0" applyBorder="1" applyAlignment="1" applyProtection="1">
      <alignment horizontal="center" vertical="center"/>
      <protection locked="0" hidden="1"/>
    </xf>
    <xf numFmtId="0" fontId="0" fillId="3" borderId="47" xfId="0" applyFill="1" applyBorder="1" applyAlignment="1" applyProtection="1">
      <alignment horizontal="center" vertical="center"/>
      <protection locked="0" hidden="1"/>
    </xf>
    <xf numFmtId="0" fontId="0" fillId="0" borderId="0" xfId="0" applyAlignment="1" applyProtection="1">
      <alignment horizontal="center" vertical="center"/>
      <protection locked="0" hidden="1"/>
    </xf>
    <xf numFmtId="0" fontId="11" fillId="0" borderId="4" xfId="0" applyFont="1" applyBorder="1" applyAlignment="1" applyProtection="1">
      <alignment vertical="center"/>
      <protection locked="0" hidden="1"/>
    </xf>
    <xf numFmtId="0" fontId="2" fillId="8" borderId="19" xfId="0" applyFont="1" applyFill="1" applyBorder="1" applyAlignment="1" applyProtection="1">
      <alignment horizontal="center" vertical="center"/>
      <protection locked="0" hidden="1"/>
    </xf>
    <xf numFmtId="0" fontId="0" fillId="0" borderId="5" xfId="0" applyBorder="1" applyAlignment="1" applyProtection="1">
      <alignment vertical="center"/>
      <protection locked="0" hidden="1"/>
    </xf>
    <xf numFmtId="0" fontId="0" fillId="0" borderId="11" xfId="0" applyBorder="1" applyAlignment="1" applyProtection="1">
      <alignment horizontal="center"/>
      <protection locked="0" hidden="1"/>
    </xf>
    <xf numFmtId="0" fontId="2" fillId="8" borderId="45" xfId="0" applyFont="1" applyFill="1" applyBorder="1" applyAlignment="1" applyProtection="1">
      <alignment horizontal="center"/>
      <protection locked="0" hidden="1"/>
    </xf>
    <xf numFmtId="0" fontId="2" fillId="8" borderId="32" xfId="0" applyFont="1" applyFill="1" applyBorder="1" applyAlignment="1" applyProtection="1">
      <alignment horizontal="center"/>
      <protection locked="0" hidden="1"/>
    </xf>
    <xf numFmtId="0" fontId="2" fillId="4" borderId="1" xfId="0" applyFont="1" applyFill="1" applyBorder="1" applyAlignment="1" applyProtection="1">
      <alignment horizontal="left"/>
      <protection locked="0" hidden="1"/>
    </xf>
    <xf numFmtId="14" fontId="2" fillId="4" borderId="4" xfId="0" applyNumberFormat="1" applyFont="1" applyFill="1" applyBorder="1" applyAlignment="1" applyProtection="1">
      <alignment horizontal="left"/>
      <protection locked="0" hidden="1"/>
    </xf>
    <xf numFmtId="0" fontId="11" fillId="0" borderId="4" xfId="0" applyFont="1" applyBorder="1" applyAlignment="1" applyProtection="1">
      <alignment horizontal="left"/>
      <protection locked="0" hidden="1"/>
    </xf>
    <xf numFmtId="0" fontId="18" fillId="0" borderId="0" xfId="0" applyFont="1" applyAlignment="1" applyProtection="1">
      <alignment vertical="center" wrapText="1"/>
      <protection locked="0" hidden="1"/>
    </xf>
    <xf numFmtId="0" fontId="3" fillId="0" borderId="5" xfId="0" applyFont="1" applyBorder="1" applyProtection="1">
      <protection locked="0" hidden="1"/>
    </xf>
    <xf numFmtId="0" fontId="5" fillId="0" borderId="7" xfId="0" applyFont="1" applyBorder="1" applyAlignment="1" applyProtection="1">
      <alignment horizontal="center" vertical="center"/>
      <protection locked="0" hidden="1"/>
    </xf>
    <xf numFmtId="0" fontId="3" fillId="0" borderId="8" xfId="0" applyFont="1" applyBorder="1" applyProtection="1">
      <protection locked="0" hidden="1"/>
    </xf>
    <xf numFmtId="0" fontId="6" fillId="0" borderId="0" xfId="0" applyFont="1" applyAlignment="1" applyProtection="1">
      <alignment horizontal="center" vertical="center" wrapText="1"/>
      <protection locked="0" hidden="1"/>
    </xf>
    <xf numFmtId="0" fontId="3" fillId="0" borderId="0" xfId="0" applyFont="1" applyAlignment="1" applyProtection="1">
      <alignment vertical="center"/>
      <protection locked="0" hidden="1"/>
    </xf>
    <xf numFmtId="14" fontId="3" fillId="0" borderId="0" xfId="0" applyNumberFormat="1" applyFont="1" applyAlignment="1" applyProtection="1">
      <alignment horizontal="left"/>
      <protection locked="0" hidden="1"/>
    </xf>
    <xf numFmtId="0" fontId="2" fillId="0" borderId="0" xfId="0" applyFont="1" applyAlignment="1" applyProtection="1">
      <alignment horizontal="left"/>
      <protection locked="0" hidden="1"/>
    </xf>
    <xf numFmtId="0" fontId="0" fillId="0" borderId="6" xfId="0" applyBorder="1" applyAlignment="1" applyProtection="1">
      <alignment horizontal="center" vertical="center"/>
      <protection locked="0" hidden="1"/>
    </xf>
    <xf numFmtId="0" fontId="0" fillId="3" borderId="48" xfId="0" applyFill="1" applyBorder="1" applyAlignment="1" applyProtection="1">
      <alignment horizontal="center" vertical="center"/>
      <protection locked="0" hidden="1"/>
    </xf>
    <xf numFmtId="0" fontId="0" fillId="0" borderId="7" xfId="0" applyBorder="1" applyAlignment="1" applyProtection="1">
      <alignment horizontal="center" vertical="center"/>
      <protection locked="0" hidden="1"/>
    </xf>
    <xf numFmtId="0" fontId="2" fillId="0" borderId="0" xfId="0" applyFont="1" applyProtection="1">
      <protection locked="0" hidden="1"/>
    </xf>
    <xf numFmtId="0" fontId="0" fillId="0" borderId="12" xfId="0" applyBorder="1" applyAlignment="1">
      <alignment horizontal="center"/>
    </xf>
    <xf numFmtId="0" fontId="0" fillId="0" borderId="12" xfId="0" applyBorder="1" applyProtection="1">
      <protection locked="0" hidden="1"/>
    </xf>
    <xf numFmtId="0" fontId="0" fillId="0" borderId="49" xfId="0" applyBorder="1" applyProtection="1">
      <protection locked="0" hidden="1"/>
    </xf>
    <xf numFmtId="0" fontId="1" fillId="0" borderId="49" xfId="0" applyFont="1" applyBorder="1" applyAlignment="1" applyProtection="1">
      <alignment horizontal="center" vertical="center"/>
      <protection locked="0" hidden="1"/>
    </xf>
    <xf numFmtId="0" fontId="12" fillId="0" borderId="49" xfId="0" applyFont="1" applyBorder="1" applyAlignment="1" applyProtection="1">
      <alignment horizontal="center" vertical="center"/>
      <protection locked="0" hidden="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0" xfId="0" applyBorder="1" applyAlignment="1">
      <alignment horizontal="center"/>
    </xf>
    <xf numFmtId="0" fontId="0" fillId="0" borderId="18" xfId="0" applyBorder="1" applyAlignment="1">
      <alignment horizontal="center"/>
    </xf>
    <xf numFmtId="0" fontId="0" fillId="0" borderId="51" xfId="0" applyBorder="1" applyAlignment="1">
      <alignment horizontal="center"/>
    </xf>
    <xf numFmtId="0" fontId="0" fillId="0" borderId="52" xfId="0" applyBorder="1" applyAlignment="1">
      <alignment horizontal="center"/>
    </xf>
    <xf numFmtId="0" fontId="1" fillId="0" borderId="53" xfId="0" applyFont="1" applyBorder="1" applyAlignment="1" applyProtection="1">
      <alignment horizontal="center" vertical="center"/>
      <protection locked="0" hidden="1"/>
    </xf>
    <xf numFmtId="0" fontId="0" fillId="0" borderId="54" xfId="0" applyBorder="1" applyProtection="1">
      <protection locked="0" hidden="1"/>
    </xf>
    <xf numFmtId="0" fontId="1" fillId="0" borderId="55" xfId="0" applyFont="1" applyBorder="1" applyAlignment="1" applyProtection="1">
      <alignment horizontal="center" vertical="center"/>
      <protection locked="0" hidden="1"/>
    </xf>
    <xf numFmtId="0" fontId="15" fillId="0" borderId="56" xfId="0" applyFont="1" applyBorder="1" applyAlignment="1" applyProtection="1">
      <alignment horizontal="center"/>
      <protection locked="0" hidden="1"/>
    </xf>
    <xf numFmtId="0" fontId="0" fillId="0" borderId="56" xfId="0" applyBorder="1" applyAlignment="1" applyProtection="1">
      <alignment horizontal="center"/>
      <protection locked="0" hidden="1"/>
    </xf>
    <xf numFmtId="0" fontId="0" fillId="12" borderId="56" xfId="0" applyFill="1" applyBorder="1" applyAlignment="1" applyProtection="1">
      <alignment horizontal="center"/>
      <protection locked="0" hidden="1"/>
    </xf>
    <xf numFmtId="0" fontId="0" fillId="12" borderId="14" xfId="0" applyFill="1" applyBorder="1" applyAlignment="1" applyProtection="1">
      <alignment horizontal="center"/>
      <protection locked="0" hidden="1"/>
    </xf>
    <xf numFmtId="0" fontId="0" fillId="12" borderId="16" xfId="0" applyFill="1" applyBorder="1" applyAlignment="1" applyProtection="1">
      <alignment horizontal="center"/>
      <protection locked="0" hidden="1"/>
    </xf>
    <xf numFmtId="0" fontId="15" fillId="0" borderId="16" xfId="0" applyFont="1" applyBorder="1" applyAlignment="1" applyProtection="1">
      <alignment horizontal="center"/>
      <protection locked="0" hidden="1"/>
    </xf>
    <xf numFmtId="0" fontId="0" fillId="0" borderId="16" xfId="0" applyBorder="1" applyAlignment="1" applyProtection="1">
      <alignment horizontal="center"/>
      <protection locked="0" hidden="1"/>
    </xf>
    <xf numFmtId="0" fontId="0" fillId="0" borderId="57" xfId="0" applyBorder="1" applyProtection="1">
      <protection locked="0" hidden="1"/>
    </xf>
    <xf numFmtId="0" fontId="15" fillId="0" borderId="17" xfId="0" applyFont="1" applyBorder="1" applyAlignment="1" applyProtection="1">
      <alignment horizontal="center"/>
      <protection locked="0" hidden="1"/>
    </xf>
    <xf numFmtId="0" fontId="3" fillId="0" borderId="17" xfId="0" applyFont="1" applyBorder="1" applyAlignment="1" applyProtection="1">
      <alignment horizontal="center"/>
      <protection locked="0" hidden="1"/>
    </xf>
    <xf numFmtId="0" fontId="0" fillId="12" borderId="17" xfId="0" applyFill="1" applyBorder="1" applyAlignment="1" applyProtection="1">
      <alignment horizontal="center"/>
      <protection locked="0" hidden="1"/>
    </xf>
    <xf numFmtId="0" fontId="0" fillId="0" borderId="18" xfId="0" applyBorder="1" applyAlignment="1" applyProtection="1">
      <alignment horizontal="center"/>
      <protection locked="0" hidden="1"/>
    </xf>
    <xf numFmtId="0" fontId="0" fillId="0" borderId="34" xfId="0" applyBorder="1"/>
    <xf numFmtId="0" fontId="0" fillId="0" borderId="58" xfId="0" applyBorder="1"/>
    <xf numFmtId="0" fontId="0" fillId="0" borderId="37" xfId="0" applyBorder="1"/>
    <xf numFmtId="0" fontId="3" fillId="9" borderId="56" xfId="0" applyFont="1" applyFill="1" applyBorder="1" applyAlignment="1" applyProtection="1">
      <alignment horizontal="center"/>
      <protection locked="0" hidden="1"/>
    </xf>
    <xf numFmtId="0" fontId="3" fillId="0" borderId="56" xfId="0" applyFont="1" applyBorder="1" applyAlignment="1" applyProtection="1">
      <alignment horizontal="center"/>
      <protection locked="0" hidden="1"/>
    </xf>
    <xf numFmtId="0" fontId="3" fillId="0" borderId="14" xfId="0" applyFont="1" applyBorder="1" applyAlignment="1" applyProtection="1">
      <alignment horizontal="center"/>
      <protection locked="0" hidden="1"/>
    </xf>
    <xf numFmtId="0" fontId="3" fillId="0" borderId="16" xfId="0" applyFont="1" applyBorder="1" applyAlignment="1" applyProtection="1">
      <alignment horizontal="center"/>
      <protection locked="0" hidden="1"/>
    </xf>
    <xf numFmtId="0" fontId="3" fillId="0" borderId="18" xfId="0" applyFont="1" applyBorder="1" applyAlignment="1" applyProtection="1">
      <alignment horizontal="center"/>
      <protection locked="0" hidden="1"/>
    </xf>
    <xf numFmtId="0" fontId="3" fillId="9" borderId="55" xfId="0" applyFont="1" applyFill="1" applyBorder="1" applyAlignment="1" applyProtection="1">
      <alignment horizontal="center"/>
      <protection locked="0" hidden="1"/>
    </xf>
    <xf numFmtId="0" fontId="3" fillId="0" borderId="49" xfId="0" applyFont="1" applyBorder="1" applyAlignment="1" applyProtection="1">
      <alignment horizontal="center"/>
      <protection locked="0" hidden="1"/>
    </xf>
    <xf numFmtId="0" fontId="3" fillId="9" borderId="49" xfId="0" applyFont="1" applyFill="1" applyBorder="1" applyAlignment="1" applyProtection="1">
      <alignment horizontal="center"/>
      <protection locked="0" hidden="1"/>
    </xf>
    <xf numFmtId="0" fontId="3" fillId="0" borderId="57" xfId="0" applyFont="1" applyBorder="1" applyAlignment="1" applyProtection="1">
      <alignment horizontal="center"/>
      <protection locked="0" hidden="1"/>
    </xf>
    <xf numFmtId="0" fontId="3" fillId="8" borderId="34" xfId="0" applyFont="1" applyFill="1" applyBorder="1" applyAlignment="1" applyProtection="1">
      <alignment horizontal="center"/>
      <protection locked="0" hidden="1"/>
    </xf>
    <xf numFmtId="0" fontId="3" fillId="8" borderId="58" xfId="0" applyFont="1" applyFill="1" applyBorder="1" applyAlignment="1" applyProtection="1">
      <alignment horizontal="center"/>
      <protection locked="0" hidden="1"/>
    </xf>
    <xf numFmtId="0" fontId="3" fillId="8" borderId="37" xfId="0" applyFont="1" applyFill="1" applyBorder="1" applyAlignment="1" applyProtection="1">
      <alignment horizontal="center"/>
      <protection locked="0" hidden="1"/>
    </xf>
    <xf numFmtId="0" fontId="0" fillId="0" borderId="56" xfId="0" applyBorder="1" applyAlignment="1">
      <alignment horizontal="center"/>
    </xf>
    <xf numFmtId="0" fontId="1" fillId="0" borderId="56" xfId="0" applyFont="1" applyBorder="1" applyAlignment="1">
      <alignment horizontal="center"/>
    </xf>
    <xf numFmtId="0" fontId="1" fillId="0" borderId="14" xfId="0" applyFont="1" applyBorder="1" applyAlignment="1">
      <alignment horizontal="center"/>
    </xf>
    <xf numFmtId="0" fontId="0" fillId="0" borderId="17" xfId="0" applyBorder="1" applyAlignment="1">
      <alignment horizontal="center"/>
    </xf>
    <xf numFmtId="0" fontId="15" fillId="0" borderId="13" xfId="0" applyFont="1" applyBorder="1" applyAlignment="1" applyProtection="1">
      <alignment horizontal="center"/>
      <protection locked="0" hidden="1"/>
    </xf>
    <xf numFmtId="0" fontId="15" fillId="0" borderId="14" xfId="0" applyFont="1" applyBorder="1" applyAlignment="1" applyProtection="1">
      <alignment horizontal="center"/>
      <protection locked="0" hidden="1"/>
    </xf>
    <xf numFmtId="0" fontId="0" fillId="0" borderId="15" xfId="0" applyBorder="1" applyAlignment="1" applyProtection="1">
      <alignment horizontal="center"/>
      <protection locked="0" hidden="1"/>
    </xf>
    <xf numFmtId="0" fontId="0" fillId="12" borderId="15" xfId="0" applyFill="1" applyBorder="1" applyAlignment="1" applyProtection="1">
      <alignment horizontal="center"/>
      <protection locked="0" hidden="1"/>
    </xf>
    <xf numFmtId="0" fontId="15" fillId="0" borderId="15" xfId="0" applyFont="1" applyBorder="1" applyAlignment="1" applyProtection="1">
      <alignment horizontal="center"/>
      <protection locked="0" hidden="1"/>
    </xf>
    <xf numFmtId="0" fontId="0" fillId="12" borderId="50" xfId="0" applyFill="1" applyBorder="1" applyAlignment="1" applyProtection="1">
      <alignment horizontal="center"/>
      <protection locked="0" hidden="1"/>
    </xf>
    <xf numFmtId="0" fontId="0" fillId="0" borderId="17" xfId="0" applyBorder="1" applyAlignment="1" applyProtection="1">
      <alignment horizontal="center"/>
      <protection locked="0" hidden="1"/>
    </xf>
    <xf numFmtId="0" fontId="3" fillId="0" borderId="12" xfId="0" applyFont="1" applyBorder="1" applyProtection="1">
      <protection locked="0" hidden="1"/>
    </xf>
    <xf numFmtId="0" fontId="3" fillId="0" borderId="59" xfId="0" applyFont="1" applyBorder="1" applyProtection="1">
      <protection locked="0" hidden="1"/>
    </xf>
    <xf numFmtId="0" fontId="0" fillId="0" borderId="59" xfId="0" applyBorder="1" applyAlignment="1">
      <alignment horizontal="center"/>
    </xf>
    <xf numFmtId="0" fontId="2" fillId="3" borderId="13" xfId="0" applyFont="1" applyFill="1" applyBorder="1" applyProtection="1">
      <protection locked="0" hidden="1"/>
    </xf>
    <xf numFmtId="0" fontId="2" fillId="3" borderId="56" xfId="0" applyFont="1" applyFill="1" applyBorder="1" applyProtection="1">
      <protection locked="0" hidden="1"/>
    </xf>
    <xf numFmtId="0" fontId="1" fillId="3" borderId="56" xfId="0" applyFont="1" applyFill="1" applyBorder="1" applyAlignment="1">
      <alignment horizontal="center"/>
    </xf>
    <xf numFmtId="0" fontId="1" fillId="3" borderId="14" xfId="0" applyFont="1" applyFill="1" applyBorder="1" applyAlignment="1">
      <alignment horizontal="center"/>
    </xf>
    <xf numFmtId="0" fontId="3" fillId="0" borderId="50" xfId="0" applyFont="1" applyBorder="1" applyProtection="1">
      <protection locked="0" hidden="1"/>
    </xf>
    <xf numFmtId="0" fontId="3" fillId="0" borderId="17" xfId="0" applyFont="1" applyBorder="1" applyProtection="1">
      <protection locked="0" hidden="1"/>
    </xf>
    <xf numFmtId="0" fontId="0" fillId="3" borderId="0" xfId="0" applyFill="1" applyProtection="1">
      <protection locked="0" hidden="1"/>
    </xf>
    <xf numFmtId="0" fontId="11" fillId="0" borderId="0" xfId="0" applyFont="1" applyProtection="1">
      <protection hidden="1"/>
    </xf>
    <xf numFmtId="0" fontId="19" fillId="0" borderId="0" xfId="0" applyFont="1" applyAlignment="1" applyProtection="1">
      <alignment horizontal="center"/>
      <protection hidden="1"/>
    </xf>
    <xf numFmtId="0" fontId="11" fillId="0" borderId="0" xfId="0" applyFont="1" applyAlignment="1" applyProtection="1">
      <alignment horizontal="center"/>
      <protection hidden="1"/>
    </xf>
    <xf numFmtId="0" fontId="19" fillId="0" borderId="0" xfId="0" applyFont="1" applyAlignment="1" applyProtection="1">
      <alignment horizontal="center"/>
      <protection locked="0" hidden="1"/>
    </xf>
    <xf numFmtId="0" fontId="11" fillId="0" borderId="0" xfId="0" applyFont="1" applyAlignment="1" applyProtection="1">
      <alignment horizontal="center"/>
      <protection locked="0" hidden="1"/>
    </xf>
    <xf numFmtId="0" fontId="1" fillId="0" borderId="62" xfId="0" applyFont="1" applyBorder="1" applyAlignment="1" applyProtection="1">
      <alignment horizontal="center" vertical="center"/>
      <protection locked="0" hidden="1"/>
    </xf>
    <xf numFmtId="0" fontId="12" fillId="0" borderId="62" xfId="0" applyFont="1" applyBorder="1" applyAlignment="1" applyProtection="1">
      <alignment horizontal="center" vertical="center"/>
      <protection locked="0" hidden="1"/>
    </xf>
    <xf numFmtId="0" fontId="0" fillId="0" borderId="62" xfId="0" applyBorder="1" applyProtection="1">
      <protection locked="0" hidden="1"/>
    </xf>
    <xf numFmtId="0" fontId="0" fillId="0" borderId="55" xfId="0" applyBorder="1" applyAlignment="1" applyProtection="1">
      <alignment horizontal="center"/>
      <protection locked="0" hidden="1"/>
    </xf>
    <xf numFmtId="0" fontId="15" fillId="0" borderId="49" xfId="0" applyFont="1" applyBorder="1" applyAlignment="1" applyProtection="1">
      <alignment horizontal="center"/>
      <protection locked="0" hidden="1"/>
    </xf>
    <xf numFmtId="0" fontId="0" fillId="0" borderId="49" xfId="0" applyBorder="1" applyAlignment="1" applyProtection="1">
      <alignment horizontal="center"/>
      <protection locked="0" hidden="1"/>
    </xf>
    <xf numFmtId="0" fontId="15" fillId="0" borderId="57" xfId="0" applyFont="1" applyBorder="1" applyAlignment="1" applyProtection="1">
      <alignment horizontal="center"/>
      <protection locked="0" hidden="1"/>
    </xf>
    <xf numFmtId="0" fontId="15" fillId="15" borderId="34" xfId="0" applyFont="1" applyFill="1" applyBorder="1" applyAlignment="1" applyProtection="1">
      <alignment horizontal="center"/>
      <protection locked="0" hidden="1"/>
    </xf>
    <xf numFmtId="0" fontId="15" fillId="15" borderId="58" xfId="0" applyFont="1" applyFill="1" applyBorder="1" applyAlignment="1" applyProtection="1">
      <alignment horizontal="center"/>
      <protection locked="0" hidden="1"/>
    </xf>
    <xf numFmtId="0" fontId="0" fillId="15" borderId="58" xfId="0" applyFill="1" applyBorder="1" applyAlignment="1" applyProtection="1">
      <alignment horizontal="center"/>
      <protection locked="0" hidden="1"/>
    </xf>
    <xf numFmtId="0" fontId="15" fillId="15" borderId="37" xfId="0" applyFont="1" applyFill="1" applyBorder="1" applyAlignment="1" applyProtection="1">
      <alignment horizontal="center"/>
      <protection locked="0" hidden="1"/>
    </xf>
    <xf numFmtId="0" fontId="2" fillId="0" borderId="12" xfId="0" applyFont="1" applyBorder="1" applyAlignment="1" applyProtection="1">
      <alignment horizontal="center"/>
      <protection locked="0" hidden="1"/>
    </xf>
    <xf numFmtId="0" fontId="2" fillId="5" borderId="12" xfId="0" applyFont="1" applyFill="1" applyBorder="1" applyAlignment="1" applyProtection="1">
      <alignment horizontal="center"/>
      <protection locked="0" hidden="1"/>
    </xf>
    <xf numFmtId="0" fontId="3" fillId="0" borderId="12" xfId="0" applyFont="1" applyBorder="1" applyAlignment="1" applyProtection="1">
      <alignment horizontal="center" vertical="center"/>
      <protection locked="0" hidden="1"/>
    </xf>
    <xf numFmtId="0" fontId="1" fillId="8" borderId="15" xfId="0" applyFont="1" applyFill="1" applyBorder="1" applyProtection="1">
      <protection locked="0" hidden="1"/>
    </xf>
    <xf numFmtId="0" fontId="2" fillId="0" borderId="16" xfId="0" applyFont="1" applyBorder="1" applyAlignment="1" applyProtection="1">
      <alignment horizontal="center"/>
      <protection locked="0" hidden="1"/>
    </xf>
    <xf numFmtId="0" fontId="3" fillId="0" borderId="15" xfId="0" applyFont="1" applyBorder="1" applyAlignment="1" applyProtection="1">
      <alignment horizontal="center"/>
      <protection locked="0" hidden="1"/>
    </xf>
    <xf numFmtId="0" fontId="3" fillId="0" borderId="16" xfId="0" applyFont="1" applyBorder="1" applyAlignment="1" applyProtection="1">
      <alignment horizontal="center" vertical="center"/>
      <protection locked="0" hidden="1"/>
    </xf>
    <xf numFmtId="0" fontId="3" fillId="0" borderId="50" xfId="0" applyFont="1" applyBorder="1" applyAlignment="1" applyProtection="1">
      <alignment horizontal="center"/>
      <protection locked="0" hidden="1"/>
    </xf>
    <xf numFmtId="0" fontId="2" fillId="5" borderId="17" xfId="0" applyFont="1" applyFill="1" applyBorder="1" applyAlignment="1" applyProtection="1">
      <alignment horizontal="center"/>
      <protection locked="0" hidden="1"/>
    </xf>
    <xf numFmtId="0" fontId="3" fillId="0" borderId="18" xfId="0" applyFont="1" applyBorder="1" applyAlignment="1" applyProtection="1">
      <alignment horizontal="center" vertical="center"/>
      <protection locked="0" hidden="1"/>
    </xf>
    <xf numFmtId="0" fontId="0" fillId="0" borderId="13" xfId="0" applyBorder="1" applyAlignment="1" applyProtection="1">
      <alignment vertical="center"/>
      <protection locked="0" hidden="1"/>
    </xf>
    <xf numFmtId="0" fontId="0" fillId="0" borderId="56" xfId="0" applyBorder="1" applyAlignment="1" applyProtection="1">
      <alignment vertical="center"/>
      <protection locked="0" hidden="1"/>
    </xf>
    <xf numFmtId="0" fontId="0" fillId="0" borderId="66" xfId="0" applyBorder="1" applyAlignment="1" applyProtection="1">
      <alignment horizontal="center" vertical="center"/>
      <protection locked="0" hidden="1"/>
    </xf>
    <xf numFmtId="0" fontId="2" fillId="3" borderId="66" xfId="0" applyFont="1" applyFill="1" applyBorder="1" applyAlignment="1" applyProtection="1">
      <alignment horizontal="center" vertical="center"/>
      <protection locked="0" hidden="1"/>
    </xf>
    <xf numFmtId="0" fontId="2" fillId="3" borderId="68" xfId="0" applyFont="1" applyFill="1" applyBorder="1" applyAlignment="1" applyProtection="1">
      <alignment horizontal="center" vertical="center"/>
      <protection locked="0" hidden="1"/>
    </xf>
    <xf numFmtId="0" fontId="0" fillId="0" borderId="63" xfId="0" applyBorder="1" applyAlignment="1" applyProtection="1">
      <alignment horizontal="center" vertical="center"/>
      <protection locked="0" hidden="1"/>
    </xf>
    <xf numFmtId="0" fontId="3" fillId="0" borderId="59" xfId="0" applyFont="1" applyBorder="1" applyAlignment="1" applyProtection="1">
      <alignment horizontal="center" vertical="center"/>
      <protection locked="0" hidden="1"/>
    </xf>
    <xf numFmtId="0" fontId="3" fillId="0" borderId="61" xfId="0" applyFont="1" applyBorder="1" applyAlignment="1" applyProtection="1">
      <alignment horizontal="center" vertical="center"/>
      <protection locked="0" hidden="1"/>
    </xf>
    <xf numFmtId="0" fontId="3" fillId="0" borderId="64" xfId="0" applyFont="1" applyBorder="1" applyAlignment="1" applyProtection="1">
      <alignment horizontal="center" vertical="center"/>
      <protection locked="0" hidden="1"/>
    </xf>
    <xf numFmtId="0" fontId="3" fillId="0" borderId="69" xfId="0" applyFont="1" applyBorder="1" applyAlignment="1" applyProtection="1">
      <alignment horizontal="center" vertical="center"/>
      <protection locked="0" hidden="1"/>
    </xf>
    <xf numFmtId="0" fontId="3" fillId="0" borderId="15" xfId="0" applyFont="1" applyBorder="1" applyAlignment="1" applyProtection="1">
      <alignment horizontal="center" vertical="center"/>
      <protection locked="0" hidden="1"/>
    </xf>
    <xf numFmtId="0" fontId="3" fillId="0" borderId="63" xfId="0" applyFont="1" applyBorder="1" applyAlignment="1" applyProtection="1">
      <alignment horizontal="center" vertical="center"/>
      <protection locked="0" hidden="1"/>
    </xf>
    <xf numFmtId="0" fontId="3" fillId="0" borderId="50" xfId="0" applyFont="1" applyBorder="1" applyAlignment="1" applyProtection="1">
      <alignment horizontal="center" vertical="center"/>
      <protection locked="0" hidden="1"/>
    </xf>
    <xf numFmtId="0" fontId="3" fillId="0" borderId="17" xfId="0" applyFont="1" applyBorder="1" applyAlignment="1" applyProtection="1">
      <alignment horizontal="center" vertical="center"/>
      <protection locked="0" hidden="1"/>
    </xf>
    <xf numFmtId="0" fontId="1" fillId="8" borderId="12" xfId="0" applyFont="1" applyFill="1" applyBorder="1" applyAlignment="1" applyProtection="1">
      <alignment horizontal="center" vertical="center"/>
      <protection locked="0" hidden="1"/>
    </xf>
    <xf numFmtId="0" fontId="2" fillId="8" borderId="12" xfId="0" applyFont="1" applyFill="1" applyBorder="1" applyAlignment="1" applyProtection="1">
      <alignment horizontal="center"/>
      <protection locked="0" hidden="1"/>
    </xf>
    <xf numFmtId="0" fontId="3" fillId="7" borderId="12" xfId="0" applyFont="1" applyFill="1" applyBorder="1" applyAlignment="1" applyProtection="1">
      <alignment horizontal="center"/>
      <protection locked="0" hidden="1"/>
    </xf>
    <xf numFmtId="0" fontId="3" fillId="0" borderId="8" xfId="0" applyFont="1" applyBorder="1" applyAlignment="1" applyProtection="1">
      <alignment horizontal="center" vertical="center"/>
      <protection locked="0" hidden="1"/>
    </xf>
    <xf numFmtId="0" fontId="3" fillId="0" borderId="12" xfId="0" applyFont="1" applyBorder="1" applyAlignment="1" applyProtection="1">
      <alignment horizontal="center"/>
      <protection hidden="1"/>
    </xf>
    <xf numFmtId="0" fontId="3" fillId="0" borderId="12" xfId="0" applyFont="1" applyBorder="1" applyProtection="1">
      <protection hidden="1"/>
    </xf>
    <xf numFmtId="0" fontId="3" fillId="4" borderId="12" xfId="0" applyFont="1" applyFill="1" applyBorder="1" applyAlignment="1" applyProtection="1">
      <alignment horizontal="left"/>
      <protection hidden="1"/>
    </xf>
    <xf numFmtId="14" fontId="3" fillId="4" borderId="12" xfId="0" applyNumberFormat="1" applyFont="1" applyFill="1" applyBorder="1" applyAlignment="1" applyProtection="1">
      <alignment horizontal="left"/>
      <protection hidden="1"/>
    </xf>
    <xf numFmtId="2" fontId="3" fillId="0" borderId="12" xfId="0" applyNumberFormat="1" applyFont="1" applyBorder="1" applyAlignment="1" applyProtection="1">
      <alignment horizontal="center"/>
      <protection hidden="1"/>
    </xf>
    <xf numFmtId="0" fontId="11" fillId="16" borderId="12" xfId="0" applyFont="1" applyFill="1" applyBorder="1" applyProtection="1">
      <protection hidden="1"/>
    </xf>
    <xf numFmtId="0" fontId="2" fillId="8" borderId="12" xfId="0" applyFont="1" applyFill="1" applyBorder="1" applyAlignment="1" applyProtection="1">
      <alignment horizontal="center" wrapText="1"/>
      <protection hidden="1"/>
    </xf>
    <xf numFmtId="0" fontId="3" fillId="0" borderId="12" xfId="0" applyFont="1" applyBorder="1" applyAlignment="1" applyProtection="1">
      <alignment horizontal="left"/>
      <protection hidden="1"/>
    </xf>
    <xf numFmtId="0" fontId="2" fillId="3" borderId="12" xfId="0" applyFont="1" applyFill="1" applyBorder="1" applyAlignment="1" applyProtection="1">
      <alignment horizontal="center"/>
      <protection hidden="1"/>
    </xf>
    <xf numFmtId="0" fontId="3" fillId="4" borderId="12" xfId="0" applyFont="1" applyFill="1" applyBorder="1" applyAlignment="1" applyProtection="1">
      <alignment horizontal="center" vertical="center"/>
      <protection hidden="1"/>
    </xf>
    <xf numFmtId="0" fontId="2" fillId="3" borderId="12" xfId="0" applyFont="1" applyFill="1" applyBorder="1" applyAlignment="1" applyProtection="1">
      <alignment horizontal="center" vertical="center"/>
      <protection hidden="1"/>
    </xf>
    <xf numFmtId="0" fontId="2" fillId="0" borderId="0" xfId="0" applyFont="1" applyProtection="1">
      <protection hidden="1"/>
    </xf>
    <xf numFmtId="0" fontId="2" fillId="8" borderId="12" xfId="0" applyFont="1" applyFill="1" applyBorder="1" applyAlignment="1" applyProtection="1">
      <alignment horizontal="center" vertical="center"/>
      <protection locked="0" hidden="1"/>
    </xf>
    <xf numFmtId="0" fontId="1" fillId="3" borderId="67" xfId="0" applyFont="1" applyFill="1" applyBorder="1" applyAlignment="1" applyProtection="1">
      <alignment horizontal="center" vertical="center"/>
      <protection locked="0" hidden="1"/>
    </xf>
    <xf numFmtId="0" fontId="1" fillId="3" borderId="68" xfId="0" applyFont="1" applyFill="1" applyBorder="1" applyAlignment="1" applyProtection="1">
      <alignment horizontal="center" vertical="center"/>
      <protection locked="0" hidden="1"/>
    </xf>
    <xf numFmtId="0" fontId="3" fillId="4" borderId="5" xfId="0" applyFont="1" applyFill="1" applyBorder="1" applyAlignment="1" applyProtection="1">
      <alignment horizontal="center"/>
      <protection locked="0" hidden="1"/>
    </xf>
    <xf numFmtId="0" fontId="2" fillId="0" borderId="2" xfId="0" applyFont="1" applyBorder="1" applyAlignment="1" applyProtection="1">
      <alignment horizontal="center" vertical="center"/>
      <protection locked="0" hidden="1"/>
    </xf>
    <xf numFmtId="0" fontId="2" fillId="0" borderId="3" xfId="0" applyFont="1" applyBorder="1" applyAlignment="1" applyProtection="1">
      <alignment horizontal="center" vertical="center"/>
      <protection locked="0" hidden="1"/>
    </xf>
    <xf numFmtId="0" fontId="11" fillId="0" borderId="0" xfId="0" applyFont="1" applyAlignment="1" applyProtection="1">
      <alignment horizontal="center" vertical="center"/>
      <protection locked="0" hidden="1"/>
    </xf>
    <xf numFmtId="0" fontId="19" fillId="0" borderId="5" xfId="0" applyFont="1" applyBorder="1" applyAlignment="1" applyProtection="1">
      <alignment horizontal="center" vertical="center"/>
      <protection locked="0" hidden="1"/>
    </xf>
    <xf numFmtId="0" fontId="2" fillId="8" borderId="7" xfId="0" applyFont="1" applyFill="1" applyBorder="1" applyAlignment="1" applyProtection="1">
      <alignment horizontal="center"/>
      <protection locked="0" hidden="1"/>
    </xf>
    <xf numFmtId="0" fontId="0" fillId="0" borderId="10" xfId="0" applyBorder="1" applyProtection="1">
      <protection locked="0" hidden="1"/>
    </xf>
    <xf numFmtId="0" fontId="2" fillId="8" borderId="64" xfId="0" applyFont="1" applyFill="1" applyBorder="1" applyAlignment="1" applyProtection="1">
      <alignment horizontal="center"/>
      <protection locked="0" hidden="1"/>
    </xf>
    <xf numFmtId="0" fontId="2" fillId="3" borderId="69" xfId="0" applyFont="1" applyFill="1" applyBorder="1" applyAlignment="1" applyProtection="1">
      <alignment horizontal="center"/>
      <protection locked="0" hidden="1"/>
    </xf>
    <xf numFmtId="0" fontId="2" fillId="8" borderId="66" xfId="0" applyFont="1" applyFill="1" applyBorder="1" applyAlignment="1" applyProtection="1">
      <alignment horizontal="center"/>
      <protection locked="0" hidden="1"/>
    </xf>
    <xf numFmtId="0" fontId="3" fillId="0" borderId="67" xfId="0" applyFont="1" applyBorder="1" applyAlignment="1" applyProtection="1">
      <alignment horizontal="center"/>
      <protection locked="0" hidden="1"/>
    </xf>
    <xf numFmtId="0" fontId="2" fillId="3" borderId="68" xfId="0" applyFont="1" applyFill="1" applyBorder="1" applyAlignment="1" applyProtection="1">
      <alignment horizontal="center"/>
      <protection locked="0" hidden="1"/>
    </xf>
    <xf numFmtId="0" fontId="0" fillId="4" borderId="19" xfId="0" applyFill="1" applyBorder="1" applyAlignment="1" applyProtection="1">
      <alignment horizontal="center" vertical="center"/>
      <protection locked="0" hidden="1"/>
    </xf>
    <xf numFmtId="0" fontId="0" fillId="0" borderId="19" xfId="0" applyBorder="1" applyAlignment="1" applyProtection="1">
      <alignment horizontal="center"/>
      <protection hidden="1"/>
    </xf>
    <xf numFmtId="14" fontId="3" fillId="4" borderId="0" xfId="0" applyNumberFormat="1" applyFont="1" applyFill="1" applyAlignment="1" applyProtection="1">
      <alignment horizontal="left" vertical="center"/>
      <protection locked="0" hidden="1"/>
    </xf>
    <xf numFmtId="16" fontId="11" fillId="0" borderId="0" xfId="0" applyNumberFormat="1" applyFont="1" applyProtection="1">
      <protection locked="0" hidden="1"/>
    </xf>
    <xf numFmtId="14" fontId="3" fillId="8" borderId="0" xfId="0" applyNumberFormat="1" applyFont="1" applyFill="1" applyAlignment="1" applyProtection="1">
      <alignment horizontal="left" vertical="center"/>
      <protection hidden="1"/>
    </xf>
    <xf numFmtId="0" fontId="0" fillId="0" borderId="11" xfId="0" applyBorder="1" applyAlignment="1" applyProtection="1">
      <alignment vertical="center"/>
      <protection locked="0" hidden="1"/>
    </xf>
    <xf numFmtId="0" fontId="0" fillId="17" borderId="16" xfId="0" applyFill="1" applyBorder="1" applyAlignment="1" applyProtection="1">
      <alignment horizontal="center" vertical="center"/>
      <protection hidden="1"/>
    </xf>
    <xf numFmtId="0" fontId="0" fillId="0" borderId="57" xfId="0" applyBorder="1" applyAlignment="1" applyProtection="1">
      <alignment horizontal="center"/>
      <protection locked="0" hidden="1"/>
    </xf>
    <xf numFmtId="0" fontId="0" fillId="8" borderId="34" xfId="0" applyFill="1" applyBorder="1" applyAlignment="1" applyProtection="1">
      <alignment horizontal="center"/>
      <protection locked="0" hidden="1"/>
    </xf>
    <xf numFmtId="0" fontId="0" fillId="8" borderId="37" xfId="0" applyFill="1" applyBorder="1" applyAlignment="1" applyProtection="1">
      <alignment horizontal="center"/>
      <protection locked="0" hidden="1"/>
    </xf>
    <xf numFmtId="0" fontId="0" fillId="0" borderId="2" xfId="0" applyBorder="1" applyAlignment="1" applyProtection="1">
      <alignment vertical="center"/>
      <protection hidden="1"/>
    </xf>
    <xf numFmtId="0" fontId="0" fillId="0" borderId="3" xfId="0" applyBorder="1" applyAlignment="1" applyProtection="1">
      <alignment vertical="center"/>
      <protection hidden="1"/>
    </xf>
    <xf numFmtId="0" fontId="0" fillId="0" borderId="13" xfId="0" applyBorder="1" applyAlignment="1" applyProtection="1">
      <alignment vertical="center"/>
      <protection hidden="1"/>
    </xf>
    <xf numFmtId="0" fontId="0" fillId="0" borderId="56" xfId="0" applyBorder="1" applyAlignment="1" applyProtection="1">
      <alignment vertical="center"/>
      <protection hidden="1"/>
    </xf>
    <xf numFmtId="0" fontId="0" fillId="0" borderId="4" xfId="0" applyBorder="1" applyProtection="1">
      <protection hidden="1"/>
    </xf>
    <xf numFmtId="0" fontId="3" fillId="4" borderId="0" xfId="0" applyFont="1" applyFill="1" applyAlignment="1" applyProtection="1">
      <alignment horizontal="center"/>
      <protection hidden="1"/>
    </xf>
    <xf numFmtId="0" fontId="0" fillId="3" borderId="0" xfId="0" applyFill="1" applyAlignment="1" applyProtection="1">
      <alignment horizontal="center" vertical="center"/>
      <protection hidden="1"/>
    </xf>
    <xf numFmtId="0" fontId="0" fillId="8" borderId="0" xfId="0" applyFill="1" applyProtection="1">
      <protection hidden="1"/>
    </xf>
    <xf numFmtId="0" fontId="1" fillId="8" borderId="15" xfId="0" applyFont="1" applyFill="1" applyBorder="1" applyProtection="1">
      <protection hidden="1"/>
    </xf>
    <xf numFmtId="0" fontId="2" fillId="0" borderId="12" xfId="0" applyFont="1" applyBorder="1" applyAlignment="1" applyProtection="1">
      <alignment horizontal="center"/>
      <protection hidden="1"/>
    </xf>
    <xf numFmtId="0" fontId="2" fillId="0" borderId="16" xfId="0" applyFont="1" applyBorder="1" applyAlignment="1" applyProtection="1">
      <alignment horizontal="center"/>
      <protection hidden="1"/>
    </xf>
    <xf numFmtId="0" fontId="3" fillId="0" borderId="15" xfId="0" applyFont="1" applyBorder="1" applyAlignment="1" applyProtection="1">
      <alignment horizontal="center"/>
      <protection hidden="1"/>
    </xf>
    <xf numFmtId="0" fontId="3" fillId="0" borderId="16" xfId="0" applyFont="1" applyBorder="1" applyAlignment="1" applyProtection="1">
      <alignment horizontal="center"/>
      <protection hidden="1"/>
    </xf>
    <xf numFmtId="0" fontId="0" fillId="0" borderId="6" xfId="0" applyBorder="1" applyProtection="1">
      <protection hidden="1"/>
    </xf>
    <xf numFmtId="0" fontId="0" fillId="0" borderId="7" xfId="0" applyBorder="1" applyProtection="1">
      <protection hidden="1"/>
    </xf>
    <xf numFmtId="0" fontId="0" fillId="3" borderId="7" xfId="0" applyFill="1" applyBorder="1" applyAlignment="1" applyProtection="1">
      <alignment horizontal="center" vertical="center"/>
      <protection hidden="1"/>
    </xf>
    <xf numFmtId="0" fontId="0" fillId="8" borderId="7" xfId="0" applyFill="1" applyBorder="1" applyProtection="1">
      <protection hidden="1"/>
    </xf>
    <xf numFmtId="0" fontId="0" fillId="0" borderId="8" xfId="0" applyBorder="1" applyAlignment="1" applyProtection="1">
      <alignment vertical="center"/>
      <protection hidden="1"/>
    </xf>
    <xf numFmtId="0" fontId="3" fillId="0" borderId="50" xfId="0" applyFont="1" applyBorder="1" applyAlignment="1" applyProtection="1">
      <alignment horizontal="center"/>
      <protection hidden="1"/>
    </xf>
    <xf numFmtId="0" fontId="3" fillId="0" borderId="17" xfId="0" applyFont="1" applyBorder="1" applyAlignment="1" applyProtection="1">
      <alignment horizontal="center"/>
      <protection hidden="1"/>
    </xf>
    <xf numFmtId="0" fontId="2" fillId="5" borderId="17" xfId="0" applyFont="1" applyFill="1" applyBorder="1" applyAlignment="1" applyProtection="1">
      <alignment horizontal="center"/>
      <protection hidden="1"/>
    </xf>
    <xf numFmtId="0" fontId="3" fillId="0" borderId="18" xfId="0" applyFont="1" applyBorder="1" applyAlignment="1" applyProtection="1">
      <alignment horizontal="center"/>
      <protection hidden="1"/>
    </xf>
    <xf numFmtId="0" fontId="0" fillId="0" borderId="12" xfId="0" applyBorder="1" applyAlignment="1" applyProtection="1">
      <alignment horizontal="center" vertical="center"/>
      <protection locked="0" hidden="1"/>
    </xf>
    <xf numFmtId="0" fontId="0" fillId="8" borderId="12" xfId="0" applyFill="1" applyBorder="1" applyAlignment="1" applyProtection="1">
      <alignment horizontal="center"/>
      <protection locked="0" hidden="1"/>
    </xf>
    <xf numFmtId="0" fontId="0" fillId="0" borderId="65" xfId="0" applyBorder="1" applyAlignment="1" applyProtection="1">
      <alignment horizontal="center" vertical="center"/>
      <protection locked="0" hidden="1"/>
    </xf>
    <xf numFmtId="0" fontId="20" fillId="14" borderId="0" xfId="0" applyFont="1" applyFill="1" applyProtection="1">
      <protection locked="0" hidden="1"/>
    </xf>
    <xf numFmtId="0" fontId="20" fillId="14" borderId="0" xfId="0" applyFont="1" applyFill="1" applyAlignment="1" applyProtection="1">
      <alignment horizontal="center" vertical="center"/>
      <protection locked="0" hidden="1"/>
    </xf>
    <xf numFmtId="0" fontId="20" fillId="14" borderId="0" xfId="0" applyFont="1" applyFill="1" applyAlignment="1" applyProtection="1">
      <alignment horizontal="center"/>
      <protection locked="0" hidden="1"/>
    </xf>
    <xf numFmtId="0" fontId="0" fillId="0" borderId="3" xfId="0" applyBorder="1" applyAlignment="1" applyProtection="1">
      <alignment vertical="center"/>
      <protection locked="0" hidden="1"/>
    </xf>
    <xf numFmtId="0" fontId="0" fillId="0" borderId="3" xfId="0" applyBorder="1" applyAlignment="1" applyProtection="1">
      <alignment horizontal="center" vertical="center"/>
      <protection locked="0" hidden="1"/>
    </xf>
    <xf numFmtId="0" fontId="1" fillId="3" borderId="66" xfId="0" applyFont="1" applyFill="1" applyBorder="1" applyAlignment="1" applyProtection="1">
      <alignment horizontal="center" vertical="center"/>
      <protection locked="0" hidden="1"/>
    </xf>
    <xf numFmtId="0" fontId="0" fillId="3" borderId="10" xfId="0" applyFill="1" applyBorder="1" applyAlignment="1" applyProtection="1">
      <alignment horizontal="center" vertical="center"/>
      <protection locked="0" hidden="1"/>
    </xf>
    <xf numFmtId="0" fontId="0" fillId="0" borderId="9" xfId="0" applyBorder="1" applyAlignment="1" applyProtection="1">
      <alignment horizontal="center"/>
      <protection locked="0" hidden="1"/>
    </xf>
    <xf numFmtId="0" fontId="1" fillId="8" borderId="9" xfId="0" applyFont="1" applyFill="1" applyBorder="1" applyProtection="1">
      <protection locked="0" hidden="1"/>
    </xf>
    <xf numFmtId="0" fontId="0" fillId="0" borderId="50" xfId="0" applyBorder="1" applyAlignment="1" applyProtection="1">
      <alignment horizontal="center"/>
      <protection locked="0" hidden="1"/>
    </xf>
    <xf numFmtId="0" fontId="0" fillId="3" borderId="4" xfId="0" applyFill="1" applyBorder="1" applyAlignment="1" applyProtection="1">
      <alignment horizontal="center" vertical="center"/>
      <protection locked="0" hidden="1"/>
    </xf>
    <xf numFmtId="0" fontId="0" fillId="0" borderId="61" xfId="0" applyBorder="1" applyAlignment="1" applyProtection="1">
      <alignment horizontal="center" vertical="center"/>
      <protection locked="0" hidden="1"/>
    </xf>
    <xf numFmtId="0" fontId="0" fillId="3" borderId="19" xfId="0" applyFill="1" applyBorder="1" applyAlignment="1" applyProtection="1">
      <alignment horizontal="center" vertical="center"/>
      <protection locked="0" hidden="1"/>
    </xf>
    <xf numFmtId="0" fontId="1" fillId="8" borderId="10" xfId="0" applyFont="1" applyFill="1" applyBorder="1" applyProtection="1">
      <protection locked="0" hidden="1"/>
    </xf>
    <xf numFmtId="0" fontId="0" fillId="0" borderId="64" xfId="0" applyBorder="1" applyAlignment="1" applyProtection="1">
      <alignment horizontal="center" vertical="center"/>
      <protection locked="0" hidden="1"/>
    </xf>
    <xf numFmtId="0" fontId="0" fillId="0" borderId="69" xfId="0" applyBorder="1" applyAlignment="1" applyProtection="1">
      <alignment horizontal="center" vertical="center"/>
      <protection locked="0" hidden="1"/>
    </xf>
    <xf numFmtId="0" fontId="0" fillId="0" borderId="16" xfId="0" applyBorder="1" applyAlignment="1">
      <alignment vertical="center" wrapText="1"/>
    </xf>
    <xf numFmtId="0" fontId="0" fillId="0" borderId="18" xfId="0" applyBorder="1" applyAlignment="1">
      <alignment vertical="center" wrapText="1"/>
    </xf>
    <xf numFmtId="0" fontId="0" fillId="0" borderId="61" xfId="0" applyBorder="1" applyAlignment="1">
      <alignment vertical="center" wrapText="1"/>
    </xf>
    <xf numFmtId="0" fontId="0" fillId="8" borderId="63" xfId="0" applyFill="1" applyBorder="1" applyAlignment="1">
      <alignment vertical="center"/>
    </xf>
    <xf numFmtId="0" fontId="0" fillId="18" borderId="15" xfId="0" applyFill="1" applyBorder="1" applyAlignment="1">
      <alignment vertical="center"/>
    </xf>
    <xf numFmtId="0" fontId="0" fillId="4" borderId="15" xfId="0" applyFill="1" applyBorder="1" applyAlignment="1">
      <alignment vertical="center" wrapText="1"/>
    </xf>
    <xf numFmtId="0" fontId="0" fillId="10" borderId="15" xfId="0" applyFill="1" applyBorder="1" applyAlignment="1">
      <alignment vertical="center" wrapText="1"/>
    </xf>
    <xf numFmtId="0" fontId="0" fillId="2" borderId="50" xfId="0" applyFill="1" applyBorder="1" applyAlignment="1">
      <alignment wrapText="1"/>
    </xf>
    <xf numFmtId="0" fontId="1" fillId="0" borderId="12" xfId="0" applyFont="1" applyBorder="1" applyAlignment="1">
      <alignment wrapText="1"/>
    </xf>
    <xf numFmtId="0" fontId="0" fillId="0" borderId="17" xfId="0" applyBorder="1" applyAlignment="1">
      <alignment wrapText="1"/>
    </xf>
    <xf numFmtId="0" fontId="0" fillId="0" borderId="50" xfId="0" applyBorder="1" applyAlignment="1">
      <alignment horizontal="center" vertical="center"/>
    </xf>
    <xf numFmtId="0" fontId="0" fillId="0" borderId="63" xfId="0" applyBorder="1" applyAlignment="1">
      <alignment horizontal="center" vertical="center"/>
    </xf>
    <xf numFmtId="0" fontId="0" fillId="4" borderId="61" xfId="0" applyFill="1" applyBorder="1"/>
    <xf numFmtId="0" fontId="0" fillId="8" borderId="66" xfId="0" applyFill="1" applyBorder="1" applyAlignment="1">
      <alignment horizontal="center" vertical="center"/>
    </xf>
    <xf numFmtId="0" fontId="0" fillId="0" borderId="68" xfId="0" applyBorder="1"/>
    <xf numFmtId="0" fontId="0" fillId="0" borderId="0" xfId="0" applyAlignment="1">
      <alignment wrapText="1"/>
    </xf>
    <xf numFmtId="0" fontId="1" fillId="0" borderId="0" xfId="0" applyFont="1"/>
    <xf numFmtId="0" fontId="0" fillId="0" borderId="0" xfId="0" applyAlignment="1">
      <alignment vertical="center" wrapText="1"/>
    </xf>
    <xf numFmtId="0" fontId="0" fillId="0" borderId="0" xfId="0" applyAlignment="1">
      <alignment horizontal="center"/>
    </xf>
    <xf numFmtId="0" fontId="0" fillId="0" borderId="12" xfId="0" applyBorder="1" applyAlignment="1">
      <alignment horizontal="center" vertical="top"/>
    </xf>
    <xf numFmtId="0" fontId="1" fillId="4" borderId="12" xfId="0" applyFont="1" applyFill="1" applyBorder="1" applyAlignment="1">
      <alignment vertical="top" wrapText="1"/>
    </xf>
    <xf numFmtId="0" fontId="0" fillId="0" borderId="12" xfId="0" applyBorder="1" applyAlignment="1">
      <alignment vertical="top" wrapText="1"/>
    </xf>
    <xf numFmtId="0" fontId="1" fillId="0" borderId="66" xfId="0" applyFont="1" applyBorder="1" applyAlignment="1">
      <alignment vertical="center"/>
    </xf>
    <xf numFmtId="0" fontId="1" fillId="4" borderId="68" xfId="0" applyFont="1" applyFill="1" applyBorder="1" applyAlignment="1">
      <alignment vertical="center"/>
    </xf>
    <xf numFmtId="0" fontId="0" fillId="8" borderId="66" xfId="0" applyFill="1" applyBorder="1" applyAlignment="1">
      <alignment horizontal="center" vertical="center" wrapText="1"/>
    </xf>
    <xf numFmtId="0" fontId="0" fillId="0" borderId="59" xfId="0" applyBorder="1" applyAlignment="1">
      <alignment wrapText="1"/>
    </xf>
    <xf numFmtId="0" fontId="7" fillId="0" borderId="0" xfId="0" applyFont="1"/>
    <xf numFmtId="0" fontId="7" fillId="0" borderId="0" xfId="0" applyFont="1" applyProtection="1">
      <protection locked="0"/>
    </xf>
    <xf numFmtId="49" fontId="3" fillId="0" borderId="0" xfId="0" applyNumberFormat="1" applyFont="1" applyProtection="1">
      <protection hidden="1"/>
    </xf>
    <xf numFmtId="0" fontId="11" fillId="0" borderId="54" xfId="0" applyFont="1" applyBorder="1" applyProtection="1">
      <protection hidden="1"/>
    </xf>
    <xf numFmtId="0" fontId="1" fillId="0" borderId="12" xfId="0" applyFont="1" applyBorder="1" applyAlignment="1" applyProtection="1">
      <alignment horizontal="center"/>
      <protection hidden="1"/>
    </xf>
    <xf numFmtId="0" fontId="2" fillId="19" borderId="0" xfId="0" applyFont="1" applyFill="1" applyAlignment="1" applyProtection="1">
      <alignment horizontal="center"/>
      <protection hidden="1"/>
    </xf>
    <xf numFmtId="0" fontId="2" fillId="0" borderId="12" xfId="0" applyFont="1" applyBorder="1" applyAlignment="1" applyProtection="1">
      <alignment horizontal="center" vertical="center"/>
      <protection locked="0" hidden="1"/>
    </xf>
    <xf numFmtId="0" fontId="7" fillId="0" borderId="13" xfId="0" applyFont="1" applyBorder="1" applyAlignment="1" applyProtection="1">
      <alignment horizontal="center" vertical="center"/>
      <protection locked="0" hidden="1"/>
    </xf>
    <xf numFmtId="0" fontId="12" fillId="0" borderId="56" xfId="0" applyFont="1" applyBorder="1" applyAlignment="1" applyProtection="1">
      <alignment horizontal="center" vertical="center"/>
      <protection locked="0" hidden="1"/>
    </xf>
    <xf numFmtId="0" fontId="12" fillId="0" borderId="14" xfId="0" applyFont="1" applyBorder="1" applyAlignment="1" applyProtection="1">
      <alignment horizontal="center" vertical="center"/>
      <protection locked="0" hidden="1"/>
    </xf>
    <xf numFmtId="0" fontId="7" fillId="0" borderId="15" xfId="0" applyFont="1" applyBorder="1" applyAlignment="1" applyProtection="1">
      <alignment horizontal="center" vertical="center"/>
      <protection locked="0" hidden="1"/>
    </xf>
    <xf numFmtId="0" fontId="2" fillId="0" borderId="16" xfId="0" applyFont="1" applyBorder="1" applyAlignment="1" applyProtection="1">
      <alignment horizontal="center" vertical="center"/>
      <protection locked="0" hidden="1"/>
    </xf>
    <xf numFmtId="1" fontId="3" fillId="0" borderId="15" xfId="0" applyNumberFormat="1" applyFont="1" applyBorder="1" applyAlignment="1" applyProtection="1">
      <alignment horizontal="center" vertical="center"/>
      <protection locked="0" hidden="1"/>
    </xf>
    <xf numFmtId="0" fontId="11" fillId="16" borderId="4" xfId="0" applyFont="1" applyFill="1" applyBorder="1" applyProtection="1">
      <protection hidden="1"/>
    </xf>
    <xf numFmtId="0" fontId="11" fillId="16" borderId="0" xfId="0" applyFont="1" applyFill="1" applyAlignment="1" applyProtection="1">
      <alignment horizontal="center"/>
      <protection hidden="1"/>
    </xf>
    <xf numFmtId="0" fontId="11" fillId="16" borderId="0" xfId="0" applyFont="1" applyFill="1" applyProtection="1">
      <protection hidden="1"/>
    </xf>
    <xf numFmtId="0" fontId="11" fillId="16" borderId="0" xfId="0" applyFont="1" applyFill="1" applyAlignment="1" applyProtection="1">
      <alignment vertical="center"/>
      <protection hidden="1"/>
    </xf>
    <xf numFmtId="0" fontId="19" fillId="16" borderId="0" xfId="0" applyFont="1" applyFill="1" applyAlignment="1" applyProtection="1">
      <alignment horizontal="center" vertical="center"/>
      <protection hidden="1"/>
    </xf>
    <xf numFmtId="0" fontId="11" fillId="16" borderId="10" xfId="0" applyFont="1" applyFill="1" applyBorder="1" applyAlignment="1" applyProtection="1">
      <alignment horizontal="center"/>
      <protection hidden="1"/>
    </xf>
    <xf numFmtId="0" fontId="22" fillId="16" borderId="0" xfId="1" applyFont="1" applyFill="1" applyAlignment="1" applyProtection="1">
      <alignment horizontal="center" vertical="center"/>
      <protection hidden="1"/>
    </xf>
    <xf numFmtId="0" fontId="11" fillId="16" borderId="0" xfId="0" applyFont="1" applyFill="1" applyAlignment="1" applyProtection="1">
      <alignment horizontal="center" vertical="center"/>
      <protection hidden="1"/>
    </xf>
    <xf numFmtId="0" fontId="11" fillId="16" borderId="4" xfId="0" applyFont="1" applyFill="1" applyBorder="1" applyAlignment="1" applyProtection="1">
      <alignment horizontal="center"/>
      <protection hidden="1"/>
    </xf>
    <xf numFmtId="0" fontId="11" fillId="16" borderId="6" xfId="0" applyFont="1" applyFill="1" applyBorder="1" applyAlignment="1" applyProtection="1">
      <alignment horizontal="center"/>
      <protection hidden="1"/>
    </xf>
    <xf numFmtId="0" fontId="19" fillId="16" borderId="56" xfId="0" applyFont="1" applyFill="1" applyBorder="1" applyAlignment="1" applyProtection="1">
      <alignment horizontal="center"/>
      <protection hidden="1"/>
    </xf>
    <xf numFmtId="0" fontId="19" fillId="16" borderId="14" xfId="0" applyFont="1" applyFill="1" applyBorder="1" applyAlignment="1" applyProtection="1">
      <alignment horizontal="center"/>
      <protection hidden="1"/>
    </xf>
    <xf numFmtId="0" fontId="11" fillId="16" borderId="2" xfId="0" applyFont="1" applyFill="1" applyBorder="1" applyProtection="1">
      <protection hidden="1"/>
    </xf>
    <xf numFmtId="0" fontId="23" fillId="16" borderId="0" xfId="0" applyFont="1" applyFill="1" applyAlignment="1" applyProtection="1">
      <alignment horizontal="center" vertical="center"/>
      <protection hidden="1"/>
    </xf>
    <xf numFmtId="0" fontId="19" fillId="16" borderId="20" xfId="0" applyFont="1" applyFill="1" applyBorder="1" applyProtection="1">
      <protection hidden="1"/>
    </xf>
    <xf numFmtId="0" fontId="11" fillId="16" borderId="21" xfId="0" applyFont="1" applyFill="1" applyBorder="1" applyAlignment="1" applyProtection="1">
      <alignment horizontal="center"/>
      <protection hidden="1"/>
    </xf>
    <xf numFmtId="0" fontId="11" fillId="16" borderId="12" xfId="0" applyFont="1" applyFill="1" applyBorder="1" applyAlignment="1" applyProtection="1">
      <alignment horizontal="center"/>
      <protection hidden="1"/>
    </xf>
    <xf numFmtId="0" fontId="11" fillId="16" borderId="23" xfId="0" applyFont="1" applyFill="1" applyBorder="1" applyAlignment="1" applyProtection="1">
      <alignment horizontal="center"/>
      <protection hidden="1"/>
    </xf>
    <xf numFmtId="0" fontId="11" fillId="16" borderId="5" xfId="0" applyFont="1" applyFill="1" applyBorder="1" applyAlignment="1" applyProtection="1">
      <alignment horizontal="center"/>
      <protection hidden="1"/>
    </xf>
    <xf numFmtId="0" fontId="11" fillId="16" borderId="5" xfId="0" applyFont="1" applyFill="1" applyBorder="1" applyAlignment="1" applyProtection="1">
      <alignment horizontal="center" vertical="center"/>
      <protection hidden="1"/>
    </xf>
    <xf numFmtId="0" fontId="19" fillId="16" borderId="12" xfId="0" applyFont="1" applyFill="1" applyBorder="1" applyAlignment="1" applyProtection="1">
      <alignment horizontal="center"/>
      <protection hidden="1"/>
    </xf>
    <xf numFmtId="0" fontId="11" fillId="16" borderId="25" xfId="0" applyFont="1" applyFill="1" applyBorder="1" applyAlignment="1" applyProtection="1">
      <alignment horizontal="center"/>
      <protection hidden="1"/>
    </xf>
    <xf numFmtId="0" fontId="11" fillId="16" borderId="26" xfId="0" applyFont="1" applyFill="1" applyBorder="1" applyAlignment="1" applyProtection="1">
      <alignment horizontal="center"/>
      <protection hidden="1"/>
    </xf>
    <xf numFmtId="0" fontId="11" fillId="16" borderId="3" xfId="0" applyFont="1" applyFill="1" applyBorder="1" applyProtection="1">
      <protection hidden="1"/>
    </xf>
    <xf numFmtId="0" fontId="11" fillId="16" borderId="27" xfId="0" applyFont="1" applyFill="1" applyBorder="1" applyProtection="1">
      <protection hidden="1"/>
    </xf>
    <xf numFmtId="0" fontId="11" fillId="16" borderId="1" xfId="0" applyFont="1" applyFill="1" applyBorder="1" applyAlignment="1" applyProtection="1">
      <alignment horizontal="center"/>
      <protection hidden="1"/>
    </xf>
    <xf numFmtId="0" fontId="11" fillId="16" borderId="2" xfId="0" applyFont="1" applyFill="1" applyBorder="1" applyAlignment="1" applyProtection="1">
      <alignment horizontal="center"/>
      <protection hidden="1"/>
    </xf>
    <xf numFmtId="0" fontId="11" fillId="16" borderId="3" xfId="0" applyFont="1" applyFill="1" applyBorder="1" applyAlignment="1" applyProtection="1">
      <alignment horizontal="center"/>
      <protection hidden="1"/>
    </xf>
    <xf numFmtId="0" fontId="11" fillId="16" borderId="32" xfId="0" applyFont="1" applyFill="1" applyBorder="1" applyAlignment="1" applyProtection="1">
      <alignment horizontal="center"/>
      <protection hidden="1"/>
    </xf>
    <xf numFmtId="0" fontId="11" fillId="16" borderId="8" xfId="0" applyFont="1" applyFill="1" applyBorder="1" applyAlignment="1" applyProtection="1">
      <alignment horizontal="center"/>
      <protection hidden="1"/>
    </xf>
    <xf numFmtId="0" fontId="11" fillId="16" borderId="31" xfId="0" applyFont="1" applyFill="1" applyBorder="1" applyAlignment="1" applyProtection="1">
      <alignment horizontal="center"/>
      <protection hidden="1"/>
    </xf>
    <xf numFmtId="0" fontId="19" fillId="16" borderId="6" xfId="0" applyFont="1" applyFill="1" applyBorder="1" applyAlignment="1" applyProtection="1">
      <alignment horizontal="center"/>
      <protection hidden="1"/>
    </xf>
    <xf numFmtId="0" fontId="19" fillId="16" borderId="7" xfId="0" applyFont="1" applyFill="1" applyBorder="1" applyAlignment="1" applyProtection="1">
      <alignment horizontal="center"/>
      <protection hidden="1"/>
    </xf>
    <xf numFmtId="0" fontId="11" fillId="16" borderId="8" xfId="0" applyFont="1" applyFill="1" applyBorder="1" applyProtection="1">
      <protection hidden="1"/>
    </xf>
    <xf numFmtId="0" fontId="11" fillId="16" borderId="28" xfId="0" applyFont="1" applyFill="1" applyBorder="1" applyProtection="1">
      <protection hidden="1"/>
    </xf>
    <xf numFmtId="0" fontId="11" fillId="16" borderId="7" xfId="0" applyFont="1" applyFill="1" applyBorder="1" applyProtection="1">
      <protection hidden="1"/>
    </xf>
    <xf numFmtId="0" fontId="19" fillId="16" borderId="20" xfId="0" applyFont="1" applyFill="1" applyBorder="1" applyAlignment="1" applyProtection="1">
      <alignment horizontal="center"/>
      <protection hidden="1"/>
    </xf>
    <xf numFmtId="0" fontId="11" fillId="16" borderId="22" xfId="0" applyFont="1" applyFill="1" applyBorder="1" applyAlignment="1" applyProtection="1">
      <alignment horizontal="center"/>
      <protection hidden="1"/>
    </xf>
    <xf numFmtId="0" fontId="19" fillId="16" borderId="24" xfId="0" applyFont="1" applyFill="1" applyBorder="1" applyAlignment="1" applyProtection="1">
      <alignment horizontal="center"/>
      <protection hidden="1"/>
    </xf>
    <xf numFmtId="0" fontId="11" fillId="16" borderId="0" xfId="0" quotePrefix="1" applyFont="1" applyFill="1" applyAlignment="1" applyProtection="1">
      <alignment horizontal="center"/>
      <protection hidden="1"/>
    </xf>
    <xf numFmtId="0" fontId="11" fillId="16" borderId="7" xfId="0" applyFont="1" applyFill="1" applyBorder="1" applyAlignment="1" applyProtection="1">
      <alignment horizontal="center" vertical="center"/>
      <protection hidden="1"/>
    </xf>
    <xf numFmtId="0" fontId="11" fillId="16" borderId="5" xfId="0" applyFont="1" applyFill="1" applyBorder="1" applyProtection="1">
      <protection hidden="1"/>
    </xf>
    <xf numFmtId="0" fontId="11" fillId="16" borderId="19" xfId="0" applyFont="1" applyFill="1" applyBorder="1" applyAlignment="1" applyProtection="1">
      <alignment horizontal="center"/>
      <protection hidden="1"/>
    </xf>
    <xf numFmtId="0" fontId="11" fillId="16" borderId="11" xfId="0" applyFont="1" applyFill="1" applyBorder="1" applyAlignment="1" applyProtection="1">
      <alignment horizontal="center"/>
      <protection hidden="1"/>
    </xf>
    <xf numFmtId="0" fontId="19" fillId="16" borderId="8" xfId="0" applyFont="1" applyFill="1" applyBorder="1" applyAlignment="1" applyProtection="1">
      <alignment horizontal="center"/>
      <protection hidden="1"/>
    </xf>
    <xf numFmtId="0" fontId="11" fillId="16" borderId="30" xfId="0" applyFont="1" applyFill="1" applyBorder="1" applyProtection="1">
      <protection hidden="1"/>
    </xf>
    <xf numFmtId="0" fontId="11" fillId="16" borderId="29" xfId="0" applyFont="1" applyFill="1" applyBorder="1" applyProtection="1">
      <protection hidden="1"/>
    </xf>
    <xf numFmtId="0" fontId="3" fillId="3" borderId="12" xfId="0" applyFont="1" applyFill="1" applyBorder="1" applyProtection="1">
      <protection hidden="1"/>
    </xf>
    <xf numFmtId="0" fontId="1" fillId="3" borderId="12" xfId="0" applyFont="1" applyFill="1" applyBorder="1" applyAlignment="1" applyProtection="1">
      <alignment horizontal="center"/>
      <protection hidden="1"/>
    </xf>
    <xf numFmtId="0" fontId="3" fillId="20" borderId="12" xfId="0" applyFont="1" applyFill="1" applyBorder="1" applyProtection="1">
      <protection hidden="1"/>
    </xf>
    <xf numFmtId="0" fontId="2" fillId="20" borderId="12" xfId="0" applyFont="1" applyFill="1" applyBorder="1" applyAlignment="1" applyProtection="1">
      <alignment horizontal="center"/>
      <protection hidden="1"/>
    </xf>
    <xf numFmtId="0" fontId="2" fillId="8" borderId="12" xfId="0" applyFont="1" applyFill="1" applyBorder="1" applyAlignment="1" applyProtection="1">
      <alignment horizontal="center"/>
      <protection hidden="1"/>
    </xf>
    <xf numFmtId="0" fontId="2" fillId="5" borderId="12" xfId="0" applyFont="1" applyFill="1" applyBorder="1" applyAlignment="1" applyProtection="1">
      <alignment horizontal="center"/>
      <protection hidden="1"/>
    </xf>
    <xf numFmtId="0" fontId="0" fillId="0" borderId="12" xfId="0" applyBorder="1" applyProtection="1">
      <protection hidden="1"/>
    </xf>
    <xf numFmtId="0" fontId="0" fillId="8" borderId="12" xfId="0" applyFill="1" applyBorder="1" applyProtection="1">
      <protection hidden="1"/>
    </xf>
    <xf numFmtId="0" fontId="0" fillId="8" borderId="12" xfId="0" applyFill="1" applyBorder="1" applyAlignment="1" applyProtection="1">
      <alignment horizontal="center"/>
      <protection hidden="1"/>
    </xf>
    <xf numFmtId="0" fontId="11" fillId="0" borderId="12" xfId="0" applyFont="1" applyBorder="1" applyProtection="1">
      <protection hidden="1"/>
    </xf>
    <xf numFmtId="0" fontId="11" fillId="0" borderId="12" xfId="0" applyFont="1" applyBorder="1" applyAlignment="1" applyProtection="1">
      <alignment horizontal="center"/>
      <protection hidden="1"/>
    </xf>
    <xf numFmtId="0" fontId="19" fillId="16" borderId="4" xfId="0" applyFont="1" applyFill="1" applyBorder="1" applyAlignment="1" applyProtection="1">
      <alignment horizontal="center"/>
      <protection hidden="1"/>
    </xf>
    <xf numFmtId="0" fontId="19" fillId="16" borderId="0" xfId="0" applyFont="1" applyFill="1" applyAlignment="1" applyProtection="1">
      <alignment horizontal="center"/>
      <protection hidden="1"/>
    </xf>
    <xf numFmtId="0" fontId="19" fillId="16" borderId="5" xfId="0" applyFont="1" applyFill="1" applyBorder="1" applyAlignment="1" applyProtection="1">
      <alignment horizontal="center"/>
      <protection hidden="1"/>
    </xf>
    <xf numFmtId="0" fontId="19" fillId="16" borderId="1" xfId="0" applyFont="1" applyFill="1" applyBorder="1" applyAlignment="1" applyProtection="1">
      <alignment horizontal="center"/>
      <protection hidden="1"/>
    </xf>
    <xf numFmtId="0" fontId="19" fillId="16" borderId="2" xfId="0" applyFont="1" applyFill="1" applyBorder="1" applyAlignment="1" applyProtection="1">
      <alignment horizontal="center"/>
      <protection hidden="1"/>
    </xf>
    <xf numFmtId="0" fontId="19" fillId="16" borderId="3" xfId="0" applyFont="1" applyFill="1" applyBorder="1" applyAlignment="1" applyProtection="1">
      <alignment horizontal="center"/>
      <protection hidden="1"/>
    </xf>
    <xf numFmtId="0" fontId="0" fillId="12" borderId="5" xfId="0" applyFill="1" applyBorder="1" applyAlignment="1" applyProtection="1">
      <alignment horizontal="center" vertical="center"/>
      <protection hidden="1"/>
    </xf>
    <xf numFmtId="0" fontId="2" fillId="19" borderId="0" xfId="0" applyFont="1" applyFill="1" applyAlignment="1" applyProtection="1">
      <alignment horizontal="center"/>
      <protection locked="0" hidden="1"/>
    </xf>
    <xf numFmtId="0" fontId="0" fillId="12" borderId="5" xfId="0" applyFill="1" applyBorder="1" applyAlignment="1" applyProtection="1">
      <alignment horizontal="center" vertical="center"/>
      <protection locked="0" hidden="1"/>
    </xf>
    <xf numFmtId="0" fontId="0" fillId="9" borderId="0" xfId="0" applyFill="1" applyAlignment="1" applyProtection="1">
      <alignment horizontal="center"/>
      <protection locked="0" hidden="1"/>
    </xf>
    <xf numFmtId="0" fontId="26" fillId="0" borderId="0" xfId="0" applyFont="1" applyProtection="1">
      <protection locked="0" hidden="1"/>
    </xf>
    <xf numFmtId="0" fontId="0" fillId="0" borderId="3" xfId="0" applyBorder="1"/>
    <xf numFmtId="0" fontId="8" fillId="8" borderId="15" xfId="0" applyFont="1" applyFill="1" applyBorder="1" applyAlignment="1" applyProtection="1">
      <alignment vertical="center"/>
      <protection locked="0" hidden="1"/>
    </xf>
    <xf numFmtId="0" fontId="0" fillId="0" borderId="5" xfId="0" applyBorder="1"/>
    <xf numFmtId="0" fontId="0" fillId="0" borderId="8" xfId="0" applyBorder="1"/>
    <xf numFmtId="0" fontId="3" fillId="0" borderId="1" xfId="0" applyFont="1" applyBorder="1" applyAlignment="1" applyProtection="1">
      <alignment horizontal="center"/>
      <protection locked="0" hidden="1"/>
    </xf>
    <xf numFmtId="0" fontId="0" fillId="0" borderId="1" xfId="0" applyBorder="1"/>
    <xf numFmtId="0" fontId="0" fillId="0" borderId="4" xfId="0" applyBorder="1"/>
    <xf numFmtId="0" fontId="0" fillId="0" borderId="6" xfId="0" applyBorder="1"/>
    <xf numFmtId="0" fontId="0" fillId="21" borderId="73" xfId="0" applyFill="1" applyBorder="1"/>
    <xf numFmtId="0" fontId="0" fillId="21" borderId="74" xfId="0" applyFill="1" applyBorder="1"/>
    <xf numFmtId="0" fontId="27" fillId="22" borderId="73" xfId="0" applyFont="1" applyFill="1" applyBorder="1"/>
    <xf numFmtId="0" fontId="0" fillId="22" borderId="73" xfId="0" applyFill="1" applyBorder="1"/>
    <xf numFmtId="0" fontId="0" fillId="22" borderId="74" xfId="0" applyFill="1" applyBorder="1"/>
    <xf numFmtId="0" fontId="27" fillId="21" borderId="73" xfId="0" applyFont="1" applyFill="1" applyBorder="1"/>
    <xf numFmtId="0" fontId="0" fillId="22" borderId="75" xfId="0" applyFill="1" applyBorder="1"/>
    <xf numFmtId="0" fontId="30" fillId="22" borderId="73" xfId="0" applyFont="1" applyFill="1" applyBorder="1" applyAlignment="1">
      <alignment horizontal="center" vertical="center"/>
    </xf>
    <xf numFmtId="0" fontId="27" fillId="22" borderId="73" xfId="0" applyFont="1" applyFill="1" applyBorder="1" applyAlignment="1">
      <alignment horizontal="center"/>
    </xf>
    <xf numFmtId="0" fontId="27" fillId="21" borderId="73" xfId="0" applyFont="1" applyFill="1" applyBorder="1" applyAlignment="1">
      <alignment horizontal="center" wrapText="1"/>
    </xf>
    <xf numFmtId="0" fontId="32" fillId="22" borderId="73" xfId="0" applyFont="1" applyFill="1" applyBorder="1"/>
    <xf numFmtId="49" fontId="0" fillId="22" borderId="73" xfId="0" applyNumberFormat="1" applyFill="1" applyBorder="1" applyAlignment="1">
      <alignment horizontal="right"/>
    </xf>
    <xf numFmtId="0" fontId="0" fillId="21" borderId="73" xfId="0" applyFill="1" applyBorder="1" applyAlignment="1">
      <alignment horizontal="right"/>
    </xf>
    <xf numFmtId="49" fontId="0" fillId="21" borderId="73" xfId="0" applyNumberFormat="1" applyFill="1" applyBorder="1" applyAlignment="1">
      <alignment horizontal="right"/>
    </xf>
    <xf numFmtId="14" fontId="0" fillId="22" borderId="73" xfId="0" applyNumberFormat="1" applyFill="1" applyBorder="1" applyAlignment="1">
      <alignment horizontal="right"/>
    </xf>
    <xf numFmtId="0" fontId="0" fillId="22" borderId="73" xfId="0" applyFill="1" applyBorder="1" applyAlignment="1">
      <alignment horizontal="right"/>
    </xf>
    <xf numFmtId="0" fontId="0" fillId="22" borderId="75" xfId="0" applyFill="1" applyBorder="1" applyAlignment="1">
      <alignment horizontal="right"/>
    </xf>
    <xf numFmtId="0" fontId="0" fillId="0" borderId="0" xfId="0" applyAlignment="1">
      <alignment horizontal="right"/>
    </xf>
    <xf numFmtId="0" fontId="27" fillId="21" borderId="73" xfId="0" applyFont="1" applyFill="1" applyBorder="1" applyAlignment="1">
      <alignment horizontal="center"/>
    </xf>
    <xf numFmtId="0" fontId="32" fillId="22" borderId="73" xfId="0" applyFont="1" applyFill="1" applyBorder="1" applyAlignment="1">
      <alignment horizontal="center"/>
    </xf>
    <xf numFmtId="0" fontId="0" fillId="21" borderId="73" xfId="0" applyFill="1" applyBorder="1" applyAlignment="1">
      <alignment horizontal="center"/>
    </xf>
    <xf numFmtId="0" fontId="0" fillId="22" borderId="73" xfId="0" applyFill="1" applyBorder="1" applyAlignment="1">
      <alignment horizontal="center"/>
    </xf>
    <xf numFmtId="0" fontId="27" fillId="22" borderId="77" xfId="0" applyFont="1" applyFill="1" applyBorder="1" applyAlignment="1">
      <alignment horizontal="left"/>
    </xf>
    <xf numFmtId="0" fontId="27" fillId="22" borderId="78" xfId="0" applyFont="1" applyFill="1" applyBorder="1" applyAlignment="1">
      <alignment horizontal="left"/>
    </xf>
    <xf numFmtId="0" fontId="27" fillId="22" borderId="79" xfId="0" applyFont="1" applyFill="1" applyBorder="1" applyAlignment="1">
      <alignment horizontal="left"/>
    </xf>
    <xf numFmtId="0" fontId="0" fillId="21" borderId="73" xfId="0" applyFill="1" applyBorder="1" applyAlignment="1">
      <alignment horizontal="left"/>
    </xf>
    <xf numFmtId="0" fontId="0" fillId="22" borderId="73" xfId="0" applyFill="1" applyBorder="1" applyAlignment="1">
      <alignment horizontal="left"/>
    </xf>
    <xf numFmtId="0" fontId="31" fillId="22" borderId="73" xfId="0" applyFont="1" applyFill="1" applyBorder="1" applyAlignment="1">
      <alignment horizontal="left"/>
    </xf>
    <xf numFmtId="0" fontId="32" fillId="21" borderId="73" xfId="0" applyFont="1" applyFill="1" applyBorder="1" applyAlignment="1">
      <alignment horizontal="right"/>
    </xf>
    <xf numFmtId="2" fontId="0" fillId="21" borderId="73" xfId="0" applyNumberFormat="1" applyFill="1" applyBorder="1" applyAlignment="1">
      <alignment horizontal="right"/>
    </xf>
    <xf numFmtId="0" fontId="29" fillId="12" borderId="0" xfId="0" applyFont="1" applyFill="1"/>
    <xf numFmtId="0" fontId="31" fillId="21" borderId="73" xfId="0" applyFont="1" applyFill="1" applyBorder="1" applyAlignment="1">
      <alignment horizontal="left"/>
    </xf>
    <xf numFmtId="0" fontId="2" fillId="8" borderId="0" xfId="0" applyFont="1" applyFill="1" applyAlignment="1" applyProtection="1">
      <alignment horizontal="center"/>
      <protection locked="0" hidden="1"/>
    </xf>
    <xf numFmtId="0" fontId="1" fillId="0" borderId="2" xfId="0" applyFont="1" applyBorder="1" applyAlignment="1" applyProtection="1">
      <alignment horizontal="center"/>
      <protection locked="0" hidden="1"/>
    </xf>
    <xf numFmtId="0" fontId="2" fillId="8" borderId="4" xfId="0" applyFont="1" applyFill="1" applyBorder="1" applyAlignment="1" applyProtection="1">
      <alignment horizontal="center"/>
      <protection locked="0" hidden="1"/>
    </xf>
    <xf numFmtId="0" fontId="2" fillId="8" borderId="5" xfId="0" applyFont="1" applyFill="1" applyBorder="1" applyAlignment="1" applyProtection="1">
      <alignment horizontal="center"/>
      <protection locked="0" hidden="1"/>
    </xf>
    <xf numFmtId="0" fontId="1" fillId="0" borderId="12" xfId="0" applyFont="1" applyBorder="1" applyAlignment="1" applyProtection="1">
      <alignment horizontal="center"/>
      <protection locked="0" hidden="1"/>
    </xf>
    <xf numFmtId="0" fontId="2" fillId="8" borderId="10" xfId="0" applyFont="1" applyFill="1" applyBorder="1" applyAlignment="1" applyProtection="1">
      <alignment horizontal="center"/>
      <protection locked="0" hidden="1"/>
    </xf>
    <xf numFmtId="0" fontId="2" fillId="8" borderId="9" xfId="0" applyFont="1" applyFill="1" applyBorder="1" applyAlignment="1" applyProtection="1">
      <alignment horizontal="center"/>
      <protection locked="0" hidden="1"/>
    </xf>
    <xf numFmtId="0" fontId="2" fillId="8" borderId="11" xfId="0" applyFont="1" applyFill="1" applyBorder="1" applyAlignment="1" applyProtection="1">
      <alignment horizontal="center"/>
      <protection locked="0" hidden="1"/>
    </xf>
    <xf numFmtId="0" fontId="8" fillId="8" borderId="1" xfId="0" applyFont="1" applyFill="1" applyBorder="1" applyAlignment="1" applyProtection="1">
      <alignment horizontal="center"/>
      <protection locked="0" hidden="1"/>
    </xf>
    <xf numFmtId="0" fontId="8" fillId="8" borderId="2" xfId="0" applyFont="1" applyFill="1" applyBorder="1" applyAlignment="1" applyProtection="1">
      <alignment horizontal="center"/>
      <protection locked="0" hidden="1"/>
    </xf>
    <xf numFmtId="0" fontId="8" fillId="8" borderId="5" xfId="0" applyFont="1" applyFill="1" applyBorder="1" applyAlignment="1" applyProtection="1">
      <alignment horizontal="center"/>
      <protection locked="0" hidden="1"/>
    </xf>
    <xf numFmtId="0" fontId="2" fillId="7" borderId="0" xfId="0" applyFont="1" applyFill="1" applyAlignment="1" applyProtection="1">
      <alignment horizontal="center"/>
      <protection locked="0" hidden="1"/>
    </xf>
    <xf numFmtId="0" fontId="2" fillId="5" borderId="0" xfId="0" applyFont="1" applyFill="1" applyAlignment="1" applyProtection="1">
      <alignment horizontal="center"/>
      <protection locked="0" hidden="1"/>
    </xf>
    <xf numFmtId="0" fontId="1" fillId="2" borderId="1" xfId="0" applyFont="1" applyFill="1" applyBorder="1" applyAlignment="1" applyProtection="1">
      <alignment horizontal="center"/>
      <protection locked="0" hidden="1"/>
    </xf>
    <xf numFmtId="0" fontId="1" fillId="2" borderId="2" xfId="0" applyFont="1" applyFill="1" applyBorder="1" applyAlignment="1" applyProtection="1">
      <alignment horizontal="center"/>
      <protection locked="0" hidden="1"/>
    </xf>
    <xf numFmtId="0" fontId="1" fillId="2" borderId="3" xfId="0" applyFont="1" applyFill="1" applyBorder="1" applyAlignment="1" applyProtection="1">
      <alignment horizontal="center"/>
      <protection locked="0" hidden="1"/>
    </xf>
    <xf numFmtId="0" fontId="12" fillId="0" borderId="0" xfId="0" applyFont="1" applyAlignment="1" applyProtection="1">
      <alignment horizontal="center"/>
      <protection locked="0" hidden="1"/>
    </xf>
    <xf numFmtId="0" fontId="1" fillId="2" borderId="4" xfId="0" applyFont="1" applyFill="1" applyBorder="1" applyAlignment="1" applyProtection="1">
      <alignment horizontal="center"/>
      <protection locked="0" hidden="1"/>
    </xf>
    <xf numFmtId="0" fontId="1" fillId="2" borderId="0" xfId="0" applyFont="1" applyFill="1" applyAlignment="1" applyProtection="1">
      <alignment horizontal="center"/>
      <protection locked="0" hidden="1"/>
    </xf>
    <xf numFmtId="0" fontId="12" fillId="0" borderId="12" xfId="0" applyFont="1" applyBorder="1" applyAlignment="1" applyProtection="1">
      <alignment horizontal="center"/>
      <protection locked="0" hidden="1"/>
    </xf>
    <xf numFmtId="0" fontId="2" fillId="3" borderId="0" xfId="0" applyFont="1" applyFill="1" applyAlignment="1" applyProtection="1">
      <alignment horizontal="center"/>
      <protection locked="0" hidden="1"/>
    </xf>
    <xf numFmtId="0" fontId="8" fillId="8" borderId="72" xfId="0" applyFont="1" applyFill="1" applyBorder="1" applyAlignment="1" applyProtection="1">
      <alignment horizontal="center" vertical="center"/>
      <protection locked="0" hidden="1"/>
    </xf>
    <xf numFmtId="0" fontId="8" fillId="8" borderId="57" xfId="0" applyFont="1" applyFill="1" applyBorder="1" applyAlignment="1" applyProtection="1">
      <alignment horizontal="center" vertical="center"/>
      <protection locked="0" hidden="1"/>
    </xf>
    <xf numFmtId="0" fontId="8" fillId="8" borderId="72" xfId="0" applyFont="1" applyFill="1" applyBorder="1" applyAlignment="1" applyProtection="1">
      <alignment horizontal="center" vertical="center" wrapText="1"/>
      <protection locked="0" hidden="1"/>
    </xf>
    <xf numFmtId="0" fontId="8" fillId="8" borderId="38" xfId="0" applyFont="1" applyFill="1" applyBorder="1" applyAlignment="1" applyProtection="1">
      <alignment horizontal="center" vertical="center" wrapText="1"/>
      <protection locked="0" hidden="1"/>
    </xf>
    <xf numFmtId="0" fontId="8" fillId="8" borderId="33" xfId="0" applyFont="1" applyFill="1" applyBorder="1" applyAlignment="1" applyProtection="1">
      <alignment horizontal="center" vertical="center"/>
      <protection locked="0" hidden="1"/>
    </xf>
    <xf numFmtId="0" fontId="8" fillId="8" borderId="71" xfId="0" applyFont="1" applyFill="1" applyBorder="1" applyAlignment="1" applyProtection="1">
      <alignment horizontal="center" vertical="center"/>
      <protection locked="0" hidden="1"/>
    </xf>
    <xf numFmtId="0" fontId="8" fillId="8" borderId="35" xfId="0" applyFont="1" applyFill="1" applyBorder="1" applyAlignment="1" applyProtection="1">
      <alignment horizontal="center" vertical="center"/>
      <protection locked="0" hidden="1"/>
    </xf>
    <xf numFmtId="0" fontId="8" fillId="8" borderId="3" xfId="0" applyFont="1" applyFill="1" applyBorder="1" applyAlignment="1" applyProtection="1">
      <alignment horizontal="center"/>
      <protection locked="0" hidden="1"/>
    </xf>
    <xf numFmtId="0" fontId="1" fillId="2" borderId="1" xfId="0" applyFont="1" applyFill="1" applyBorder="1" applyAlignment="1" applyProtection="1">
      <alignment horizontal="center" vertical="center"/>
      <protection locked="0" hidden="1"/>
    </xf>
    <xf numFmtId="0" fontId="1" fillId="2" borderId="3" xfId="0" applyFont="1" applyFill="1" applyBorder="1" applyAlignment="1" applyProtection="1">
      <alignment horizontal="center" vertical="center"/>
      <protection locked="0" hidden="1"/>
    </xf>
    <xf numFmtId="0" fontId="1" fillId="2" borderId="60" xfId="0" applyFont="1" applyFill="1" applyBorder="1" applyAlignment="1" applyProtection="1">
      <alignment horizontal="center" vertical="center" wrapText="1"/>
      <protection locked="0" hidden="1"/>
    </xf>
    <xf numFmtId="0" fontId="1" fillId="2" borderId="55" xfId="0" applyFont="1" applyFill="1" applyBorder="1" applyAlignment="1" applyProtection="1">
      <alignment horizontal="center" vertical="center" wrapText="1"/>
      <protection locked="0" hidden="1"/>
    </xf>
    <xf numFmtId="0" fontId="2" fillId="8" borderId="0" xfId="0" applyFont="1" applyFill="1" applyAlignment="1" applyProtection="1">
      <alignment horizontal="center" vertical="center"/>
      <protection locked="0" hidden="1"/>
    </xf>
    <xf numFmtId="0" fontId="2" fillId="8" borderId="5" xfId="0" applyFont="1" applyFill="1" applyBorder="1" applyAlignment="1" applyProtection="1">
      <alignment horizontal="center" vertical="center"/>
      <protection locked="0" hidden="1"/>
    </xf>
    <xf numFmtId="0" fontId="2" fillId="7" borderId="0" xfId="0" applyFont="1" applyFill="1" applyAlignment="1" applyProtection="1">
      <alignment horizontal="center" vertical="center"/>
      <protection locked="0" hidden="1"/>
    </xf>
    <xf numFmtId="0" fontId="2" fillId="5" borderId="0" xfId="0" applyFont="1" applyFill="1" applyAlignment="1" applyProtection="1">
      <alignment horizontal="center" vertical="center"/>
      <protection locked="0" hidden="1"/>
    </xf>
    <xf numFmtId="0" fontId="2" fillId="5" borderId="5" xfId="0" applyFont="1" applyFill="1" applyBorder="1" applyAlignment="1" applyProtection="1">
      <alignment horizontal="center" vertical="center"/>
      <protection locked="0" hidden="1"/>
    </xf>
    <xf numFmtId="0" fontId="1" fillId="20" borderId="10" xfId="0" applyFont="1" applyFill="1" applyBorder="1" applyAlignment="1" applyProtection="1">
      <alignment horizontal="center" vertical="center"/>
      <protection locked="0" hidden="1"/>
    </xf>
    <xf numFmtId="0" fontId="1" fillId="20" borderId="11" xfId="0" applyFont="1" applyFill="1" applyBorder="1" applyAlignment="1" applyProtection="1">
      <alignment horizontal="center" vertical="center"/>
      <protection locked="0" hidden="1"/>
    </xf>
    <xf numFmtId="0" fontId="1" fillId="3" borderId="10" xfId="0" applyFont="1" applyFill="1" applyBorder="1" applyAlignment="1" applyProtection="1">
      <alignment horizontal="center" vertical="center"/>
      <protection locked="0" hidden="1"/>
    </xf>
    <xf numFmtId="0" fontId="1" fillId="3" borderId="11" xfId="0" applyFont="1" applyFill="1" applyBorder="1" applyAlignment="1" applyProtection="1">
      <alignment horizontal="center" vertical="center"/>
      <protection locked="0" hidden="1"/>
    </xf>
    <xf numFmtId="0" fontId="25" fillId="0" borderId="0" xfId="0" applyFont="1" applyAlignment="1" applyProtection="1">
      <alignment horizontal="center"/>
      <protection locked="0" hidden="1"/>
    </xf>
    <xf numFmtId="0" fontId="2" fillId="0" borderId="70" xfId="0" applyFont="1" applyBorder="1" applyAlignment="1" applyProtection="1">
      <alignment horizontal="center"/>
      <protection hidden="1"/>
    </xf>
    <xf numFmtId="0" fontId="3" fillId="0" borderId="12" xfId="0" applyFont="1" applyBorder="1" applyAlignment="1" applyProtection="1">
      <alignment horizontal="center"/>
      <protection hidden="1"/>
    </xf>
    <xf numFmtId="0" fontId="2" fillId="0" borderId="45" xfId="0" applyFont="1" applyBorder="1" applyAlignment="1" applyProtection="1">
      <alignment horizontal="center" vertical="center"/>
      <protection hidden="1"/>
    </xf>
    <xf numFmtId="0" fontId="2" fillId="0" borderId="32" xfId="0" applyFont="1" applyBorder="1" applyAlignment="1" applyProtection="1">
      <alignment horizontal="center" vertical="center"/>
      <protection hidden="1"/>
    </xf>
    <xf numFmtId="0" fontId="2" fillId="8" borderId="12" xfId="0" applyFont="1" applyFill="1" applyBorder="1" applyAlignment="1" applyProtection="1">
      <alignment horizontal="center"/>
      <protection hidden="1"/>
    </xf>
    <xf numFmtId="0" fontId="2" fillId="7" borderId="12" xfId="0" applyFont="1" applyFill="1" applyBorder="1" applyAlignment="1" applyProtection="1">
      <alignment horizontal="center"/>
      <protection hidden="1"/>
    </xf>
    <xf numFmtId="0" fontId="2" fillId="5" borderId="12" xfId="0" applyFont="1" applyFill="1" applyBorder="1" applyAlignment="1" applyProtection="1">
      <alignment horizontal="center"/>
      <protection hidden="1"/>
    </xf>
    <xf numFmtId="0" fontId="1" fillId="2" borderId="1" xfId="0" applyFont="1" applyFill="1" applyBorder="1" applyAlignment="1" applyProtection="1">
      <alignment horizontal="center" vertical="center"/>
      <protection hidden="1"/>
    </xf>
    <xf numFmtId="0" fontId="1" fillId="2" borderId="2" xfId="0" applyFont="1" applyFill="1" applyBorder="1" applyAlignment="1" applyProtection="1">
      <alignment horizontal="center" vertical="center"/>
      <protection hidden="1"/>
    </xf>
    <xf numFmtId="0" fontId="1" fillId="2" borderId="60" xfId="0" applyFont="1" applyFill="1" applyBorder="1" applyAlignment="1" applyProtection="1">
      <alignment horizontal="center" vertical="center" wrapText="1"/>
      <protection hidden="1"/>
    </xf>
    <xf numFmtId="0" fontId="1" fillId="2" borderId="35" xfId="0" applyFont="1" applyFill="1" applyBorder="1" applyAlignment="1" applyProtection="1">
      <alignment horizontal="center" vertical="center" wrapText="1"/>
      <protection hidden="1"/>
    </xf>
    <xf numFmtId="0" fontId="1" fillId="13" borderId="10" xfId="0" applyFont="1" applyFill="1" applyBorder="1" applyAlignment="1" applyProtection="1">
      <alignment horizontal="center" vertical="center"/>
      <protection hidden="1"/>
    </xf>
    <xf numFmtId="0" fontId="1" fillId="13" borderId="11" xfId="0" applyFont="1" applyFill="1" applyBorder="1" applyAlignment="1" applyProtection="1">
      <alignment horizontal="center" vertical="center"/>
      <protection hidden="1"/>
    </xf>
    <xf numFmtId="0" fontId="1" fillId="13" borderId="9" xfId="0" applyFont="1" applyFill="1" applyBorder="1" applyAlignment="1" applyProtection="1">
      <alignment horizontal="center" vertical="center"/>
      <protection hidden="1"/>
    </xf>
    <xf numFmtId="0" fontId="0" fillId="0" borderId="17" xfId="0" applyBorder="1" applyAlignment="1" applyProtection="1">
      <alignment horizontal="center"/>
      <protection locked="0" hidden="1"/>
    </xf>
    <xf numFmtId="0" fontId="0" fillId="0" borderId="18" xfId="0" applyBorder="1" applyAlignment="1" applyProtection="1">
      <alignment horizontal="center"/>
      <protection locked="0" hidden="1"/>
    </xf>
    <xf numFmtId="0" fontId="0" fillId="0" borderId="56" xfId="0" applyBorder="1" applyAlignment="1" applyProtection="1">
      <alignment horizontal="center"/>
      <protection locked="0" hidden="1"/>
    </xf>
    <xf numFmtId="0" fontId="0" fillId="0" borderId="14" xfId="0" applyBorder="1" applyAlignment="1" applyProtection="1">
      <alignment horizontal="center"/>
      <protection locked="0" hidden="1"/>
    </xf>
    <xf numFmtId="0" fontId="1" fillId="13" borderId="10" xfId="0" applyFont="1" applyFill="1" applyBorder="1" applyAlignment="1" applyProtection="1">
      <alignment horizontal="center" vertical="center"/>
      <protection locked="0" hidden="1"/>
    </xf>
    <xf numFmtId="0" fontId="1" fillId="13" borderId="11" xfId="0" applyFont="1" applyFill="1" applyBorder="1" applyAlignment="1" applyProtection="1">
      <alignment horizontal="center" vertical="center"/>
      <protection locked="0" hidden="1"/>
    </xf>
    <xf numFmtId="0" fontId="1" fillId="13" borderId="9" xfId="0" applyFont="1" applyFill="1" applyBorder="1" applyAlignment="1" applyProtection="1">
      <alignment horizontal="center" vertical="center"/>
      <protection locked="0" hidden="1"/>
    </xf>
    <xf numFmtId="0" fontId="19" fillId="16" borderId="4" xfId="0" applyFont="1" applyFill="1" applyBorder="1" applyAlignment="1" applyProtection="1">
      <alignment horizontal="center"/>
      <protection hidden="1"/>
    </xf>
    <xf numFmtId="0" fontId="19" fillId="16" borderId="0" xfId="0" applyFont="1" applyFill="1" applyAlignment="1" applyProtection="1">
      <alignment horizontal="center"/>
      <protection hidden="1"/>
    </xf>
    <xf numFmtId="0" fontId="19" fillId="16" borderId="5" xfId="0" applyFont="1" applyFill="1" applyBorder="1" applyAlignment="1" applyProtection="1">
      <alignment horizontal="center"/>
      <protection hidden="1"/>
    </xf>
    <xf numFmtId="0" fontId="19" fillId="16" borderId="10" xfId="0" applyFont="1" applyFill="1" applyBorder="1" applyAlignment="1" applyProtection="1">
      <alignment horizontal="center"/>
      <protection hidden="1"/>
    </xf>
    <xf numFmtId="0" fontId="19" fillId="16" borderId="9" xfId="0" applyFont="1" applyFill="1" applyBorder="1" applyAlignment="1" applyProtection="1">
      <alignment horizontal="center"/>
      <protection hidden="1"/>
    </xf>
    <xf numFmtId="0" fontId="19" fillId="16" borderId="11" xfId="0" applyFont="1" applyFill="1" applyBorder="1" applyAlignment="1" applyProtection="1">
      <alignment horizontal="center"/>
      <protection hidden="1"/>
    </xf>
    <xf numFmtId="0" fontId="19" fillId="16" borderId="1" xfId="0" applyFont="1" applyFill="1" applyBorder="1" applyAlignment="1" applyProtection="1">
      <alignment horizontal="center"/>
      <protection hidden="1"/>
    </xf>
    <xf numFmtId="0" fontId="19" fillId="16" borderId="2" xfId="0" applyFont="1" applyFill="1" applyBorder="1" applyAlignment="1" applyProtection="1">
      <alignment horizontal="center"/>
      <protection hidden="1"/>
    </xf>
    <xf numFmtId="0" fontId="19" fillId="16" borderId="3" xfId="0" applyFont="1" applyFill="1" applyBorder="1" applyAlignment="1" applyProtection="1">
      <alignment horizontal="center"/>
      <protection hidden="1"/>
    </xf>
    <xf numFmtId="0" fontId="24" fillId="16" borderId="0" xfId="0" applyFont="1" applyFill="1" applyAlignment="1" applyProtection="1">
      <alignment horizontal="center"/>
      <protection hidden="1"/>
    </xf>
    <xf numFmtId="0" fontId="29" fillId="12" borderId="0" xfId="0" applyFont="1" applyFill="1" applyAlignment="1">
      <alignment horizontal="center"/>
    </xf>
    <xf numFmtId="0" fontId="28" fillId="21" borderId="4" xfId="0" applyFont="1" applyFill="1" applyBorder="1" applyAlignment="1">
      <alignment horizontal="center"/>
    </xf>
    <xf numFmtId="0" fontId="28" fillId="21" borderId="0" xfId="0" applyFont="1" applyFill="1" applyAlignment="1">
      <alignment horizontal="center"/>
    </xf>
    <xf numFmtId="0" fontId="30" fillId="22" borderId="76" xfId="0" applyFont="1" applyFill="1" applyBorder="1" applyAlignment="1">
      <alignment horizontal="center" vertical="center"/>
    </xf>
    <xf numFmtId="0" fontId="30" fillId="22" borderId="74" xfId="0" applyFont="1" applyFill="1" applyBorder="1" applyAlignment="1">
      <alignment horizontal="center" vertical="center"/>
    </xf>
    <xf numFmtId="0" fontId="30" fillId="22" borderId="73" xfId="0" applyFont="1" applyFill="1" applyBorder="1" applyAlignment="1">
      <alignment horizontal="center" vertical="center"/>
    </xf>
    <xf numFmtId="0" fontId="33" fillId="21" borderId="77" xfId="0" applyFont="1" applyFill="1" applyBorder="1" applyAlignment="1">
      <alignment horizontal="center"/>
    </xf>
    <xf numFmtId="0" fontId="33" fillId="21" borderId="78" xfId="0" applyFont="1" applyFill="1" applyBorder="1" applyAlignment="1">
      <alignment horizontal="center"/>
    </xf>
    <xf numFmtId="0" fontId="33" fillId="21" borderId="79" xfId="0" applyFont="1" applyFill="1" applyBorder="1" applyAlignment="1">
      <alignment horizontal="center"/>
    </xf>
    <xf numFmtId="0" fontId="27" fillId="21" borderId="77" xfId="0" applyFont="1" applyFill="1" applyBorder="1" applyAlignment="1">
      <alignment horizontal="center"/>
    </xf>
    <xf numFmtId="0" fontId="27" fillId="21" borderId="79" xfId="0" applyFont="1" applyFill="1" applyBorder="1" applyAlignment="1">
      <alignment horizontal="center"/>
    </xf>
    <xf numFmtId="0" fontId="27" fillId="22" borderId="77" xfId="0" applyFont="1" applyFill="1" applyBorder="1" applyAlignment="1">
      <alignment horizontal="center"/>
    </xf>
    <xf numFmtId="0" fontId="27" fillId="22" borderId="79" xfId="0" applyFont="1" applyFill="1" applyBorder="1" applyAlignment="1">
      <alignment horizontal="center"/>
    </xf>
    <xf numFmtId="0" fontId="0" fillId="21" borderId="77" xfId="0" applyFill="1" applyBorder="1" applyAlignment="1">
      <alignment horizontal="center"/>
    </xf>
    <xf numFmtId="0" fontId="0" fillId="21" borderId="78" xfId="0" applyFill="1" applyBorder="1" applyAlignment="1">
      <alignment horizontal="center"/>
    </xf>
    <xf numFmtId="0" fontId="0" fillId="22" borderId="77" xfId="0" applyFill="1" applyBorder="1" applyAlignment="1">
      <alignment horizontal="center"/>
    </xf>
    <xf numFmtId="0" fontId="0" fillId="22" borderId="78" xfId="0" applyFill="1" applyBorder="1" applyAlignment="1">
      <alignment horizontal="center"/>
    </xf>
  </cellXfs>
  <cellStyles count="2">
    <cellStyle name="Hyperlink" xfId="1" builtinId="8"/>
    <cellStyle name="Normal" xfId="0" builtinId="0"/>
  </cellStyles>
  <dxfs count="340">
    <dxf>
      <font>
        <color rgb="FF006100"/>
      </font>
      <fill>
        <patternFill>
          <bgColor rgb="FFC6EFCE"/>
        </patternFill>
      </fill>
    </dxf>
    <dxf>
      <font>
        <color rgb="FF006100"/>
      </font>
      <fill>
        <patternFill>
          <bgColor rgb="FFC6EFCE"/>
        </patternFill>
      </fill>
    </dxf>
    <dxf>
      <fill>
        <patternFill>
          <bgColor theme="4" tint="0.59996337778862885"/>
        </patternFill>
      </fill>
    </dxf>
    <dxf>
      <fill>
        <patternFill>
          <bgColor theme="7" tint="0.39994506668294322"/>
        </patternFill>
      </fill>
    </dxf>
    <dxf>
      <font>
        <color rgb="FF9C0006"/>
      </font>
      <fill>
        <patternFill>
          <bgColor rgb="FFFFC7CE"/>
        </patternFill>
      </fill>
    </dxf>
    <dxf>
      <fill>
        <patternFill>
          <bgColor rgb="FFFF99FF"/>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ill>
        <patternFill>
          <bgColor rgb="FFFF66CC"/>
        </patternFill>
      </fill>
    </dxf>
    <dxf>
      <fill>
        <patternFill>
          <bgColor rgb="FFFF66CC"/>
        </patternFill>
      </fill>
    </dxf>
    <dxf>
      <fill>
        <patternFill>
          <bgColor rgb="FF00B050"/>
        </patternFill>
      </fill>
    </dxf>
    <dxf>
      <fill>
        <patternFill>
          <bgColor rgb="FF00B050"/>
        </patternFill>
      </fill>
    </dxf>
    <dxf>
      <fill>
        <patternFill>
          <bgColor rgb="FF00B0F0"/>
        </patternFill>
      </fill>
    </dxf>
    <dxf>
      <fill>
        <patternFill>
          <bgColor rgb="FF00B0F0"/>
        </patternFill>
      </fill>
    </dxf>
    <dxf>
      <fill>
        <patternFill>
          <bgColor rgb="FFFF66CC"/>
        </patternFill>
      </fill>
    </dxf>
    <dxf>
      <fill>
        <patternFill>
          <bgColor rgb="FF00B0F0"/>
        </patternFill>
      </fill>
    </dxf>
    <dxf>
      <fill>
        <patternFill>
          <bgColor rgb="FF00B05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66CC"/>
        </patternFill>
      </fill>
    </dxf>
    <dxf>
      <fill>
        <patternFill>
          <bgColor rgb="FFFF66CC"/>
        </patternFill>
      </fill>
    </dxf>
    <dxf>
      <fill>
        <patternFill>
          <bgColor rgb="FFFF66CC"/>
        </patternFill>
      </fill>
    </dxf>
    <dxf>
      <fill>
        <patternFill>
          <bgColor rgb="FF00B0F0"/>
        </patternFill>
      </fill>
    </dxf>
    <dxf>
      <font>
        <color rgb="FF9C0006"/>
      </font>
      <fill>
        <patternFill>
          <bgColor rgb="FFFFC7CE"/>
        </patternFill>
      </fill>
    </dxf>
    <dxf>
      <font>
        <color rgb="FFFF0000"/>
      </font>
      <fill>
        <patternFill>
          <bgColor rgb="FFFF00FF"/>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66CC"/>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50"/>
        </patternFill>
      </fill>
    </dxf>
    <dxf>
      <fill>
        <patternFill>
          <bgColor rgb="FF00B050"/>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00B050"/>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00B050"/>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ill>
        <patternFill>
          <bgColor rgb="FF00B050"/>
        </patternFill>
      </fill>
    </dxf>
    <dxf>
      <fill>
        <patternFill>
          <bgColor rgb="FF00B050"/>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ill>
        <patternFill>
          <bgColor rgb="FF00B050"/>
        </patternFill>
      </fill>
    </dxf>
    <dxf>
      <fill>
        <patternFill>
          <bgColor rgb="FF00B050"/>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ill>
        <patternFill>
          <bgColor theme="9" tint="0.39994506668294322"/>
        </patternFill>
      </fill>
    </dxf>
    <dxf>
      <fill>
        <patternFill>
          <bgColor theme="7" tint="0.39994506668294322"/>
        </patternFill>
      </fill>
    </dxf>
    <dxf>
      <fill>
        <patternFill>
          <bgColor rgb="FF00B0F0"/>
        </patternFill>
      </fill>
    </dxf>
    <dxf>
      <fill>
        <patternFill>
          <bgColor rgb="FF92D050"/>
        </patternFill>
      </fill>
    </dxf>
    <dxf>
      <fill>
        <patternFill>
          <bgColor rgb="FF92D050"/>
        </patternFill>
      </fill>
    </dxf>
    <dxf>
      <fill>
        <patternFill>
          <bgColor rgb="FF00B050"/>
        </patternFill>
      </fill>
    </dxf>
    <dxf>
      <font>
        <color rgb="FF9C0006"/>
      </font>
      <fill>
        <patternFill>
          <bgColor rgb="FFFFC7CE"/>
        </patternFill>
      </fill>
    </dxf>
    <dxf>
      <font>
        <color rgb="FFFF0000"/>
      </font>
      <fill>
        <patternFill>
          <bgColor rgb="FFFF00FF"/>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4" tint="0.59996337778862885"/>
        </patternFill>
      </fill>
    </dxf>
    <dxf>
      <fill>
        <patternFill>
          <bgColor theme="7" tint="0.39994506668294322"/>
        </patternFill>
      </fill>
    </dxf>
    <dxf>
      <font>
        <color rgb="FF9C0006"/>
      </font>
      <fill>
        <patternFill>
          <bgColor rgb="FFFFC7CE"/>
        </patternFill>
      </fill>
    </dxf>
    <dxf>
      <fill>
        <patternFill>
          <bgColor rgb="FFFF99FF"/>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4" tint="0.59996337778862885"/>
        </patternFill>
      </fill>
    </dxf>
    <dxf>
      <fill>
        <patternFill>
          <bgColor theme="7" tint="0.39994506668294322"/>
        </patternFill>
      </fill>
    </dxf>
    <dxf>
      <font>
        <color rgb="FF9C0006"/>
      </font>
      <fill>
        <patternFill>
          <bgColor rgb="FFFFC7CE"/>
        </patternFill>
      </fill>
    </dxf>
    <dxf>
      <fill>
        <patternFill>
          <bgColor rgb="FFFF99FF"/>
        </patternFill>
      </fill>
    </dxf>
    <dxf>
      <fill>
        <patternFill>
          <bgColor rgb="FF92D050"/>
        </patternFill>
      </fill>
    </dxf>
    <dxf>
      <fill>
        <patternFill>
          <bgColor rgb="FF92D050"/>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theme="7" tint="0.59996337778862885"/>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rgb="FF00B0F0"/>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006100"/>
      </font>
      <fill>
        <patternFill>
          <bgColor rgb="FFC6EFCE"/>
        </patternFill>
      </fill>
    </dxf>
    <dxf>
      <font>
        <color rgb="FF006100"/>
      </font>
      <fill>
        <patternFill>
          <bgColor rgb="FFC6EFCE"/>
        </patternFill>
      </fill>
    </dxf>
    <dxf>
      <fill>
        <patternFill>
          <bgColor theme="4" tint="0.59996337778862885"/>
        </patternFill>
      </fill>
    </dxf>
    <dxf>
      <fill>
        <patternFill>
          <bgColor theme="7" tint="0.39994506668294322"/>
        </patternFill>
      </fill>
    </dxf>
    <dxf>
      <font>
        <color rgb="FF9C0006"/>
      </font>
      <fill>
        <patternFill>
          <bgColor rgb="FFFFC7CE"/>
        </patternFill>
      </fill>
    </dxf>
    <dxf>
      <fill>
        <patternFill>
          <bgColor rgb="FFFF99FF"/>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66CC"/>
        </patternFill>
      </fill>
    </dxf>
    <dxf>
      <fill>
        <patternFill>
          <bgColor rgb="FFFF66CC"/>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FF0000"/>
      </font>
      <fill>
        <patternFill>
          <bgColor rgb="FFFF00FF"/>
        </patternFill>
      </fill>
    </dxf>
    <dxf>
      <font>
        <color rgb="FFFF0000"/>
      </font>
      <fill>
        <patternFill>
          <bgColor rgb="FFFF00FF"/>
        </patternFill>
      </fill>
    </dxf>
    <dxf>
      <font>
        <color rgb="FF9C0006"/>
      </font>
      <fill>
        <patternFill>
          <bgColor rgb="FFFFC7CE"/>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s>
  <tableStyles count="0" defaultTableStyle="TableStyleMedium2" defaultPivotStyle="PivotStyleLight16"/>
  <colors>
    <mruColors>
      <color rgb="FFFF99FF"/>
      <color rgb="FFFF00FF"/>
      <color rgb="FFFF9966"/>
      <color rgb="FFFF66CC"/>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19</xdr:col>
      <xdr:colOff>31749</xdr:colOff>
      <xdr:row>25</xdr:row>
      <xdr:rowOff>179916</xdr:rowOff>
    </xdr:from>
    <xdr:to>
      <xdr:col>23</xdr:col>
      <xdr:colOff>503766</xdr:colOff>
      <xdr:row>42</xdr:row>
      <xdr:rowOff>123392</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84" t="4445" r="6211" b="9167"/>
        <a:stretch/>
      </xdr:blipFill>
      <xdr:spPr bwMode="auto">
        <a:xfrm>
          <a:off x="8064499" y="5630333"/>
          <a:ext cx="3657600" cy="324547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59999389629810485"/>
  </sheetPr>
  <dimension ref="B1:J17"/>
  <sheetViews>
    <sheetView topLeftCell="C1" workbookViewId="0">
      <selection activeCell="C4" sqref="C4"/>
    </sheetView>
  </sheetViews>
  <sheetFormatPr defaultRowHeight="14.4" x14ac:dyDescent="0.3"/>
  <cols>
    <col min="2" max="2" width="6.77734375" style="1" bestFit="1" customWidth="1"/>
    <col min="3" max="3" width="62.77734375" style="439" customWidth="1"/>
    <col min="6" max="6" width="19.21875" customWidth="1"/>
    <col min="7" max="7" width="62.5546875" customWidth="1"/>
    <col min="8" max="8" width="9.44140625" customWidth="1"/>
    <col min="9" max="9" width="9.21875" style="442"/>
    <col min="10" max="10" width="57.44140625" style="439" customWidth="1"/>
    <col min="12" max="12" width="11.77734375" bestFit="1" customWidth="1"/>
  </cols>
  <sheetData>
    <row r="1" spans="2:10" ht="15" thickBot="1" x14ac:dyDescent="0.35"/>
    <row r="2" spans="2:10" ht="15" thickBot="1" x14ac:dyDescent="0.35">
      <c r="B2" s="437" t="s">
        <v>105</v>
      </c>
      <c r="C2" s="448" t="s">
        <v>106</v>
      </c>
      <c r="D2" s="438"/>
      <c r="I2" s="443" t="s">
        <v>105</v>
      </c>
      <c r="J2" s="444" t="s">
        <v>229</v>
      </c>
    </row>
    <row r="3" spans="2:10" ht="29.4" thickBot="1" x14ac:dyDescent="0.35">
      <c r="B3" s="435">
        <v>1</v>
      </c>
      <c r="C3" s="449" t="s">
        <v>97</v>
      </c>
      <c r="D3" s="436"/>
      <c r="F3" s="446" t="s">
        <v>217</v>
      </c>
      <c r="G3" s="447" t="s">
        <v>219</v>
      </c>
      <c r="H3" s="440"/>
      <c r="I3" s="443">
        <v>1</v>
      </c>
      <c r="J3" s="445" t="s">
        <v>230</v>
      </c>
    </row>
    <row r="4" spans="2:10" ht="172.8" x14ac:dyDescent="0.3">
      <c r="B4" s="4">
        <v>2</v>
      </c>
      <c r="C4" s="2" t="s">
        <v>212</v>
      </c>
      <c r="D4" s="5"/>
      <c r="F4" s="427" t="s">
        <v>218</v>
      </c>
      <c r="G4" s="426" t="s">
        <v>228</v>
      </c>
      <c r="H4" s="441"/>
      <c r="I4" s="443">
        <v>2</v>
      </c>
      <c r="J4" s="445" t="s">
        <v>231</v>
      </c>
    </row>
    <row r="5" spans="2:10" ht="57.6" x14ac:dyDescent="0.3">
      <c r="B5" s="4">
        <v>3</v>
      </c>
      <c r="C5" s="432" t="s">
        <v>213</v>
      </c>
      <c r="D5" s="5"/>
      <c r="F5" s="428" t="s">
        <v>220</v>
      </c>
      <c r="G5" s="424" t="s">
        <v>221</v>
      </c>
      <c r="H5" s="441"/>
      <c r="I5" s="443">
        <v>3</v>
      </c>
      <c r="J5" s="445" t="s">
        <v>232</v>
      </c>
    </row>
    <row r="6" spans="2:10" ht="72" x14ac:dyDescent="0.3">
      <c r="B6" s="4">
        <v>4</v>
      </c>
      <c r="C6" s="2" t="s">
        <v>214</v>
      </c>
      <c r="D6" s="379"/>
      <c r="F6" s="429" t="s">
        <v>222</v>
      </c>
      <c r="G6" s="424" t="s">
        <v>227</v>
      </c>
      <c r="H6" s="441"/>
      <c r="I6" s="443">
        <v>4</v>
      </c>
      <c r="J6" s="445" t="s">
        <v>233</v>
      </c>
    </row>
    <row r="7" spans="2:10" ht="57.6" x14ac:dyDescent="0.3">
      <c r="B7" s="4">
        <v>5</v>
      </c>
      <c r="C7" s="2" t="s">
        <v>107</v>
      </c>
      <c r="D7" s="8"/>
      <c r="F7" s="430" t="s">
        <v>223</v>
      </c>
      <c r="G7" s="424" t="s">
        <v>224</v>
      </c>
      <c r="H7" s="441"/>
      <c r="I7" s="443">
        <v>5</v>
      </c>
      <c r="J7" s="445" t="s">
        <v>234</v>
      </c>
    </row>
    <row r="8" spans="2:10" ht="43.8" thickBot="1" x14ac:dyDescent="0.35">
      <c r="B8" s="4">
        <v>6</v>
      </c>
      <c r="C8" s="2" t="s">
        <v>171</v>
      </c>
      <c r="D8" s="5"/>
      <c r="F8" s="431" t="s">
        <v>225</v>
      </c>
      <c r="G8" s="425" t="s">
        <v>226</v>
      </c>
      <c r="H8" s="441"/>
      <c r="I8" s="443">
        <v>6</v>
      </c>
      <c r="J8" s="445" t="s">
        <v>235</v>
      </c>
    </row>
    <row r="9" spans="2:10" ht="43.2" x14ac:dyDescent="0.3">
      <c r="B9" s="4">
        <v>7</v>
      </c>
      <c r="C9" s="2" t="s">
        <v>215</v>
      </c>
      <c r="D9" s="6" t="s">
        <v>98</v>
      </c>
      <c r="I9" s="443">
        <v>7</v>
      </c>
      <c r="J9" s="445" t="s">
        <v>236</v>
      </c>
    </row>
    <row r="10" spans="2:10" ht="115.2" x14ac:dyDescent="0.3">
      <c r="B10" s="4">
        <v>8</v>
      </c>
      <c r="C10" s="3" t="s">
        <v>101</v>
      </c>
      <c r="D10" s="5"/>
      <c r="I10" s="443">
        <v>8</v>
      </c>
      <c r="J10" s="445" t="s">
        <v>237</v>
      </c>
    </row>
    <row r="11" spans="2:10" ht="201.6" x14ac:dyDescent="0.3">
      <c r="B11" s="4">
        <v>9</v>
      </c>
      <c r="C11" s="2" t="s">
        <v>103</v>
      </c>
      <c r="D11" s="5"/>
      <c r="I11" s="443">
        <v>9</v>
      </c>
      <c r="J11" s="445" t="s">
        <v>238</v>
      </c>
    </row>
    <row r="12" spans="2:10" ht="28.8" x14ac:dyDescent="0.3">
      <c r="B12" s="4">
        <v>10</v>
      </c>
      <c r="C12" s="2" t="s">
        <v>102</v>
      </c>
      <c r="D12" s="5"/>
      <c r="I12" s="443">
        <v>10</v>
      </c>
      <c r="J12" s="445" t="s">
        <v>239</v>
      </c>
    </row>
    <row r="13" spans="2:10" ht="72" x14ac:dyDescent="0.3">
      <c r="B13" s="4">
        <v>11</v>
      </c>
      <c r="C13" s="2" t="s">
        <v>216</v>
      </c>
      <c r="D13" s="5"/>
    </row>
    <row r="14" spans="2:10" ht="29.4" thickBot="1" x14ac:dyDescent="0.35">
      <c r="B14" s="434">
        <v>12</v>
      </c>
      <c r="C14" s="433" t="s">
        <v>104</v>
      </c>
      <c r="D14" s="7"/>
    </row>
    <row r="16" spans="2:10" x14ac:dyDescent="0.3">
      <c r="G16" s="439"/>
    </row>
    <row r="17" spans="7:7" x14ac:dyDescent="0.3">
      <c r="G17" s="439"/>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FF"/>
  </sheetPr>
  <dimension ref="A1:HK378"/>
  <sheetViews>
    <sheetView topLeftCell="A3" zoomScale="101" workbookViewId="0">
      <selection activeCell="Z22" sqref="Z22"/>
    </sheetView>
  </sheetViews>
  <sheetFormatPr defaultColWidth="9.21875" defaultRowHeight="14.4" x14ac:dyDescent="0.3"/>
  <cols>
    <col min="1" max="1" width="16.77734375" style="13" bestFit="1" customWidth="1"/>
    <col min="2" max="2" width="21.5546875" style="13" bestFit="1" customWidth="1"/>
    <col min="3" max="3" width="5.5546875" style="13" bestFit="1" customWidth="1"/>
    <col min="4" max="4" width="6" style="13" bestFit="1" customWidth="1"/>
    <col min="5" max="5" width="3.44140625" style="13" bestFit="1" customWidth="1"/>
    <col min="6" max="6" width="3.5546875" style="13" bestFit="1" customWidth="1"/>
    <col min="7" max="7" width="4.21875" style="13" bestFit="1" customWidth="1"/>
    <col min="8" max="8" width="3.77734375" style="13" bestFit="1" customWidth="1"/>
    <col min="9" max="9" width="5.21875" style="13" bestFit="1" customWidth="1"/>
    <col min="10" max="10" width="3.77734375" style="13" bestFit="1" customWidth="1"/>
    <col min="11" max="12" width="4.21875" style="13" bestFit="1" customWidth="1"/>
    <col min="13" max="14" width="3.77734375" style="13" bestFit="1" customWidth="1"/>
    <col min="15" max="15" width="3.5546875" style="13" bestFit="1" customWidth="1"/>
    <col min="16" max="16" width="4.21875" style="13" bestFit="1" customWidth="1"/>
    <col min="17" max="17" width="3.77734375" style="13" bestFit="1" customWidth="1"/>
    <col min="18" max="19" width="3.21875" style="13" customWidth="1"/>
    <col min="20" max="20" width="3.77734375" style="13" bestFit="1" customWidth="1"/>
    <col min="21" max="23" width="3.21875" style="13" customWidth="1"/>
    <col min="24" max="24" width="3.44140625" style="18" customWidth="1"/>
    <col min="25" max="25" width="9.77734375" style="13" bestFit="1" customWidth="1"/>
    <col min="26" max="26" width="3.5546875" style="13" customWidth="1"/>
    <col min="27" max="27" width="3.77734375" style="13" customWidth="1"/>
    <col min="28" max="28" width="15.21875" style="13" bestFit="1" customWidth="1"/>
    <col min="29" max="29" width="10" style="13" bestFit="1" customWidth="1"/>
    <col min="30" max="30" width="5.77734375" style="13" bestFit="1" customWidth="1"/>
    <col min="31" max="31" width="6.21875" style="13" bestFit="1" customWidth="1"/>
    <col min="32" max="32" width="6" style="13" customWidth="1"/>
    <col min="33" max="33" width="3.77734375" style="13" bestFit="1" customWidth="1"/>
    <col min="34" max="34" width="5.77734375" style="13" bestFit="1" customWidth="1"/>
    <col min="35" max="37" width="5.21875" style="13" customWidth="1"/>
    <col min="38" max="38" width="6.21875" style="13" bestFit="1" customWidth="1"/>
    <col min="39" max="40" width="6.21875" style="13" customWidth="1"/>
    <col min="41" max="41" width="6.21875" style="43" customWidth="1"/>
    <col min="42" max="42" width="5.21875" style="43" customWidth="1"/>
    <col min="43" max="56" width="5.21875" style="13" customWidth="1"/>
    <col min="57" max="57" width="3.77734375" style="13" customWidth="1"/>
    <col min="58" max="67" width="6.21875" style="13" customWidth="1"/>
    <col min="68" max="68" width="4" style="13" customWidth="1"/>
    <col min="69" max="185" width="5.21875" style="13" customWidth="1"/>
    <col min="186" max="187" width="5.21875" style="14" customWidth="1"/>
    <col min="188" max="188" width="2.77734375" style="14" customWidth="1"/>
    <col min="189" max="190" width="2.44140625" style="14" bestFit="1" customWidth="1"/>
    <col min="191" max="191" width="3.5546875" style="14" bestFit="1" customWidth="1"/>
    <col min="192" max="192" width="2.21875" style="14" bestFit="1" customWidth="1"/>
    <col min="193" max="193" width="2.77734375" style="14" bestFit="1" customWidth="1"/>
    <col min="194" max="194" width="3.5546875" style="14" bestFit="1" customWidth="1"/>
    <col min="195" max="195" width="2.77734375" style="14" bestFit="1" customWidth="1"/>
    <col min="196" max="198" width="3.5546875" style="14" bestFit="1" customWidth="1"/>
    <col min="199" max="199" width="2.77734375" style="14" customWidth="1"/>
    <col min="200" max="200" width="9.21875" style="15" bestFit="1" customWidth="1"/>
    <col min="201" max="201" width="8.21875" style="15" bestFit="1" customWidth="1"/>
    <col min="202" max="202" width="2" style="14" customWidth="1"/>
    <col min="203" max="203" width="9.21875" style="14"/>
    <col min="204" max="204" width="10.5546875" style="68" customWidth="1"/>
    <col min="205" max="205" width="2.5546875" style="14" customWidth="1"/>
    <col min="206" max="206" width="9.5546875" style="14" bestFit="1" customWidth="1"/>
    <col min="207" max="207" width="7.5546875" style="14" customWidth="1"/>
    <col min="208" max="208" width="2.44140625" style="14" bestFit="1" customWidth="1"/>
    <col min="209" max="209" width="2.21875" style="14" customWidth="1"/>
    <col min="210" max="210" width="2.44140625" style="14" bestFit="1" customWidth="1"/>
    <col min="211" max="212" width="2.21875" style="14" customWidth="1"/>
    <col min="213" max="213" width="2.77734375" style="14" customWidth="1"/>
    <col min="214" max="214" width="9.21875" style="14"/>
    <col min="215" max="216" width="8.21875" style="14" bestFit="1" customWidth="1"/>
    <col min="217" max="217" width="11.77734375" style="14" bestFit="1" customWidth="1"/>
    <col min="218" max="218" width="9.21875" style="14"/>
    <col min="219" max="219" width="17.77734375" style="14" bestFit="1" customWidth="1"/>
    <col min="220" max="16384" width="9.21875" style="17"/>
  </cols>
  <sheetData>
    <row r="1" spans="1:219" ht="15" thickBot="1" x14ac:dyDescent="0.35">
      <c r="A1" s="44"/>
      <c r="B1" s="17"/>
      <c r="C1" s="23" t="s">
        <v>29</v>
      </c>
      <c r="D1" s="23" t="s">
        <v>29</v>
      </c>
      <c r="E1" s="23"/>
      <c r="F1" s="23" t="s">
        <v>47</v>
      </c>
      <c r="G1" s="23" t="s">
        <v>47</v>
      </c>
      <c r="H1" s="23"/>
      <c r="I1" s="23" t="s">
        <v>48</v>
      </c>
      <c r="J1" s="23" t="s">
        <v>48</v>
      </c>
      <c r="K1" s="23" t="s">
        <v>48</v>
      </c>
      <c r="L1" s="23" t="s">
        <v>48</v>
      </c>
      <c r="N1" s="243"/>
      <c r="O1" s="281"/>
      <c r="P1" s="282">
        <v>1</v>
      </c>
      <c r="Q1" s="282">
        <v>2</v>
      </c>
      <c r="R1" s="282">
        <v>3</v>
      </c>
      <c r="S1" s="282">
        <v>4</v>
      </c>
      <c r="T1" s="282">
        <v>5</v>
      </c>
      <c r="U1" s="282">
        <v>6</v>
      </c>
      <c r="V1" s="282">
        <v>7</v>
      </c>
      <c r="W1" s="282">
        <v>8</v>
      </c>
      <c r="X1" s="283">
        <v>9</v>
      </c>
      <c r="AL1" s="20">
        <v>1</v>
      </c>
      <c r="AM1" s="21">
        <v>2</v>
      </c>
      <c r="AN1" s="21">
        <v>3</v>
      </c>
      <c r="AO1" s="21">
        <v>4</v>
      </c>
      <c r="AP1" s="21">
        <v>5</v>
      </c>
      <c r="AQ1" s="21">
        <v>6</v>
      </c>
      <c r="AR1" s="21">
        <v>7</v>
      </c>
      <c r="AS1" s="22">
        <v>8</v>
      </c>
    </row>
    <row r="2" spans="1:219" x14ac:dyDescent="0.3">
      <c r="A2" s="44" t="s">
        <v>108</v>
      </c>
      <c r="B2" s="120">
        <v>27896</v>
      </c>
      <c r="C2" s="23" t="str">
        <f>MID(A4,1,1)</f>
        <v>1</v>
      </c>
      <c r="D2" s="23" t="str">
        <f>MID(A4,2,1)</f>
        <v>6</v>
      </c>
      <c r="E2" s="23"/>
      <c r="F2" s="23" t="str">
        <f>MID(A4,4,1)</f>
        <v>0</v>
      </c>
      <c r="G2" s="23" t="str">
        <f>MID(A4,5,1)</f>
        <v>5</v>
      </c>
      <c r="H2" s="23"/>
      <c r="I2" s="23" t="str">
        <f>MID(A4,7,1)</f>
        <v>1</v>
      </c>
      <c r="J2" s="17" t="str">
        <f>MID(A4,8,1)</f>
        <v>9</v>
      </c>
      <c r="K2" s="17" t="str">
        <f>MID(A4,9,1)</f>
        <v>7</v>
      </c>
      <c r="L2" s="17" t="str">
        <f>MID(A4,10,1)</f>
        <v>6</v>
      </c>
      <c r="N2" s="245" t="s">
        <v>18</v>
      </c>
      <c r="O2" s="238">
        <f>AA14</f>
        <v>7</v>
      </c>
      <c r="P2" s="238" t="str">
        <f t="shared" ref="P2:X2" si="0">INDEX($AR$21:$BA$32,MATCH(P$1,$AR$21:$BA$21,0),MATCH($O$2,$AR$21:$AR$32,0))</f>
        <v>G</v>
      </c>
      <c r="Q2" s="238" t="str">
        <f t="shared" si="0"/>
        <v>VG</v>
      </c>
      <c r="R2" s="238" t="str">
        <f t="shared" si="0"/>
        <v>G</v>
      </c>
      <c r="S2" s="238" t="str">
        <f t="shared" si="0"/>
        <v>G</v>
      </c>
      <c r="T2" s="238" t="str">
        <f t="shared" si="0"/>
        <v>G</v>
      </c>
      <c r="U2" s="238" t="str">
        <f t="shared" si="0"/>
        <v>G</v>
      </c>
      <c r="V2" s="238" t="str">
        <f t="shared" si="0"/>
        <v>E</v>
      </c>
      <c r="W2" s="238" t="str">
        <f t="shared" si="0"/>
        <v>A</v>
      </c>
      <c r="X2" s="238" t="str">
        <f t="shared" si="0"/>
        <v>A</v>
      </c>
      <c r="AL2" s="29" t="s">
        <v>14</v>
      </c>
      <c r="AM2" s="23" t="s">
        <v>22</v>
      </c>
      <c r="AN2" s="23" t="s">
        <v>27</v>
      </c>
      <c r="AO2" s="23" t="s">
        <v>29</v>
      </c>
      <c r="AP2" s="30" t="s">
        <v>19</v>
      </c>
      <c r="AQ2" s="30" t="s">
        <v>51</v>
      </c>
      <c r="AR2" s="30" t="s">
        <v>52</v>
      </c>
      <c r="AS2" s="31" t="s">
        <v>21</v>
      </c>
    </row>
    <row r="3" spans="1:219" ht="15" thickBot="1" x14ac:dyDescent="0.35">
      <c r="A3" s="46" t="str">
        <f>TEXT(B2,("DD-MMM"))</f>
        <v>16-May</v>
      </c>
      <c r="I3" s="46" t="str">
        <f>I2&amp;J2&amp;K2&amp;L2</f>
        <v>1976</v>
      </c>
      <c r="J3" s="46"/>
      <c r="K3" s="46"/>
      <c r="L3" s="171">
        <f ca="1">SUMPRODUCT(1*MID(I3,ROW(INDIRECT("1:"&amp;LEN(I3))),1))</f>
        <v>23</v>
      </c>
      <c r="N3" s="247" t="s">
        <v>25</v>
      </c>
      <c r="O3" s="284">
        <f ca="1">AA15</f>
        <v>8</v>
      </c>
      <c r="P3" s="284" t="str">
        <f t="shared" ref="P3:X3" ca="1" si="1">INDEX($AR$21:$BA$32,MATCH(P$1,$AR$21:$BA$21,0),MATCH($O$3,$AR$21:$AR$32,0))</f>
        <v>F</v>
      </c>
      <c r="Q3" s="284" t="str">
        <f t="shared" ca="1" si="1"/>
        <v>A</v>
      </c>
      <c r="R3" s="284" t="str">
        <f t="shared" ca="1" si="1"/>
        <v>G</v>
      </c>
      <c r="S3" s="284" t="str">
        <f t="shared" ca="1" si="1"/>
        <v>A</v>
      </c>
      <c r="T3" s="284" t="str">
        <f t="shared" ca="1" si="1"/>
        <v>VG</v>
      </c>
      <c r="U3" s="284" t="str">
        <f t="shared" ca="1" si="1"/>
        <v>G</v>
      </c>
      <c r="V3" s="284" t="str">
        <f t="shared" ca="1" si="1"/>
        <v>A</v>
      </c>
      <c r="W3" s="284" t="str">
        <f t="shared" ca="1" si="1"/>
        <v>E</v>
      </c>
      <c r="X3" s="248" t="str">
        <f t="shared" ca="1" si="1"/>
        <v>SA</v>
      </c>
      <c r="AL3" s="29" t="s">
        <v>43</v>
      </c>
      <c r="AM3" s="23" t="s">
        <v>50</v>
      </c>
      <c r="AN3" s="23" t="s">
        <v>20</v>
      </c>
      <c r="AO3" s="23" t="s">
        <v>47</v>
      </c>
      <c r="AP3" s="23" t="s">
        <v>41</v>
      </c>
      <c r="AQ3" s="23" t="s">
        <v>56</v>
      </c>
      <c r="AR3" s="23" t="s">
        <v>57</v>
      </c>
      <c r="AS3" s="31" t="s">
        <v>58</v>
      </c>
    </row>
    <row r="4" spans="1:219" ht="15" thickBot="1" x14ac:dyDescent="0.35">
      <c r="A4" s="46" t="str">
        <f>TEXT(B2,"DD-MM-YYYY")</f>
        <v>16-05-1976</v>
      </c>
      <c r="B4" s="199" t="s">
        <v>127</v>
      </c>
      <c r="C4" s="572" t="s">
        <v>18</v>
      </c>
      <c r="D4" s="572"/>
      <c r="E4" s="23"/>
      <c r="F4" s="572" t="s">
        <v>54</v>
      </c>
      <c r="G4" s="572"/>
      <c r="H4" s="23"/>
      <c r="I4" s="572" t="s">
        <v>55</v>
      </c>
      <c r="J4" s="572"/>
      <c r="K4" s="572"/>
      <c r="L4" s="572"/>
      <c r="X4" s="13"/>
      <c r="AL4" s="36" t="s">
        <v>46</v>
      </c>
      <c r="AM4" s="23" t="s">
        <v>59</v>
      </c>
      <c r="AN4" s="23" t="s">
        <v>53</v>
      </c>
      <c r="AO4" s="23" t="s">
        <v>60</v>
      </c>
      <c r="AP4" s="23" t="s">
        <v>61</v>
      </c>
      <c r="AQ4" s="23" t="s">
        <v>62</v>
      </c>
      <c r="AR4" s="23"/>
      <c r="AS4" s="31"/>
    </row>
    <row r="5" spans="1:219" ht="15" thickBot="1" x14ac:dyDescent="0.35">
      <c r="A5" s="44"/>
      <c r="B5" s="47" t="str">
        <f>CHOOSE(MATCH(1,(DATEVALUE({"22/12/2011","21/01/2012","20/02/2012","21/03/2012","21/04/2012","22/05/2012","22/06/2012","23/07/2012","23/08/2012","24/09/2012","24/10/2012","23/11/2012","22/12/2012"})&lt;=DATEVALUE(TEXT(B2,"dd/mm/")&amp;"2012"))*(DATEVALUE({"20/01/2012","19/02/2012","20/03/2012","20/04/2012","21/05/2012","21/06/2012","22/07/2012","22/08/2012","23/09/2012","23/10/2012","22/11/2012","21/12/2012","20/01/2013"})&gt;=DATEVALUE(TEXT(B2,"dd/mm/")&amp;"2012")),0),"Capricorn - Earth","Aquarius - Air","Pisces - Water","Aries - Fire","Taurus - Earth","Gemini - Air","Cancer - Water","Leo - Fire","Virgo - Earth","Libra - Air","Scorpio - Water","Sagittarius Fire","Capricorn - Earth")</f>
        <v>Taurus - Earth</v>
      </c>
      <c r="C5" s="583">
        <f>C2+D2</f>
        <v>7</v>
      </c>
      <c r="D5" s="583"/>
      <c r="E5" s="23"/>
      <c r="F5" s="584">
        <f>F2+G2</f>
        <v>5</v>
      </c>
      <c r="G5" s="584"/>
      <c r="H5" s="23"/>
      <c r="I5" s="584">
        <f ca="1">SUMPRODUCT(1*MID(L3,ROW(INDIRECT("1:"&amp;LEN(L3))),1))</f>
        <v>5</v>
      </c>
      <c r="J5" s="584"/>
      <c r="K5" s="584"/>
      <c r="L5" s="584"/>
      <c r="P5" s="285">
        <v>1</v>
      </c>
      <c r="Q5" s="254">
        <v>2</v>
      </c>
      <c r="R5" s="254">
        <v>3</v>
      </c>
      <c r="S5" s="254">
        <v>4</v>
      </c>
      <c r="T5" s="255">
        <v>5</v>
      </c>
      <c r="U5" s="255">
        <v>6</v>
      </c>
      <c r="V5" s="254">
        <v>7</v>
      </c>
      <c r="W5" s="254">
        <v>8</v>
      </c>
      <c r="X5" s="286">
        <v>9</v>
      </c>
      <c r="AL5" s="36" t="s">
        <v>63</v>
      </c>
      <c r="AM5" s="23"/>
      <c r="AN5" s="23" t="s">
        <v>64</v>
      </c>
      <c r="AO5" s="23"/>
      <c r="AP5" s="23" t="s">
        <v>23</v>
      </c>
      <c r="AQ5" s="23"/>
      <c r="AR5" s="23"/>
      <c r="AS5" s="31"/>
      <c r="BE5" s="17"/>
      <c r="BF5" s="17"/>
      <c r="BG5" s="17"/>
      <c r="BH5" s="17"/>
      <c r="BI5" s="17"/>
      <c r="BJ5" s="17"/>
      <c r="BK5" s="17"/>
      <c r="BL5" s="17"/>
      <c r="BM5" s="17"/>
      <c r="BN5" s="17"/>
      <c r="BO5" s="17"/>
    </row>
    <row r="6" spans="1:219" ht="15" thickBot="1" x14ac:dyDescent="0.35">
      <c r="A6" s="44"/>
      <c r="B6" s="199" t="s">
        <v>18</v>
      </c>
      <c r="C6" s="48">
        <f>IF(LEN(C5)&gt;1,LEFT(C5,1)+RIGHT(C5,1),C5)</f>
        <v>7</v>
      </c>
      <c r="D6" s="23"/>
      <c r="E6" s="23"/>
      <c r="F6" s="48">
        <f>IF(LEN(F5)&gt;1,LEFT(F5,1)+RIGHT(F5,1),F5)</f>
        <v>5</v>
      </c>
      <c r="G6" s="23"/>
      <c r="H6" s="23"/>
      <c r="I6" s="48">
        <f ca="1">SUMPRODUCT(1*MID(I5,ROW(INDIRECT("1:"&amp;LEN(I5))),1))</f>
        <v>5</v>
      </c>
      <c r="J6" s="23"/>
      <c r="K6" s="23"/>
      <c r="L6" s="23"/>
      <c r="P6" s="287">
        <v>10</v>
      </c>
      <c r="Q6" s="110">
        <v>11</v>
      </c>
      <c r="R6" s="111">
        <v>12</v>
      </c>
      <c r="S6" s="111">
        <v>13</v>
      </c>
      <c r="T6" s="111">
        <v>14</v>
      </c>
      <c r="U6" s="111">
        <v>15</v>
      </c>
      <c r="V6" s="110">
        <v>16</v>
      </c>
      <c r="W6" s="111">
        <v>17</v>
      </c>
      <c r="X6" s="259">
        <v>18</v>
      </c>
      <c r="AL6" s="37" t="s">
        <v>48</v>
      </c>
      <c r="AM6" s="38"/>
      <c r="AN6" s="38"/>
      <c r="AO6" s="38"/>
      <c r="AP6" s="38"/>
      <c r="AQ6" s="38"/>
      <c r="AR6" s="38"/>
      <c r="AS6" s="39"/>
      <c r="BE6" s="17"/>
      <c r="BF6" s="17"/>
      <c r="BG6" s="17"/>
      <c r="BH6" s="17"/>
      <c r="BI6" s="17"/>
      <c r="BJ6" s="17"/>
      <c r="BK6" s="17"/>
      <c r="BL6" s="17"/>
      <c r="BM6" s="17"/>
      <c r="BN6" s="17"/>
      <c r="BO6" s="17"/>
    </row>
    <row r="7" spans="1:219" x14ac:dyDescent="0.3">
      <c r="A7" s="44"/>
      <c r="B7" s="199" t="s">
        <v>25</v>
      </c>
      <c r="C7" s="48">
        <f ca="1">MOD((C6+F6+I6)-1,9)+1</f>
        <v>8</v>
      </c>
      <c r="D7" s="23"/>
      <c r="E7" s="23"/>
      <c r="F7" s="23"/>
      <c r="G7" s="23"/>
      <c r="H7" s="23"/>
      <c r="I7" s="23"/>
      <c r="J7" s="23"/>
      <c r="K7" s="23"/>
      <c r="L7" s="23"/>
      <c r="P7" s="288">
        <v>19</v>
      </c>
      <c r="Q7" s="113">
        <v>20</v>
      </c>
      <c r="R7" s="114">
        <v>21</v>
      </c>
      <c r="S7" s="110">
        <v>22</v>
      </c>
      <c r="T7" s="112">
        <v>23</v>
      </c>
      <c r="U7" s="112">
        <v>24</v>
      </c>
      <c r="V7" s="113">
        <v>25</v>
      </c>
      <c r="W7" s="110">
        <v>26</v>
      </c>
      <c r="X7" s="272">
        <v>27</v>
      </c>
      <c r="BE7" s="17"/>
      <c r="BF7" s="17"/>
      <c r="BG7" s="17"/>
      <c r="BH7" s="17"/>
      <c r="BI7" s="17"/>
      <c r="BJ7" s="17"/>
      <c r="BK7" s="17"/>
      <c r="BL7" s="17"/>
      <c r="BM7" s="17"/>
      <c r="BN7" s="17"/>
      <c r="BO7" s="17"/>
    </row>
    <row r="8" spans="1:219" x14ac:dyDescent="0.3">
      <c r="A8" s="53"/>
      <c r="B8" s="23"/>
      <c r="C8" s="23"/>
      <c r="D8" s="23"/>
      <c r="E8" s="23"/>
      <c r="F8" s="23"/>
      <c r="G8" s="23"/>
      <c r="H8" s="23"/>
      <c r="I8" s="23"/>
      <c r="J8" s="23"/>
      <c r="K8" s="23"/>
      <c r="L8" s="23"/>
      <c r="N8" s="17"/>
      <c r="O8" s="17"/>
      <c r="P8" s="289">
        <v>28</v>
      </c>
      <c r="Q8" s="110">
        <v>29</v>
      </c>
      <c r="R8" s="114">
        <v>30</v>
      </c>
      <c r="S8" s="110">
        <v>31</v>
      </c>
      <c r="T8" s="113">
        <v>32</v>
      </c>
      <c r="U8" s="111">
        <v>33</v>
      </c>
      <c r="V8" s="112">
        <v>34</v>
      </c>
      <c r="W8" s="110">
        <v>35</v>
      </c>
      <c r="X8" s="272">
        <v>36</v>
      </c>
      <c r="BE8" s="17"/>
      <c r="BF8" s="17"/>
      <c r="BG8" s="17"/>
      <c r="BH8" s="17"/>
      <c r="BI8" s="17"/>
      <c r="BJ8" s="17"/>
      <c r="BK8" s="17"/>
      <c r="BL8" s="17"/>
      <c r="BM8" s="17"/>
      <c r="BN8" s="17"/>
      <c r="BO8" s="17"/>
    </row>
    <row r="9" spans="1:219" x14ac:dyDescent="0.3">
      <c r="A9" s="13" t="s">
        <v>152</v>
      </c>
      <c r="B9" s="169" t="s">
        <v>187</v>
      </c>
      <c r="C9" s="23"/>
      <c r="D9" s="199" t="s">
        <v>111</v>
      </c>
      <c r="E9" s="23"/>
      <c r="F9" s="23"/>
      <c r="G9" s="23"/>
      <c r="H9" s="23"/>
      <c r="I9" s="23"/>
      <c r="J9" s="23"/>
      <c r="K9" s="23"/>
      <c r="L9" s="23"/>
      <c r="N9" s="17"/>
      <c r="O9" s="17"/>
      <c r="P9" s="287">
        <v>37</v>
      </c>
      <c r="Q9" s="112">
        <v>38</v>
      </c>
      <c r="R9" s="112">
        <v>39</v>
      </c>
      <c r="S9" s="110">
        <v>40</v>
      </c>
      <c r="T9" s="111">
        <v>41</v>
      </c>
      <c r="U9" s="111">
        <v>42</v>
      </c>
      <c r="V9" s="111">
        <v>43</v>
      </c>
      <c r="W9" s="110">
        <v>44</v>
      </c>
      <c r="X9" s="258">
        <v>45</v>
      </c>
      <c r="BE9" s="17"/>
      <c r="BF9" s="17"/>
      <c r="BG9" s="17"/>
      <c r="BH9" s="17"/>
      <c r="BI9" s="17"/>
      <c r="BJ9" s="17"/>
      <c r="BK9" s="17"/>
      <c r="BL9" s="17"/>
      <c r="BM9" s="17"/>
      <c r="BN9" s="17"/>
      <c r="BO9" s="17"/>
    </row>
    <row r="10" spans="1:219" ht="15" thickBot="1" x14ac:dyDescent="0.35">
      <c r="D10" s="45">
        <f ca="1">(TODAY()-B2)/365</f>
        <v>49.178082191780824</v>
      </c>
      <c r="N10" s="17"/>
      <c r="O10" s="17"/>
      <c r="P10" s="290">
        <v>46</v>
      </c>
      <c r="Q10" s="264">
        <v>47</v>
      </c>
      <c r="R10" s="262">
        <v>48</v>
      </c>
      <c r="S10" s="291">
        <v>49</v>
      </c>
      <c r="T10" s="264">
        <v>50</v>
      </c>
      <c r="U10" s="264">
        <v>51</v>
      </c>
      <c r="V10" s="291">
        <v>52</v>
      </c>
      <c r="W10" s="291"/>
      <c r="X10" s="265"/>
      <c r="BE10" s="17"/>
      <c r="BF10" s="17"/>
      <c r="BG10" s="17"/>
      <c r="BH10" s="17"/>
      <c r="BI10" s="17"/>
      <c r="BJ10" s="17"/>
      <c r="BK10" s="17"/>
      <c r="BL10" s="17"/>
      <c r="BM10" s="17"/>
      <c r="BN10" s="17"/>
      <c r="BO10" s="17"/>
    </row>
    <row r="11" spans="1:219" ht="15" thickBot="1" x14ac:dyDescent="0.35">
      <c r="BE11" s="17"/>
      <c r="BF11" s="17"/>
      <c r="BG11" s="17"/>
      <c r="BH11" s="17"/>
      <c r="BI11" s="17"/>
      <c r="BJ11" s="17"/>
      <c r="BK11" s="17"/>
      <c r="BL11" s="17"/>
      <c r="BM11" s="17"/>
      <c r="BN11" s="17"/>
      <c r="BO11" s="17"/>
    </row>
    <row r="12" spans="1:219" ht="15" thickBot="1" x14ac:dyDescent="0.35">
      <c r="A12" s="9"/>
      <c r="B12" s="10"/>
      <c r="C12" s="10"/>
      <c r="D12" s="10"/>
      <c r="E12" s="10"/>
      <c r="F12" s="10"/>
      <c r="G12" s="10"/>
      <c r="H12" s="10"/>
      <c r="I12" s="10"/>
      <c r="J12" s="10"/>
      <c r="K12" s="10"/>
      <c r="L12" s="10"/>
      <c r="M12" s="10"/>
      <c r="N12" s="10"/>
      <c r="O12" s="10"/>
      <c r="P12" s="10"/>
      <c r="Q12" s="10"/>
      <c r="R12" s="10"/>
      <c r="S12" s="10"/>
      <c r="T12" s="10"/>
      <c r="U12" s="10"/>
      <c r="V12" s="10"/>
      <c r="W12" s="10"/>
      <c r="X12" s="11"/>
      <c r="Y12" s="10"/>
      <c r="Z12" s="10"/>
      <c r="AA12" s="10"/>
      <c r="AB12" s="585" t="s">
        <v>99</v>
      </c>
      <c r="AC12" s="586"/>
      <c r="AD12" s="587"/>
      <c r="AI12" s="13">
        <f t="shared" ref="AI12:AI17" si="2">IF(LEN(AA14)&gt;1,LEFT(AA14,1)+RIGHT(AA14,1),AA14)</f>
        <v>7</v>
      </c>
      <c r="BE12" s="17"/>
      <c r="BF12" s="17"/>
      <c r="BG12" s="17"/>
      <c r="BH12" s="17"/>
      <c r="BI12" s="17"/>
      <c r="BJ12" s="17"/>
      <c r="BK12" s="17"/>
      <c r="BL12" s="17"/>
      <c r="BM12" s="17"/>
      <c r="BN12" s="17"/>
      <c r="BO12" s="17"/>
      <c r="BP12" s="17"/>
      <c r="BQ12" s="17"/>
      <c r="BR12" s="17"/>
      <c r="BS12" s="17"/>
      <c r="BT12" s="17"/>
      <c r="BU12" s="17"/>
      <c r="GB12" s="42" t="s">
        <v>15</v>
      </c>
      <c r="GC12" s="16" t="s">
        <v>16</v>
      </c>
      <c r="GG12" s="588" t="s">
        <v>0</v>
      </c>
      <c r="GH12" s="588"/>
      <c r="GI12" s="588"/>
      <c r="GJ12" s="588"/>
      <c r="GK12" s="588"/>
      <c r="GL12" s="588"/>
      <c r="GM12" s="588"/>
      <c r="GN12" s="588"/>
      <c r="GO12" s="588"/>
      <c r="GP12" s="588"/>
      <c r="GR12" s="42" t="s">
        <v>1</v>
      </c>
      <c r="GS12" s="42" t="s">
        <v>2</v>
      </c>
      <c r="GU12" s="588" t="s">
        <v>3</v>
      </c>
      <c r="GV12" s="588"/>
      <c r="GX12" s="15"/>
      <c r="GY12" s="42" t="s">
        <v>4</v>
      </c>
      <c r="GZ12" s="16" t="s">
        <v>5</v>
      </c>
      <c r="HA12" s="16" t="s">
        <v>6</v>
      </c>
      <c r="HB12" s="16" t="s">
        <v>7</v>
      </c>
      <c r="HC12" s="16" t="s">
        <v>8</v>
      </c>
      <c r="HD12" s="16" t="s">
        <v>9</v>
      </c>
      <c r="HG12" s="101" t="s">
        <v>125</v>
      </c>
      <c r="HH12" s="101" t="s">
        <v>125</v>
      </c>
      <c r="HI12" s="101" t="s">
        <v>126</v>
      </c>
      <c r="HJ12" s="101" t="s">
        <v>128</v>
      </c>
      <c r="HK12" s="101" t="str">
        <f t="shared" ref="HK12:HK29" si="3">HI12&amp;" - "&amp;HJ12</f>
        <v>Zodiac - Element</v>
      </c>
    </row>
    <row r="13" spans="1:219" x14ac:dyDescent="0.3">
      <c r="A13" s="589" t="s">
        <v>10</v>
      </c>
      <c r="B13" s="590"/>
      <c r="C13" s="17"/>
      <c r="D13" s="17"/>
      <c r="E13" s="17"/>
      <c r="F13" s="17"/>
      <c r="G13" s="17"/>
      <c r="H13" s="17"/>
      <c r="I13" s="17"/>
      <c r="J13" s="17"/>
      <c r="K13" s="17"/>
      <c r="L13" s="17"/>
      <c r="M13" s="17"/>
      <c r="N13" s="17"/>
      <c r="O13" s="17"/>
      <c r="P13" s="17"/>
      <c r="Q13" s="17"/>
      <c r="R13" s="17"/>
      <c r="S13" s="17"/>
      <c r="T13" s="17"/>
      <c r="U13" s="23"/>
      <c r="V13" s="23"/>
      <c r="Y13" s="80" t="s">
        <v>11</v>
      </c>
      <c r="Z13" s="81"/>
      <c r="AA13" s="81"/>
      <c r="AB13" s="78" t="s">
        <v>12</v>
      </c>
      <c r="AC13" s="52" t="s">
        <v>13</v>
      </c>
      <c r="AD13" s="41"/>
      <c r="AI13" s="13">
        <f t="shared" ca="1" si="2"/>
        <v>8</v>
      </c>
      <c r="AS13" s="17"/>
      <c r="AT13" s="17"/>
      <c r="AU13" s="17"/>
      <c r="AV13" s="17"/>
      <c r="AW13" s="17"/>
      <c r="AX13" s="17"/>
      <c r="AY13" s="17"/>
      <c r="AZ13" s="17"/>
      <c r="BE13" s="17"/>
      <c r="BF13" s="17"/>
      <c r="BG13" s="17"/>
      <c r="BH13" s="17"/>
      <c r="BI13" s="17"/>
      <c r="BJ13" s="17"/>
      <c r="BK13" s="17"/>
      <c r="BL13" s="17"/>
      <c r="BM13" s="17"/>
      <c r="BN13" s="17"/>
      <c r="BO13" s="17"/>
      <c r="BP13" s="17"/>
      <c r="BQ13" s="17"/>
      <c r="BR13" s="17"/>
      <c r="BS13" s="17"/>
      <c r="BT13" s="17"/>
      <c r="BU13" s="17"/>
      <c r="GB13" s="15">
        <v>5</v>
      </c>
      <c r="GC13" s="40" t="s">
        <v>20</v>
      </c>
      <c r="GG13" s="15"/>
      <c r="GH13" s="15">
        <v>1</v>
      </c>
      <c r="GI13" s="15">
        <v>2</v>
      </c>
      <c r="GJ13" s="15">
        <v>3</v>
      </c>
      <c r="GK13" s="15">
        <v>4</v>
      </c>
      <c r="GL13" s="15">
        <v>5</v>
      </c>
      <c r="GM13" s="15">
        <v>6</v>
      </c>
      <c r="GN13" s="15">
        <v>7</v>
      </c>
      <c r="GO13" s="15">
        <v>8</v>
      </c>
      <c r="GP13" s="15">
        <v>9</v>
      </c>
      <c r="GR13" s="15" t="s">
        <v>14</v>
      </c>
      <c r="GS13" s="15">
        <v>1</v>
      </c>
      <c r="GU13" s="42" t="s">
        <v>15</v>
      </c>
      <c r="GV13" s="16" t="s">
        <v>16</v>
      </c>
      <c r="GX13" s="15"/>
      <c r="GY13" s="15"/>
      <c r="GZ13" s="24">
        <v>1</v>
      </c>
      <c r="HA13" s="24">
        <v>5</v>
      </c>
      <c r="HB13" s="24">
        <v>1</v>
      </c>
      <c r="HC13" s="24">
        <v>7</v>
      </c>
      <c r="HD13" s="24">
        <v>6</v>
      </c>
      <c r="HG13" s="25">
        <v>43831</v>
      </c>
      <c r="HH13" s="14" t="str">
        <f>TEXT(HG13,"DD-MMM")</f>
        <v>01-Jan</v>
      </c>
      <c r="HI13" s="14" t="s">
        <v>113</v>
      </c>
      <c r="HJ13" s="14" t="s">
        <v>130</v>
      </c>
      <c r="HK13" s="14" t="str">
        <f t="shared" si="3"/>
        <v>Capricorn - Earth</v>
      </c>
    </row>
    <row r="14" spans="1:219" x14ac:dyDescent="0.3">
      <c r="A14" s="26" t="s">
        <v>17</v>
      </c>
      <c r="B14" s="27" t="s">
        <v>205</v>
      </c>
      <c r="C14" s="28" t="str">
        <f>MID($B14,COLUMNS($B$13:B$13),1)</f>
        <v>M</v>
      </c>
      <c r="D14" s="28" t="str">
        <f>MID($B14,COLUMNS($B$13:C$13),1)</f>
        <v>a</v>
      </c>
      <c r="E14" s="28" t="str">
        <f>MID($B14,COLUMNS($B$13:D$13),1)</f>
        <v>n</v>
      </c>
      <c r="F14" s="28" t="str">
        <f>MID($B14,COLUMNS($B$13:E$13),1)</f>
        <v>n</v>
      </c>
      <c r="G14" s="28" t="str">
        <f>MID($B14,COLUMNS($B$13:F$13),1)</f>
        <v>o</v>
      </c>
      <c r="H14" s="28" t="str">
        <f>MID($B14,COLUMNS($B$13:G$13),1)</f>
        <v>o</v>
      </c>
      <c r="I14" s="28" t="str">
        <f>MID($B14,COLUMNS($B$13:H$13),1)</f>
        <v>j</v>
      </c>
      <c r="J14" s="28" t="str">
        <f>MID($B14,COLUMNS($B$13:I$13),1)</f>
        <v/>
      </c>
      <c r="K14" s="28" t="str">
        <f>MID($B14,COLUMNS($B$13:J$13),1)</f>
        <v/>
      </c>
      <c r="L14" s="28" t="str">
        <f>MID($B14,COLUMNS($B$13:K$13),1)</f>
        <v/>
      </c>
      <c r="M14" s="28" t="str">
        <f>MID($B14,COLUMNS($B$13:L$13),1)</f>
        <v/>
      </c>
      <c r="N14" s="28" t="str">
        <f>MID($B14,COLUMNS($B$13:M$13),1)</f>
        <v/>
      </c>
      <c r="O14" s="28" t="str">
        <f>MID($B14,COLUMNS($B$13:N$13),1)</f>
        <v/>
      </c>
      <c r="P14" s="28" t="str">
        <f>MID($B14,COLUMNS($B$13:O$13),1)</f>
        <v/>
      </c>
      <c r="Q14" s="28" t="str">
        <f>MID($B14,COLUMNS($B$13:P$13),1)</f>
        <v/>
      </c>
      <c r="R14" s="28" t="str">
        <f>MID($B14,COLUMNS($B$13:Q$13),1)</f>
        <v/>
      </c>
      <c r="S14" s="28" t="str">
        <f>MID($B14,COLUMNS($B$13:R$13),1)</f>
        <v/>
      </c>
      <c r="T14" s="28" t="str">
        <f>MID($B14,COLUMNS($B$13:S$13),1)</f>
        <v/>
      </c>
      <c r="U14" s="23"/>
      <c r="V14" s="23"/>
      <c r="Y14" s="83" t="s">
        <v>18</v>
      </c>
      <c r="Z14" s="23">
        <f>C$5</f>
        <v>7</v>
      </c>
      <c r="AA14" s="200">
        <f>C6</f>
        <v>7</v>
      </c>
      <c r="AB14" s="36">
        <f ca="1">IF(D10&lt;=35,"Active",0)</f>
        <v>0</v>
      </c>
      <c r="AC14" s="52" t="str">
        <f ca="1">IF(D10&gt;35,"Active",0)</f>
        <v>Active</v>
      </c>
      <c r="AD14" s="31"/>
      <c r="AI14" s="13">
        <f t="shared" si="2"/>
        <v>3</v>
      </c>
      <c r="AS14" s="17"/>
      <c r="AT14" s="17"/>
      <c r="AU14" s="17"/>
      <c r="AV14" s="17"/>
      <c r="AW14" s="17"/>
      <c r="AX14" s="17"/>
      <c r="AY14" s="17"/>
      <c r="AZ14" s="17"/>
      <c r="BE14" s="17"/>
      <c r="BF14" s="17"/>
      <c r="BG14" s="17"/>
      <c r="BH14" s="17"/>
      <c r="BI14" s="17"/>
      <c r="BJ14" s="17"/>
      <c r="BK14" s="17"/>
      <c r="BL14" s="17"/>
      <c r="BM14" s="17"/>
      <c r="BN14" s="17"/>
      <c r="BO14" s="17"/>
      <c r="BP14" s="17"/>
      <c r="BQ14" s="17"/>
      <c r="BR14" s="17"/>
      <c r="BS14" s="17"/>
      <c r="BT14" s="17"/>
      <c r="BU14" s="17"/>
      <c r="GB14" s="15">
        <v>6</v>
      </c>
      <c r="GC14" s="40" t="s">
        <v>20</v>
      </c>
      <c r="GG14" s="15">
        <v>1</v>
      </c>
      <c r="GH14" s="15" t="s">
        <v>19</v>
      </c>
      <c r="GI14" s="15" t="s">
        <v>20</v>
      </c>
      <c r="GJ14" s="15" t="s">
        <v>20</v>
      </c>
      <c r="GK14" s="15" t="s">
        <v>21</v>
      </c>
      <c r="GL14" s="15" t="s">
        <v>20</v>
      </c>
      <c r="GM14" s="15" t="s">
        <v>21</v>
      </c>
      <c r="GN14" s="15" t="s">
        <v>20</v>
      </c>
      <c r="GO14" s="15" t="s">
        <v>21</v>
      </c>
      <c r="GP14" s="15" t="s">
        <v>14</v>
      </c>
      <c r="GR14" s="15" t="s">
        <v>22</v>
      </c>
      <c r="GS14" s="15">
        <v>2</v>
      </c>
      <c r="GU14" s="15">
        <v>1</v>
      </c>
      <c r="GV14" s="24" t="s">
        <v>23</v>
      </c>
      <c r="GX14" s="15"/>
      <c r="GY14" s="15"/>
      <c r="GZ14" s="24"/>
      <c r="HA14" s="24"/>
      <c r="HB14" s="24"/>
      <c r="HC14" s="24"/>
      <c r="HD14" s="24"/>
      <c r="HG14" s="25">
        <v>43832</v>
      </c>
      <c r="HH14" s="14" t="str">
        <f t="shared" ref="HH14:HH29" si="4">TEXT(HG14,"DD-MMM")</f>
        <v>02-Jan</v>
      </c>
      <c r="HI14" s="14" t="s">
        <v>113</v>
      </c>
      <c r="HJ14" s="14" t="s">
        <v>130</v>
      </c>
      <c r="HK14" s="14" t="str">
        <f t="shared" si="3"/>
        <v>Capricorn - Earth</v>
      </c>
    </row>
    <row r="15" spans="1:219" x14ac:dyDescent="0.3">
      <c r="A15" s="26"/>
      <c r="C15" s="23">
        <f>IFERROR(VLOOKUP(C14,GR:GS,2,0),0)</f>
        <v>4</v>
      </c>
      <c r="D15" s="23">
        <f>IFERROR(VLOOKUP(D14,GR:GS,2,0),0)</f>
        <v>1</v>
      </c>
      <c r="E15" s="23">
        <f>IFERROR(VLOOKUP(E14,GR:GS,2,0),0)</f>
        <v>5</v>
      </c>
      <c r="F15" s="23">
        <f>IFERROR(VLOOKUP(F14,GR:GS,2,0),0)</f>
        <v>5</v>
      </c>
      <c r="G15" s="23">
        <f>IFERROR(VLOOKUP(G14,GR:GS,2,0),0)</f>
        <v>7</v>
      </c>
      <c r="H15" s="23">
        <f>IFERROR(VLOOKUP(H14,GR:GS,2,0),0)</f>
        <v>7</v>
      </c>
      <c r="I15" s="23">
        <f>IFERROR(VLOOKUP(I14,GR:GS,2,0),0)</f>
        <v>1</v>
      </c>
      <c r="J15" s="23">
        <f>IFERROR(VLOOKUP(J14,GR:GS,2,0),0)</f>
        <v>0</v>
      </c>
      <c r="K15" s="23">
        <f>IFERROR(VLOOKUP(K14,GR:GS,2,0),0)</f>
        <v>0</v>
      </c>
      <c r="L15" s="23">
        <f>IFERROR(VLOOKUP(L14,GR:GS,2,0),0)</f>
        <v>0</v>
      </c>
      <c r="M15" s="23">
        <f>IFERROR(VLOOKUP(M14,GR:GS,2,0),0)</f>
        <v>0</v>
      </c>
      <c r="N15" s="23">
        <f>IFERROR(VLOOKUP(N14,GR:GS,2,0),0)</f>
        <v>0</v>
      </c>
      <c r="O15" s="23">
        <f>IFERROR(VLOOKUP(O14,GR:GS,2,0),0)</f>
        <v>0</v>
      </c>
      <c r="P15" s="23">
        <f>IFERROR(VLOOKUP(P14,GR:GS,2,0),0)</f>
        <v>0</v>
      </c>
      <c r="Q15" s="23">
        <f>IFERROR(VLOOKUP(Q14,GR:GS,2,0),0)</f>
        <v>0</v>
      </c>
      <c r="R15" s="23">
        <f>IFERROR(VLOOKUP(R14,GR:GS,2,0),0)</f>
        <v>0</v>
      </c>
      <c r="S15" s="23">
        <f>IFERROR(VLOOKUP(S14,GR:GS,2,0),0)</f>
        <v>0</v>
      </c>
      <c r="T15" s="23">
        <f>IFERROR(VLOOKUP(T14,GR:GS,2,0),0)</f>
        <v>0</v>
      </c>
      <c r="U15" s="28">
        <f>SUM(C15:T15)</f>
        <v>30</v>
      </c>
      <c r="V15" s="32">
        <f>IF(U15&lt;10,U15,((LEFT(U15,1))+(RIGHT(U15,1))))</f>
        <v>3</v>
      </c>
      <c r="W15" s="33" t="s">
        <v>24</v>
      </c>
      <c r="X15" s="18" t="str">
        <f>IF(U15&gt;52,VLOOKUP(V15,GU:GV,2,0),VLOOKUP(U15,GU:GV,2,0))</f>
        <v>*</v>
      </c>
      <c r="Y15" s="83" t="s">
        <v>25</v>
      </c>
      <c r="Z15" s="23">
        <f ca="1">I$5+F$5+C$5</f>
        <v>17</v>
      </c>
      <c r="AA15" s="200">
        <f ca="1">C7</f>
        <v>8</v>
      </c>
      <c r="AB15" s="36"/>
      <c r="AC15" s="23"/>
      <c r="AD15" s="31"/>
      <c r="AI15" s="13">
        <f t="shared" si="2"/>
        <v>5</v>
      </c>
      <c r="AS15" s="17"/>
      <c r="AT15" s="17"/>
      <c r="AU15" s="17"/>
      <c r="AV15" s="17"/>
      <c r="AW15" s="17"/>
      <c r="AX15" s="17"/>
      <c r="AY15" s="17"/>
      <c r="AZ15" s="17"/>
      <c r="BE15" s="17"/>
      <c r="BF15" s="17"/>
      <c r="BG15" s="17"/>
      <c r="BH15" s="17"/>
      <c r="BI15" s="17"/>
      <c r="BJ15" s="17"/>
      <c r="BK15" s="17"/>
      <c r="BL15" s="17"/>
      <c r="BM15" s="17"/>
      <c r="BN15" s="17"/>
      <c r="BO15" s="17"/>
      <c r="BP15" s="17"/>
      <c r="BQ15" s="17"/>
      <c r="BR15" s="17"/>
      <c r="BS15" s="17"/>
      <c r="BT15" s="17"/>
      <c r="BU15" s="17"/>
      <c r="GB15" s="15">
        <v>10</v>
      </c>
      <c r="GC15" s="40" t="s">
        <v>20</v>
      </c>
      <c r="GG15" s="15">
        <v>2</v>
      </c>
      <c r="GH15" s="15" t="s">
        <v>20</v>
      </c>
      <c r="GI15" s="15" t="s">
        <v>19</v>
      </c>
      <c r="GJ15" s="15" t="s">
        <v>20</v>
      </c>
      <c r="GK15" s="15" t="s">
        <v>20</v>
      </c>
      <c r="GL15" s="15" t="s">
        <v>21</v>
      </c>
      <c r="GM15" s="15" t="s">
        <v>20</v>
      </c>
      <c r="GN15" s="15" t="s">
        <v>26</v>
      </c>
      <c r="GO15" s="15" t="s">
        <v>14</v>
      </c>
      <c r="GP15" s="15" t="s">
        <v>14</v>
      </c>
      <c r="GR15" s="15" t="s">
        <v>27</v>
      </c>
      <c r="GS15" s="15">
        <v>3</v>
      </c>
      <c r="GU15" s="15">
        <v>2</v>
      </c>
      <c r="GV15" s="24" t="s">
        <v>23</v>
      </c>
      <c r="GX15" s="15" t="s">
        <v>28</v>
      </c>
      <c r="GY15" s="15">
        <f>(GZ15*GZ16)+(HA15*HA16)+(HB15*HB16)+(HC15*HC16)+(HD15*HD16)</f>
        <v>15</v>
      </c>
      <c r="GZ15" s="34">
        <f>IFERROR((HLOOKUP(GZ12,C14:T15,2,0)),0)</f>
        <v>1</v>
      </c>
      <c r="HA15" s="34">
        <f>IFERROR((HLOOKUP(HA12,C14:T15,2,0)),0)</f>
        <v>0</v>
      </c>
      <c r="HB15" s="34">
        <f>IFERROR((HLOOKUP(HB12,C14:T15,2,0)),0)</f>
        <v>0</v>
      </c>
      <c r="HC15" s="34">
        <f>IFERROR((HLOOKUP(HC12,C14:T15,2,0)),0)</f>
        <v>7</v>
      </c>
      <c r="HD15" s="34">
        <f>IFERROR((HLOOKUP(HD12,C14:T15,2,0)),0)</f>
        <v>0</v>
      </c>
      <c r="HG15" s="25">
        <v>43833</v>
      </c>
      <c r="HH15" s="14" t="str">
        <f t="shared" si="4"/>
        <v>03-Jan</v>
      </c>
      <c r="HI15" s="14" t="s">
        <v>113</v>
      </c>
      <c r="HJ15" s="14" t="s">
        <v>130</v>
      </c>
      <c r="HK15" s="14" t="str">
        <f t="shared" si="3"/>
        <v>Capricorn - Earth</v>
      </c>
    </row>
    <row r="16" spans="1:219" x14ac:dyDescent="0.3">
      <c r="A16" s="26" t="s">
        <v>30</v>
      </c>
      <c r="B16" s="27"/>
      <c r="C16" s="28" t="str">
        <f>MID($B16,COLUMNS($B$15:B$15),1)</f>
        <v/>
      </c>
      <c r="D16" s="28" t="str">
        <f>MID($B16,COLUMNS($B$15:C$15),1)</f>
        <v/>
      </c>
      <c r="E16" s="28" t="str">
        <f>MID($B16,COLUMNS($B$15:D$15),1)</f>
        <v/>
      </c>
      <c r="F16" s="28" t="str">
        <f>MID($B16,COLUMNS($B$15:E$15),1)</f>
        <v/>
      </c>
      <c r="G16" s="28" t="str">
        <f>MID($B16,COLUMNS($B$15:F$15),1)</f>
        <v/>
      </c>
      <c r="H16" s="28" t="str">
        <f>MID($B16,COLUMNS($B$15:G$15),1)</f>
        <v/>
      </c>
      <c r="I16" s="28" t="str">
        <f>MID($B16,COLUMNS($B$15:H$15),1)</f>
        <v/>
      </c>
      <c r="J16" s="28" t="str">
        <f>MID($B16,COLUMNS($B$15:I$15),1)</f>
        <v/>
      </c>
      <c r="K16" s="28" t="str">
        <f>MID($B16,COLUMNS($B$15:J$15),1)</f>
        <v/>
      </c>
      <c r="L16" s="28" t="str">
        <f>MID($B16,COLUMNS($B$15:K$15),1)</f>
        <v/>
      </c>
      <c r="M16" s="28" t="str">
        <f>MID($B16,COLUMNS($B$15:L$15),1)</f>
        <v/>
      </c>
      <c r="N16" s="28" t="str">
        <f>MID($B16,COLUMNS($B$15:M$15),1)</f>
        <v/>
      </c>
      <c r="O16" s="28" t="str">
        <f>MID($B16,COLUMNS($B$15:N$15),1)</f>
        <v/>
      </c>
      <c r="P16" s="28" t="str">
        <f>MID($B16,COLUMNS($B$15:O$15),1)</f>
        <v/>
      </c>
      <c r="Q16" s="28" t="str">
        <f>MID($B16,COLUMNS($B$15:P$15),1)</f>
        <v/>
      </c>
      <c r="R16" s="28" t="str">
        <f>MID($B16,COLUMNS($B$15:Q$15),1)</f>
        <v/>
      </c>
      <c r="S16" s="28" t="str">
        <f>MID($B16,COLUMNS($B$15:R$15),1)</f>
        <v/>
      </c>
      <c r="T16" s="28" t="str">
        <f>MID($B16,COLUMNS($B$15:S$15),1)</f>
        <v/>
      </c>
      <c r="U16" s="23"/>
      <c r="V16" s="23"/>
      <c r="Y16" s="83" t="s">
        <v>24</v>
      </c>
      <c r="Z16" s="23">
        <f>U15</f>
        <v>30</v>
      </c>
      <c r="AA16" s="200">
        <f>MOD(Z16-1,9)+1</f>
        <v>3</v>
      </c>
      <c r="AB16" s="36" t="str">
        <f>INDEX(GH$14:GP$22,MATCH(IF(LEN(AA$14)&gt;1,LEFT(AA$14,1)+RIGHT(AA$14,1),AA$14),GG$14:GG$22,0),MATCH(IF(LEN(AA16)&gt;1,LEFT(AA16,1)+RIGHT(AA16,1),AA16),GH$13:GP$13,0))</f>
        <v>G</v>
      </c>
      <c r="AC16" s="23" t="str">
        <f ca="1">INDEX(GH$14:GP$22,MATCH(IF(LEN(AA$15)&gt;1,LEFT(AA$15,1)+RIGHT(AA$15,1),AA$15),GG$14:GG$22,0),MATCH(IF(LEN(AA16)&gt;1,LEFT(AA16,1)+RIGHT(AA16,1),AA16),GH$13:GP$13,0))</f>
        <v>G</v>
      </c>
      <c r="AD16" s="79"/>
      <c r="AI16" s="13">
        <f t="shared" si="2"/>
        <v>6</v>
      </c>
      <c r="AS16" s="17"/>
      <c r="AT16" s="17"/>
      <c r="AU16" s="17"/>
      <c r="AV16" s="17"/>
      <c r="AW16" s="17"/>
      <c r="AX16" s="17"/>
      <c r="AY16" s="17"/>
      <c r="AZ16" s="17"/>
      <c r="BE16" s="17"/>
      <c r="BF16" s="17"/>
      <c r="BO16" s="17"/>
      <c r="BP16" s="17"/>
      <c r="BQ16" s="17"/>
      <c r="BR16" s="17"/>
      <c r="BS16" s="17"/>
      <c r="BT16" s="17"/>
      <c r="BU16" s="17"/>
      <c r="GB16" s="15">
        <v>12</v>
      </c>
      <c r="GC16" s="40" t="s">
        <v>20</v>
      </c>
      <c r="GG16" s="15">
        <v>3</v>
      </c>
      <c r="GH16" s="15" t="s">
        <v>20</v>
      </c>
      <c r="GI16" s="15" t="s">
        <v>20</v>
      </c>
      <c r="GJ16" s="15" t="s">
        <v>19</v>
      </c>
      <c r="GK16" s="15" t="s">
        <v>14</v>
      </c>
      <c r="GL16" s="15" t="s">
        <v>20</v>
      </c>
      <c r="GM16" s="15" t="s">
        <v>14</v>
      </c>
      <c r="GN16" s="15" t="s">
        <v>20</v>
      </c>
      <c r="GO16" s="15" t="s">
        <v>20</v>
      </c>
      <c r="GP16" s="15" t="s">
        <v>20</v>
      </c>
      <c r="GR16" s="15" t="s">
        <v>29</v>
      </c>
      <c r="GS16" s="15">
        <v>4</v>
      </c>
      <c r="GU16" s="15">
        <v>3</v>
      </c>
      <c r="GV16" s="24" t="s">
        <v>23</v>
      </c>
      <c r="GX16" s="15"/>
      <c r="GY16" s="15"/>
      <c r="GZ16" s="24">
        <f>COUNTIFS(C14:T14,GZ12)</f>
        <v>1</v>
      </c>
      <c r="HA16" s="24">
        <f>COUNTIFS(C14:T14,HA12)</f>
        <v>0</v>
      </c>
      <c r="HB16" s="24">
        <f>COUNTIFS(C14:T14,HB12)</f>
        <v>0</v>
      </c>
      <c r="HC16" s="24">
        <f>COUNTIFS(C14:T14,HC12)</f>
        <v>2</v>
      </c>
      <c r="HD16" s="24">
        <f>COUNTIFS(C14:T14,HD12)</f>
        <v>0</v>
      </c>
      <c r="HG16" s="25">
        <v>43834</v>
      </c>
      <c r="HH16" s="14" t="str">
        <f t="shared" si="4"/>
        <v>04-Jan</v>
      </c>
      <c r="HI16" s="14" t="s">
        <v>113</v>
      </c>
      <c r="HJ16" s="14" t="s">
        <v>130</v>
      </c>
      <c r="HK16" s="14" t="str">
        <f t="shared" si="3"/>
        <v>Capricorn - Earth</v>
      </c>
    </row>
    <row r="17" spans="1:219" x14ac:dyDescent="0.3">
      <c r="A17" s="26"/>
      <c r="C17" s="23">
        <f>IFERROR(VLOOKUP(C16,GR:GS,2,0),0)</f>
        <v>0</v>
      </c>
      <c r="D17" s="23">
        <f>IFERROR(VLOOKUP(D16,GR:GS,2,0),0)</f>
        <v>0</v>
      </c>
      <c r="E17" s="23">
        <f>IFERROR(VLOOKUP(E16,GR:GS,2,0),0)</f>
        <v>0</v>
      </c>
      <c r="F17" s="23">
        <f>IFERROR(VLOOKUP(F16,GR:GS,2,0),0)</f>
        <v>0</v>
      </c>
      <c r="G17" s="23">
        <f>IFERROR(VLOOKUP(G16,GR:GS,2,0),0)</f>
        <v>0</v>
      </c>
      <c r="H17" s="23">
        <f>IFERROR(VLOOKUP(H16,GR:GS,2,0),0)</f>
        <v>0</v>
      </c>
      <c r="I17" s="23">
        <f>IFERROR(VLOOKUP(I16,GR:GS,2,0),0)</f>
        <v>0</v>
      </c>
      <c r="J17" s="23">
        <f>IFERROR(VLOOKUP(J16,GR:GS,2,0),0)</f>
        <v>0</v>
      </c>
      <c r="K17" s="23">
        <f>IFERROR(VLOOKUP(K16,GR:GS,2,0),0)</f>
        <v>0</v>
      </c>
      <c r="L17" s="23">
        <f>IFERROR(VLOOKUP(L16,GR:GS,2,0),0)</f>
        <v>0</v>
      </c>
      <c r="M17" s="23">
        <f>IFERROR(VLOOKUP(M16,GR:GS,2,0),0)</f>
        <v>0</v>
      </c>
      <c r="N17" s="23">
        <f>IFERROR(VLOOKUP(N16,GR:GS,2,0),0)</f>
        <v>0</v>
      </c>
      <c r="O17" s="23">
        <f>IFERROR(VLOOKUP(O16,GR:GS,2,0),0)</f>
        <v>0</v>
      </c>
      <c r="P17" s="23">
        <f>IFERROR(VLOOKUP(P16,GR:GS,2,0),0)</f>
        <v>0</v>
      </c>
      <c r="Q17" s="23">
        <f>IFERROR(VLOOKUP(Q16,GR:GS,2,0),0)</f>
        <v>0</v>
      </c>
      <c r="R17" s="23">
        <f>IFERROR(VLOOKUP(R16,GR:GS,2,0),0)</f>
        <v>0</v>
      </c>
      <c r="S17" s="23">
        <f>IFERROR(VLOOKUP(S16,GR:GS,2,0),0)</f>
        <v>0</v>
      </c>
      <c r="T17" s="23">
        <f>IFERROR(VLOOKUP(T16,GR:GS,2,0),0)</f>
        <v>0</v>
      </c>
      <c r="U17" s="28">
        <f>SUM(C17:T17)</f>
        <v>0</v>
      </c>
      <c r="V17" s="32">
        <f>IF(U17&lt;10,U17,((LEFT(U17,1))+(RIGHT(U17,1))))</f>
        <v>0</v>
      </c>
      <c r="Y17" s="83" t="s">
        <v>31</v>
      </c>
      <c r="Z17" s="23">
        <f>U20</f>
        <v>50</v>
      </c>
      <c r="AA17" s="200">
        <f>MOD(Z17-1,9)+1</f>
        <v>5</v>
      </c>
      <c r="AB17" s="36" t="str">
        <f>INDEX(GH$14:GP$22,MATCH(IF(LEN(AA$14)&gt;1,LEFT(AA$14,1)+RIGHT(AA$14,1),AA$14),GG$14:GG$22,0),MATCH(IF(LEN(AA17)&gt;1,LEFT(AA17,1)+RIGHT(AA17,1),AA17),GH$13:GP$13,0))</f>
        <v>G</v>
      </c>
      <c r="AC17" s="23" t="str">
        <f ca="1">INDEX(GH$14:GP$22,MATCH(IF(LEN(AA$15)&gt;1,LEFT(AA$15,1)+RIGHT(AA$15,1),AA$15),GG$14:GG$22,0),MATCH(IF(LEN(AA17)&gt;1,LEFT(AA17,1)+RIGHT(AA17,1),AA17),GH$13:GP$13,0))</f>
        <v>VG</v>
      </c>
      <c r="AD17" s="79"/>
      <c r="AI17" s="13">
        <f t="shared" si="2"/>
        <v>8</v>
      </c>
      <c r="AS17" s="17"/>
      <c r="AT17" s="17"/>
      <c r="AU17" s="17"/>
      <c r="AV17" s="17"/>
      <c r="AW17" s="17"/>
      <c r="AX17" s="17"/>
      <c r="AY17" s="17"/>
      <c r="AZ17" s="17"/>
      <c r="BE17" s="17"/>
      <c r="BF17" s="17"/>
      <c r="BO17" s="17"/>
      <c r="BP17" s="17"/>
      <c r="BQ17" s="17"/>
      <c r="BR17" s="17"/>
      <c r="BS17" s="17"/>
      <c r="BT17" s="17"/>
      <c r="BU17" s="17"/>
      <c r="GB17" s="15">
        <v>13</v>
      </c>
      <c r="GC17" s="40" t="s">
        <v>20</v>
      </c>
      <c r="GG17" s="15">
        <v>4</v>
      </c>
      <c r="GH17" s="15" t="s">
        <v>21</v>
      </c>
      <c r="GI17" s="15" t="s">
        <v>20</v>
      </c>
      <c r="GJ17" s="15" t="s">
        <v>14</v>
      </c>
      <c r="GK17" s="15" t="s">
        <v>19</v>
      </c>
      <c r="GL17" s="15" t="s">
        <v>20</v>
      </c>
      <c r="GM17" s="15" t="s">
        <v>20</v>
      </c>
      <c r="GN17" s="15" t="s">
        <v>20</v>
      </c>
      <c r="GO17" s="15" t="s">
        <v>14</v>
      </c>
      <c r="GP17" s="15" t="s">
        <v>96</v>
      </c>
      <c r="GR17" s="15" t="s">
        <v>19</v>
      </c>
      <c r="GS17" s="15">
        <v>5</v>
      </c>
      <c r="GU17" s="15">
        <v>4</v>
      </c>
      <c r="GV17" s="24" t="s">
        <v>23</v>
      </c>
      <c r="GX17" s="15"/>
      <c r="GY17" s="15"/>
      <c r="GZ17" s="24"/>
      <c r="HA17" s="24"/>
      <c r="HB17" s="24"/>
      <c r="HC17" s="24"/>
      <c r="HD17" s="24"/>
      <c r="HG17" s="25">
        <v>43835</v>
      </c>
      <c r="HH17" s="14" t="str">
        <f t="shared" si="4"/>
        <v>05-Jan</v>
      </c>
      <c r="HI17" s="14" t="s">
        <v>113</v>
      </c>
      <c r="HJ17" s="14" t="s">
        <v>130</v>
      </c>
      <c r="HK17" s="14" t="str">
        <f t="shared" si="3"/>
        <v>Capricorn - Earth</v>
      </c>
    </row>
    <row r="18" spans="1:219" ht="15" thickBot="1" x14ac:dyDescent="0.35">
      <c r="A18" s="26" t="s">
        <v>37</v>
      </c>
      <c r="B18" s="27" t="s">
        <v>188</v>
      </c>
      <c r="C18" s="28" t="str">
        <f>MID($B18,COLUMNS($B$15:B$15),1)</f>
        <v>K</v>
      </c>
      <c r="D18" s="28" t="str">
        <f>MID($B18,COLUMNS($B$15:C$15),1)</f>
        <v>a</v>
      </c>
      <c r="E18" s="28" t="str">
        <f>MID($B18,COLUMNS($B$15:D$15),1)</f>
        <v>s</v>
      </c>
      <c r="F18" s="28" t="str">
        <f>MID($B18,COLUMNS($B$15:E$15),1)</f>
        <v>t</v>
      </c>
      <c r="G18" s="28" t="str">
        <f>MID($B18,COLUMNS($B$15:F$15),1)</f>
        <v>u</v>
      </c>
      <c r="H18" s="28" t="str">
        <f>MID($B18,COLUMNS($B$15:G$15),1)</f>
        <v>r</v>
      </c>
      <c r="I18" s="28" t="str">
        <f>MID($B18,COLUMNS($B$15:H$15),1)</f>
        <v>i</v>
      </c>
      <c r="J18" s="28" t="str">
        <f>MID($B18,COLUMNS($B$15:I$15),1)</f>
        <v>a</v>
      </c>
      <c r="K18" s="28" t="str">
        <f>MID($B18,COLUMNS($B$15:J$15),1)</f>
        <v/>
      </c>
      <c r="L18" s="28" t="str">
        <f>MID($B18,COLUMNS($B$15:K$15),1)</f>
        <v/>
      </c>
      <c r="M18" s="28" t="str">
        <f>MID($B18,COLUMNS($B$15:L$15),1)</f>
        <v/>
      </c>
      <c r="N18" s="28" t="str">
        <f>MID($B18,COLUMNS($B$15:M$15),1)</f>
        <v/>
      </c>
      <c r="O18" s="28" t="str">
        <f>MID($B18,COLUMNS($B$15:N$15),1)</f>
        <v/>
      </c>
      <c r="P18" s="28" t="str">
        <f>MID($B18,COLUMNS($B$15:O$15),1)</f>
        <v/>
      </c>
      <c r="Q18" s="28" t="str">
        <f>MID($B18,COLUMNS($B$15:P$15),1)</f>
        <v/>
      </c>
      <c r="R18" s="28" t="str">
        <f>MID($B18,COLUMNS($B$15:Q$15),1)</f>
        <v/>
      </c>
      <c r="S18" s="28" t="str">
        <f>MID($B18,COLUMNS($B$15:R$15),1)</f>
        <v/>
      </c>
      <c r="T18" s="28" t="str">
        <f>MID($B18,COLUMNS($B$15:S$15),1)</f>
        <v/>
      </c>
      <c r="U18" s="23"/>
      <c r="V18" s="23"/>
      <c r="Y18" s="83" t="s">
        <v>32</v>
      </c>
      <c r="Z18" s="23">
        <f>GY15+GY21+GY18</f>
        <v>24</v>
      </c>
      <c r="AA18" s="200">
        <f>MOD(Z18-1,9)+1</f>
        <v>6</v>
      </c>
      <c r="AB18" s="36" t="str">
        <f>INDEX(GH$14:GP$22,MATCH(IF(LEN(AA$14)&gt;1,LEFT(AA$14,1)+RIGHT(AA$14,1),AA$14),GG$14:GG$22,0),MATCH(IF(LEN(AA18)&gt;1,LEFT(AA18,1)+RIGHT(AA18,1),AA18),GH$13:GP$13,0))</f>
        <v>G</v>
      </c>
      <c r="AC18" s="23" t="str">
        <f ca="1">INDEX(GH$14:GP$22,MATCH(IF(LEN(AA$15)&gt;1,LEFT(AA$15,1)+RIGHT(AA$15,1),AA$15),GG$14:GG$22,0),MATCH(IF(LEN(AA18)&gt;1,LEFT(AA18,1)+RIGHT(AA18,1),AA18),GH$13:GP$13,0))</f>
        <v>G</v>
      </c>
      <c r="AD18" s="79"/>
      <c r="AS18" s="17"/>
      <c r="AT18" s="17"/>
      <c r="AU18" s="17"/>
      <c r="AV18" s="17"/>
      <c r="AW18" s="17"/>
      <c r="AX18" s="17"/>
      <c r="AY18" s="17"/>
      <c r="AZ18" s="17"/>
      <c r="BE18" s="17"/>
      <c r="BF18" s="17"/>
      <c r="BO18" s="17"/>
      <c r="BP18" s="17"/>
      <c r="BQ18" s="17"/>
      <c r="BR18" s="17"/>
      <c r="BS18" s="17"/>
      <c r="BT18" s="17"/>
      <c r="BU18" s="17"/>
      <c r="GB18" s="15">
        <v>14</v>
      </c>
      <c r="GC18" s="40" t="s">
        <v>20</v>
      </c>
      <c r="GG18" s="15">
        <v>5</v>
      </c>
      <c r="GH18" s="15" t="s">
        <v>20</v>
      </c>
      <c r="GI18" s="15" t="s">
        <v>21</v>
      </c>
      <c r="GJ18" s="15" t="s">
        <v>20</v>
      </c>
      <c r="GK18" s="15" t="s">
        <v>20</v>
      </c>
      <c r="GL18" s="15" t="s">
        <v>19</v>
      </c>
      <c r="GM18" s="15" t="s">
        <v>21</v>
      </c>
      <c r="GN18" s="15" t="s">
        <v>20</v>
      </c>
      <c r="GO18" s="15" t="s">
        <v>26</v>
      </c>
      <c r="GP18" s="15" t="s">
        <v>21</v>
      </c>
      <c r="GR18" s="15" t="s">
        <v>21</v>
      </c>
      <c r="GS18" s="15">
        <v>8</v>
      </c>
      <c r="GU18" s="15">
        <v>5</v>
      </c>
      <c r="GV18" s="40" t="s">
        <v>33</v>
      </c>
      <c r="GX18" s="14" t="s">
        <v>34</v>
      </c>
      <c r="GY18" s="15">
        <f>(GZ18*GZ19)+(HA18*HA19)+(HB18*HB19)+(HC18*HC19)+(HD18*HD19)</f>
        <v>0</v>
      </c>
      <c r="GZ18" s="34">
        <f>IFERROR((HLOOKUP(GZ12,C16:T17,2,0)),0)</f>
        <v>0</v>
      </c>
      <c r="HA18" s="34">
        <f>IFERROR((HLOOKUP(HA12,C16:T17,2,0)),0)</f>
        <v>0</v>
      </c>
      <c r="HB18" s="34">
        <f>IFERROR((HLOOKUP(HB12,C16:T17,2,0)),0)</f>
        <v>0</v>
      </c>
      <c r="HC18" s="34">
        <f>IFERROR((HLOOKUP(HC12,C16:T17,2,0)),0)</f>
        <v>0</v>
      </c>
      <c r="HD18" s="34">
        <f>IFERROR((HLOOKUP(HD12,C16:T17,2,0)),0)</f>
        <v>0</v>
      </c>
      <c r="HG18" s="25">
        <v>43836</v>
      </c>
      <c r="HH18" s="14" t="str">
        <f t="shared" si="4"/>
        <v>06-Jan</v>
      </c>
      <c r="HI18" s="14" t="s">
        <v>113</v>
      </c>
      <c r="HJ18" s="14" t="s">
        <v>130</v>
      </c>
      <c r="HK18" s="14" t="str">
        <f t="shared" si="3"/>
        <v>Capricorn - Earth</v>
      </c>
    </row>
    <row r="19" spans="1:219" ht="15" thickBot="1" x14ac:dyDescent="0.35">
      <c r="A19" s="26"/>
      <c r="C19" s="23">
        <f>IFERROR(VLOOKUP(C18,GR:GS,2,0),0)</f>
        <v>2</v>
      </c>
      <c r="D19" s="23">
        <f>IFERROR(VLOOKUP(D18,GR:GS,2,0),0)</f>
        <v>1</v>
      </c>
      <c r="E19" s="23">
        <f>IFERROR(VLOOKUP(E18,GR:GS,2,0),0)</f>
        <v>3</v>
      </c>
      <c r="F19" s="23">
        <f>IFERROR(VLOOKUP(F18,GR:GS,2,0),0)</f>
        <v>4</v>
      </c>
      <c r="G19" s="23">
        <f>IFERROR(VLOOKUP(G18,GR:GS,2,0),0)</f>
        <v>6</v>
      </c>
      <c r="H19" s="23">
        <f>IFERROR(VLOOKUP(H18,GR:GS,2,0),0)</f>
        <v>2</v>
      </c>
      <c r="I19" s="23">
        <f>IFERROR(VLOOKUP(I18,GR:GS,2,0),0)</f>
        <v>1</v>
      </c>
      <c r="J19" s="23">
        <f>IFERROR(VLOOKUP(J18,GR:GS,2,0),0)</f>
        <v>1</v>
      </c>
      <c r="K19" s="23">
        <f>IFERROR(VLOOKUP(K18,GR:GS,2,0),0)</f>
        <v>0</v>
      </c>
      <c r="L19" s="23">
        <f>IFERROR(VLOOKUP(L18,GR:GS,2,0),0)</f>
        <v>0</v>
      </c>
      <c r="M19" s="23">
        <f>IFERROR(VLOOKUP(M18,GR:GS,2,0),0)</f>
        <v>0</v>
      </c>
      <c r="N19" s="23">
        <f>IFERROR(VLOOKUP(N18,GR:GS,2,0),0)</f>
        <v>0</v>
      </c>
      <c r="O19" s="23">
        <f>IFERROR(VLOOKUP(O18,GR:GS,2,0),0)</f>
        <v>0</v>
      </c>
      <c r="P19" s="23">
        <f>IFERROR(VLOOKUP(P18,GR:GS,2,0),0)</f>
        <v>0</v>
      </c>
      <c r="Q19" s="23">
        <f>IFERROR(VLOOKUP(Q18,GR:GS,2,0),0)</f>
        <v>0</v>
      </c>
      <c r="R19" s="23">
        <f>IFERROR(VLOOKUP(R18,GR:GS,2,0),0)</f>
        <v>0</v>
      </c>
      <c r="S19" s="23">
        <f>IFERROR(VLOOKUP(S18,GR:GS,2,0),0)</f>
        <v>0</v>
      </c>
      <c r="T19" s="23">
        <f>IFERROR(VLOOKUP(T18,GR:GS,2,0),0)</f>
        <v>0</v>
      </c>
      <c r="U19" s="28">
        <f>SUM(C19:T19)</f>
        <v>20</v>
      </c>
      <c r="V19" s="32">
        <f>IF(U19&lt;10,U19,((LEFT(U19,1))+(RIGHT(U19,1))))</f>
        <v>2</v>
      </c>
      <c r="Y19" s="85" t="s">
        <v>35</v>
      </c>
      <c r="Z19" s="86">
        <f>Z17-Z18</f>
        <v>26</v>
      </c>
      <c r="AA19" s="200">
        <f>MOD(Z19-1,9)+1</f>
        <v>8</v>
      </c>
      <c r="AB19" s="36" t="str">
        <f>INDEX(GH$14:GP$22,MATCH(IF(LEN(AA$14)&gt;1,LEFT(AA$14,1)+RIGHT(AA$14,1),AA$14),GG$14:GG$22,0),MATCH(IF(LEN(AA19)&gt;1,LEFT(AA19,1)+RIGHT(AA19,1),AA19),GH$13:GP$13,0))</f>
        <v>A</v>
      </c>
      <c r="AC19" s="23" t="str">
        <f ca="1">INDEX(GH$14:GP$22,MATCH(IF(LEN(AA$15)&gt;1,LEFT(AA$15,1)+RIGHT(AA$15,1),AA$15),GG$14:GG$22,0),MATCH(IF(LEN(AA19)&gt;1,LEFT(AA19,1)+RIGHT(AA19,1),AA19),GH$13:GP$13,0))</f>
        <v>E</v>
      </c>
      <c r="AD19" s="35"/>
      <c r="AE19" s="577" t="s">
        <v>36</v>
      </c>
      <c r="AF19" s="578"/>
      <c r="AG19" s="578"/>
      <c r="AH19" s="578"/>
      <c r="AI19" s="578"/>
      <c r="AJ19" s="578"/>
      <c r="AK19" s="578"/>
      <c r="AL19" s="579"/>
      <c r="AM19" s="52"/>
      <c r="AQ19" s="52"/>
      <c r="BB19" s="52"/>
      <c r="BC19" s="52"/>
      <c r="BD19" s="52"/>
      <c r="BE19" s="17"/>
      <c r="BF19" s="17"/>
      <c r="BO19" s="17"/>
      <c r="BP19" s="17"/>
      <c r="BQ19" s="17"/>
      <c r="BR19" s="17"/>
      <c r="BS19" s="17"/>
      <c r="BT19" s="17"/>
      <c r="BU19" s="17"/>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15">
        <v>15</v>
      </c>
      <c r="GC19" s="40" t="s">
        <v>20</v>
      </c>
      <c r="GD19" s="42"/>
      <c r="GE19" s="42"/>
      <c r="GG19" s="15">
        <v>6</v>
      </c>
      <c r="GH19" s="15" t="s">
        <v>21</v>
      </c>
      <c r="GI19" s="15" t="s">
        <v>20</v>
      </c>
      <c r="GJ19" s="15" t="s">
        <v>14</v>
      </c>
      <c r="GK19" s="15" t="s">
        <v>20</v>
      </c>
      <c r="GL19" s="15" t="s">
        <v>21</v>
      </c>
      <c r="GM19" s="15" t="s">
        <v>19</v>
      </c>
      <c r="GN19" s="15" t="s">
        <v>20</v>
      </c>
      <c r="GO19" s="15" t="s">
        <v>20</v>
      </c>
      <c r="GP19" s="15" t="s">
        <v>20</v>
      </c>
      <c r="GR19" s="15" t="s">
        <v>20</v>
      </c>
      <c r="GS19" s="15">
        <v>3</v>
      </c>
      <c r="GU19" s="15">
        <v>6</v>
      </c>
      <c r="GV19" s="40" t="s">
        <v>33</v>
      </c>
      <c r="GZ19" s="24">
        <f>COUNTIFS(C16:T16,GZ12)</f>
        <v>0</v>
      </c>
      <c r="HA19" s="24">
        <f>COUNTIFS(C16:T16,HA12)</f>
        <v>0</v>
      </c>
      <c r="HB19" s="24">
        <f>COUNTIFS(C16:T16,HB12)</f>
        <v>0</v>
      </c>
      <c r="HC19" s="24">
        <f>COUNTIFS(C16:T16,HC12)</f>
        <v>0</v>
      </c>
      <c r="HD19" s="24">
        <f>COUNTIFS(C16:T16,HD12)</f>
        <v>0</v>
      </c>
      <c r="HG19" s="25">
        <v>43837</v>
      </c>
      <c r="HH19" s="14" t="str">
        <f t="shared" si="4"/>
        <v>07-Jan</v>
      </c>
      <c r="HI19" s="14" t="s">
        <v>113</v>
      </c>
      <c r="HJ19" s="14" t="s">
        <v>130</v>
      </c>
      <c r="HK19" s="14" t="str">
        <f t="shared" si="3"/>
        <v>Capricorn - Earth</v>
      </c>
    </row>
    <row r="20" spans="1:219" ht="15" thickBot="1" x14ac:dyDescent="0.35">
      <c r="A20" s="17"/>
      <c r="B20" s="17"/>
      <c r="C20" s="17"/>
      <c r="D20" s="17"/>
      <c r="E20" s="17"/>
      <c r="F20" s="17"/>
      <c r="G20" s="17"/>
      <c r="J20" s="297" t="s">
        <v>18</v>
      </c>
      <c r="K20" s="298" t="s">
        <v>25</v>
      </c>
      <c r="L20" s="297" t="s">
        <v>18</v>
      </c>
      <c r="M20" s="298" t="s">
        <v>25</v>
      </c>
      <c r="U20" s="13">
        <f>U19+U17+U15</f>
        <v>50</v>
      </c>
      <c r="V20" s="32">
        <f>V15+V17+V19</f>
        <v>5</v>
      </c>
      <c r="W20" s="33" t="s">
        <v>31</v>
      </c>
      <c r="X20" s="18" t="str">
        <f>IF(U20&gt;52,VLOOKUP(V20,GU:GV,2,0),VLOOKUP(U20,GU:GV,2,0))</f>
        <v>*</v>
      </c>
      <c r="AB20" s="119" t="s">
        <v>38</v>
      </c>
      <c r="AC20" s="12"/>
      <c r="AD20" s="87"/>
      <c r="AE20" s="103" t="s">
        <v>24</v>
      </c>
      <c r="AF20" s="104" t="s">
        <v>112</v>
      </c>
      <c r="AG20" s="104" t="s">
        <v>39</v>
      </c>
      <c r="AH20" s="105" t="s">
        <v>40</v>
      </c>
      <c r="AI20" s="13" t="s">
        <v>61</v>
      </c>
      <c r="AJ20" s="13" t="s">
        <v>27</v>
      </c>
      <c r="AK20" s="97" t="s">
        <v>136</v>
      </c>
      <c r="AL20" s="98" t="s">
        <v>137</v>
      </c>
      <c r="AM20" s="43"/>
      <c r="AR20" s="591" t="s">
        <v>0</v>
      </c>
      <c r="AS20" s="591"/>
      <c r="AT20" s="591"/>
      <c r="AU20" s="591"/>
      <c r="AV20" s="591"/>
      <c r="AW20" s="591"/>
      <c r="AX20" s="591"/>
      <c r="AY20" s="591"/>
      <c r="AZ20" s="591"/>
      <c r="BA20" s="591"/>
      <c r="BE20" s="17"/>
      <c r="BF20" s="17"/>
      <c r="BO20" s="17"/>
      <c r="BP20" s="17"/>
      <c r="BQ20" s="17"/>
      <c r="BR20" s="17"/>
      <c r="BS20" s="17"/>
      <c r="BT20" s="17"/>
      <c r="BU20" s="17"/>
      <c r="GB20" s="15">
        <v>17</v>
      </c>
      <c r="GC20" s="40" t="s">
        <v>20</v>
      </c>
      <c r="GG20" s="15">
        <v>7</v>
      </c>
      <c r="GH20" s="15" t="s">
        <v>20</v>
      </c>
      <c r="GI20" s="15" t="s">
        <v>26</v>
      </c>
      <c r="GJ20" s="15" t="s">
        <v>20</v>
      </c>
      <c r="GK20" s="15" t="s">
        <v>14</v>
      </c>
      <c r="GL20" s="15" t="s">
        <v>20</v>
      </c>
      <c r="GM20" s="15" t="s">
        <v>20</v>
      </c>
      <c r="GN20" s="15" t="s">
        <v>19</v>
      </c>
      <c r="GO20" s="15" t="s">
        <v>14</v>
      </c>
      <c r="GP20" s="15" t="s">
        <v>14</v>
      </c>
      <c r="GR20" s="15" t="s">
        <v>41</v>
      </c>
      <c r="GS20" s="15">
        <v>5</v>
      </c>
      <c r="GU20" s="15">
        <v>7</v>
      </c>
      <c r="GV20" s="24" t="s">
        <v>23</v>
      </c>
      <c r="HG20" s="25">
        <v>43838</v>
      </c>
      <c r="HH20" s="14" t="str">
        <f t="shared" si="4"/>
        <v>08-Jan</v>
      </c>
      <c r="HI20" s="14" t="s">
        <v>113</v>
      </c>
      <c r="HJ20" s="14" t="s">
        <v>130</v>
      </c>
      <c r="HK20" s="14" t="str">
        <f t="shared" si="3"/>
        <v>Capricorn - Earth</v>
      </c>
    </row>
    <row r="21" spans="1:219" ht="15" thickBot="1" x14ac:dyDescent="0.35">
      <c r="B21" s="17"/>
      <c r="D21" s="301" t="s">
        <v>24</v>
      </c>
      <c r="E21" s="301" t="s">
        <v>31</v>
      </c>
      <c r="G21" s="295" t="s">
        <v>24</v>
      </c>
      <c r="H21" s="296" t="s">
        <v>31</v>
      </c>
      <c r="J21" s="284">
        <f>C6</f>
        <v>7</v>
      </c>
      <c r="K21" s="248">
        <f ca="1">C7</f>
        <v>8</v>
      </c>
      <c r="L21" s="284">
        <f>C6</f>
        <v>7</v>
      </c>
      <c r="M21" s="248">
        <f ca="1">C7</f>
        <v>8</v>
      </c>
      <c r="Y21" s="119" t="s">
        <v>42</v>
      </c>
      <c r="Z21" s="73">
        <f>C15+C19</f>
        <v>6</v>
      </c>
      <c r="AA21" s="73">
        <f>IF(LEN(Z21)&gt;1,LEFT(Z21,1)+RIGHT(Z21,1),Z21)</f>
        <v>6</v>
      </c>
      <c r="AB21" s="36">
        <v>1</v>
      </c>
      <c r="AC21" s="77">
        <f t="shared" ref="AC21:AC28" si="5">COUNTIF(C$15:T$15,AB21)+COUNTIF(C$17:T$17,AB21)+COUNTIF(C$19:T$19,AB21)</f>
        <v>5</v>
      </c>
      <c r="AE21" s="106">
        <f>IFERROR(HLOOKUP(AB21,C15:T15,1,0),0)</f>
        <v>1</v>
      </c>
      <c r="AF21" s="43">
        <f>IFERROR(HLOOKUP(AB21,C17:T17,1,0),0)</f>
        <v>0</v>
      </c>
      <c r="AG21" s="43">
        <f>IFERROR(HLOOKUP(AB21,C19:T19,1,0),0)</f>
        <v>1</v>
      </c>
      <c r="AH21" s="61">
        <f ca="1">IFERROR(VLOOKUP(AB21,AI12:AI17,1,0),0)</f>
        <v>0</v>
      </c>
      <c r="AI21" s="13">
        <f>IF(SUM(AE21:AG21)&gt;=AB21,AB21,0)</f>
        <v>1</v>
      </c>
      <c r="AJ21" s="13">
        <f ca="1">IF(AH21=AB21,AB21,0)</f>
        <v>0</v>
      </c>
      <c r="AK21" s="95">
        <f ca="1">IF(SUM(AI21:AJ21)&lt;=0,AB21,0)</f>
        <v>0</v>
      </c>
      <c r="AL21" s="61">
        <f>IF(AI21=AB21,0,AJ21)</f>
        <v>0</v>
      </c>
      <c r="AM21" s="43"/>
      <c r="AR21" s="107"/>
      <c r="AS21" s="115">
        <v>1</v>
      </c>
      <c r="AT21" s="115">
        <v>2</v>
      </c>
      <c r="AU21" s="115">
        <v>3</v>
      </c>
      <c r="AV21" s="115">
        <v>4</v>
      </c>
      <c r="AW21" s="115">
        <v>5</v>
      </c>
      <c r="AX21" s="115">
        <v>6</v>
      </c>
      <c r="AY21" s="115">
        <v>7</v>
      </c>
      <c r="AZ21" s="115">
        <v>8</v>
      </c>
      <c r="BA21" s="115">
        <v>9</v>
      </c>
      <c r="BE21" s="17"/>
      <c r="BF21" s="17"/>
      <c r="BO21" s="17"/>
      <c r="BP21" s="17"/>
      <c r="BQ21" s="17"/>
      <c r="BR21" s="17"/>
      <c r="BS21" s="17"/>
      <c r="BT21" s="17"/>
      <c r="BU21" s="17"/>
      <c r="GB21" s="15">
        <v>19</v>
      </c>
      <c r="GC21" s="24" t="s">
        <v>64</v>
      </c>
      <c r="GG21" s="15">
        <v>8</v>
      </c>
      <c r="GH21" s="15" t="s">
        <v>21</v>
      </c>
      <c r="GI21" s="15" t="s">
        <v>14</v>
      </c>
      <c r="GJ21" s="15" t="s">
        <v>20</v>
      </c>
      <c r="GK21" s="15" t="s">
        <v>14</v>
      </c>
      <c r="GL21" s="15" t="s">
        <v>26</v>
      </c>
      <c r="GM21" s="15" t="s">
        <v>20</v>
      </c>
      <c r="GN21" s="15" t="s">
        <v>14</v>
      </c>
      <c r="GO21" s="15" t="s">
        <v>19</v>
      </c>
      <c r="GP21" s="15" t="s">
        <v>96</v>
      </c>
      <c r="GR21" s="15" t="s">
        <v>43</v>
      </c>
      <c r="GS21" s="15">
        <v>1</v>
      </c>
      <c r="GU21" s="15">
        <v>8</v>
      </c>
      <c r="GV21" s="24" t="s">
        <v>23</v>
      </c>
      <c r="GX21" s="15" t="s">
        <v>44</v>
      </c>
      <c r="GY21" s="15">
        <f>(GZ21*GZ22)+(HA21*HA22)+(HB21*HB22)+(HC21*HC22)+(HD21*HD22)</f>
        <v>9</v>
      </c>
      <c r="GZ21" s="34">
        <f>IFERROR((HLOOKUP(GZ12,C18:T19,2,0)),0)</f>
        <v>1</v>
      </c>
      <c r="HA21" s="34">
        <f>IFERROR((HLOOKUP(HA12,C18:T19,2,0)),0)</f>
        <v>0</v>
      </c>
      <c r="HB21" s="34">
        <f>IFERROR((HLOOKUP(HB12,C18:T19,2,0)),0)</f>
        <v>1</v>
      </c>
      <c r="HC21" s="34">
        <f>IFERROR((HLOOKUP(HC12,C18:T19,2,0)),0)</f>
        <v>0</v>
      </c>
      <c r="HD21" s="34">
        <f>IFERROR((HLOOKUP(HD12,C18:T19,2,0)),0)</f>
        <v>6</v>
      </c>
      <c r="HG21" s="25">
        <v>43839</v>
      </c>
      <c r="HH21" s="14" t="str">
        <f t="shared" si="4"/>
        <v>09-Jan</v>
      </c>
      <c r="HI21" s="14" t="s">
        <v>113</v>
      </c>
      <c r="HJ21" s="14" t="s">
        <v>130</v>
      </c>
      <c r="HK21" s="14" t="str">
        <f t="shared" si="3"/>
        <v>Capricorn - Earth</v>
      </c>
    </row>
    <row r="22" spans="1:219" ht="15" thickBot="1" x14ac:dyDescent="0.35">
      <c r="A22" s="17"/>
      <c r="D22" s="17">
        <f>U15</f>
        <v>30</v>
      </c>
      <c r="E22" s="17">
        <f>U20</f>
        <v>50</v>
      </c>
      <c r="G22" s="299"/>
      <c r="H22" s="300"/>
      <c r="J22" s="573" t="s">
        <v>24</v>
      </c>
      <c r="K22" s="573"/>
      <c r="L22" s="573" t="s">
        <v>31</v>
      </c>
      <c r="M22" s="573"/>
      <c r="Y22" s="201" t="s">
        <v>45</v>
      </c>
      <c r="Z22" s="200">
        <f ca="1">AA15+AA17</f>
        <v>13</v>
      </c>
      <c r="AA22" s="200">
        <f ca="1">IF(LEN(Z22)&gt;1,LEFT(Z22,1)+RIGHT(Z22,1),Z22)</f>
        <v>4</v>
      </c>
      <c r="AB22" s="36">
        <v>2</v>
      </c>
      <c r="AC22" s="77">
        <f t="shared" si="5"/>
        <v>2</v>
      </c>
      <c r="AE22" s="106">
        <f>IFERROR(HLOOKUP(AB22,C15:T15,1,0),0)</f>
        <v>0</v>
      </c>
      <c r="AF22" s="43">
        <f>IFERROR(HLOOKUP(AB22,C17:T17,1,0),0)</f>
        <v>0</v>
      </c>
      <c r="AG22" s="43">
        <f>IFERROR(HLOOKUP(AB22,C19:T19,1,0),0)</f>
        <v>2</v>
      </c>
      <c r="AH22" s="61">
        <f ca="1">IFERROR(VLOOKUP(AB22,AI12:AI17,1,0),0)</f>
        <v>0</v>
      </c>
      <c r="AI22" s="13">
        <f t="shared" ref="AI22:AI29" si="6">IF(SUM(AE22:AG22)&gt;=AB22,AB22,0)</f>
        <v>2</v>
      </c>
      <c r="AJ22" s="13">
        <f t="shared" ref="AJ22:AJ29" ca="1" si="7">IF(AH22=AB22,AB22,0)</f>
        <v>0</v>
      </c>
      <c r="AK22" s="95">
        <f t="shared" ref="AK22:AK29" ca="1" si="8">IF(SUM(AI22:AJ22)&lt;=0,AB22,0)</f>
        <v>0</v>
      </c>
      <c r="AL22" s="61">
        <f t="shared" ref="AL22:AL29" si="9">IF(AI22=AB22,0,AJ22)</f>
        <v>0</v>
      </c>
      <c r="AM22" s="43"/>
      <c r="AR22" s="116">
        <v>1</v>
      </c>
      <c r="AS22" s="113" t="s">
        <v>19</v>
      </c>
      <c r="AT22" s="113" t="s">
        <v>20</v>
      </c>
      <c r="AU22" s="113" t="s">
        <v>20</v>
      </c>
      <c r="AV22" s="113" t="s">
        <v>21</v>
      </c>
      <c r="AW22" s="113" t="s">
        <v>20</v>
      </c>
      <c r="AX22" s="113" t="s">
        <v>21</v>
      </c>
      <c r="AY22" s="113" t="s">
        <v>20</v>
      </c>
      <c r="AZ22" s="113" t="s">
        <v>21</v>
      </c>
      <c r="BA22" s="113" t="s">
        <v>14</v>
      </c>
      <c r="BE22" s="17"/>
      <c r="BF22" s="17"/>
      <c r="BG22" s="17"/>
      <c r="BH22" s="17"/>
      <c r="BI22" s="17"/>
      <c r="BJ22" s="17"/>
      <c r="BK22" s="17"/>
      <c r="BL22" s="17"/>
      <c r="BM22" s="17"/>
      <c r="BN22" s="17"/>
      <c r="BO22" s="17"/>
      <c r="BP22" s="17"/>
      <c r="BQ22" s="17"/>
      <c r="BR22" s="17"/>
      <c r="BS22" s="17"/>
      <c r="BT22" s="17"/>
      <c r="BU22" s="17"/>
      <c r="GB22" s="15">
        <v>20</v>
      </c>
      <c r="GC22" s="40" t="s">
        <v>20</v>
      </c>
      <c r="GG22" s="15">
        <v>9</v>
      </c>
      <c r="GH22" s="15" t="s">
        <v>14</v>
      </c>
      <c r="GI22" s="15" t="s">
        <v>14</v>
      </c>
      <c r="GJ22" s="15" t="s">
        <v>20</v>
      </c>
      <c r="GK22" s="15" t="s">
        <v>14</v>
      </c>
      <c r="GL22" s="15" t="s">
        <v>21</v>
      </c>
      <c r="GM22" s="15" t="s">
        <v>20</v>
      </c>
      <c r="GN22" s="15" t="s">
        <v>14</v>
      </c>
      <c r="GO22" s="15" t="s">
        <v>14</v>
      </c>
      <c r="GP22" s="15" t="s">
        <v>19</v>
      </c>
      <c r="GR22" s="15" t="s">
        <v>46</v>
      </c>
      <c r="GS22" s="15">
        <v>1</v>
      </c>
      <c r="GU22" s="15">
        <v>9</v>
      </c>
      <c r="GV22" s="24" t="s">
        <v>23</v>
      </c>
      <c r="GX22" s="15"/>
      <c r="GY22" s="15"/>
      <c r="GZ22" s="24">
        <f>COUNTIFS(C18:T18,GZ12)</f>
        <v>2</v>
      </c>
      <c r="HA22" s="24">
        <f>COUNTIFS(C18:T18,HA12)</f>
        <v>0</v>
      </c>
      <c r="HB22" s="24">
        <f>COUNTIFS(C18:T18,HB12)</f>
        <v>1</v>
      </c>
      <c r="HC22" s="24">
        <f>COUNTIFS(C18:T18,HC12)</f>
        <v>0</v>
      </c>
      <c r="HD22" s="24">
        <f>COUNTIFS(C18:T18,HD12)</f>
        <v>1</v>
      </c>
      <c r="HG22" s="25">
        <v>43840</v>
      </c>
      <c r="HH22" s="14" t="str">
        <f t="shared" si="4"/>
        <v>10-Jan</v>
      </c>
      <c r="HI22" s="14" t="s">
        <v>113</v>
      </c>
      <c r="HJ22" s="14" t="s">
        <v>130</v>
      </c>
      <c r="HK22" s="14" t="str">
        <f t="shared" si="3"/>
        <v>Capricorn - Earth</v>
      </c>
    </row>
    <row r="23" spans="1:219" ht="15" thickBot="1" x14ac:dyDescent="0.35">
      <c r="A23" s="17"/>
      <c r="B23" s="17"/>
      <c r="C23" s="17">
        <v>1</v>
      </c>
      <c r="D23" s="17">
        <f>IF(ISERROR(INDEX(GB:GB,MATCH(D22,$GB$1:$GB$100,1)+1,1)),"",INDEX(GB:GB,MATCH(D22,$GB$1:$GB$100,1)+1,1))</f>
        <v>32</v>
      </c>
      <c r="E23" s="17">
        <f t="shared" ref="E23:E32" si="10">IF(ISERROR(INDEX(GB:GB,MATCH(E22,$GB$1:$GB$100,1)+1,1)),"",INDEX(GB:GB,MATCH(E22,$GB$1:$GB$100,1)+1,1))</f>
        <v>51</v>
      </c>
      <c r="F23" s="17"/>
      <c r="G23" s="293">
        <f t="shared" ref="G23:G32" si="11">MOD(D23-1,9)+1</f>
        <v>5</v>
      </c>
      <c r="H23" s="293">
        <f t="shared" ref="H23:H32" si="12">MOD(E23-1,9)+1</f>
        <v>6</v>
      </c>
      <c r="J23" s="294" t="str">
        <f>INDEX($AR$21:$BA$32,MATCH($G23,$AR$21:$BA$21,0),MATCH($J$21,$AR$21:$AR$32,0))</f>
        <v>G</v>
      </c>
      <c r="K23" s="294" t="str">
        <f t="shared" ref="K23:K32" ca="1" si="13">INDEX($AR$21:$BA$32,MATCH($G23,$AR$21:$BA$21,0),MATCH($K$21,$AR$21:$AR$32,0))</f>
        <v>VG</v>
      </c>
      <c r="L23" s="294" t="str">
        <f>INDEX($AR$21:$BA$32,MATCH($H23,$AR$21:$BA$21,0),MATCH($L$21,$AR$21:$AR$32,0))</f>
        <v>G</v>
      </c>
      <c r="M23" s="294" t="str">
        <f t="shared" ref="M23:M32" ca="1" si="14">INDEX($AR$21:$BA$32,MATCH($H23,$AR$21:$BA$21,0),MATCH($M$21,$AR$21:$AR$32,0))</f>
        <v>G</v>
      </c>
      <c r="Y23" s="74" t="s">
        <v>49</v>
      </c>
      <c r="Z23" s="75">
        <f>C5+F5</f>
        <v>12</v>
      </c>
      <c r="AA23" s="75">
        <f>IF(LEN(Z23)&gt;1,LEFT(Z23,1)+RIGHT(Z23,1),Z23)</f>
        <v>3</v>
      </c>
      <c r="AB23" s="36">
        <v>3</v>
      </c>
      <c r="AC23" s="77">
        <f t="shared" si="5"/>
        <v>1</v>
      </c>
      <c r="AE23" s="106">
        <f>IFERROR(HLOOKUP(AB23,C15:T15,1,0),0)</f>
        <v>0</v>
      </c>
      <c r="AF23" s="43">
        <f>IFERROR(HLOOKUP(AB23,C17:T17,1,0),0)</f>
        <v>0</v>
      </c>
      <c r="AG23" s="43">
        <f>IFERROR(HLOOKUP(AB23,C19:T19,1,0),0)</f>
        <v>3</v>
      </c>
      <c r="AH23" s="61">
        <f ca="1">IFERROR(VLOOKUP(AB23,AI12:AI17,1,0),0)</f>
        <v>3</v>
      </c>
      <c r="AI23" s="13">
        <f t="shared" si="6"/>
        <v>3</v>
      </c>
      <c r="AJ23" s="13">
        <f t="shared" ca="1" si="7"/>
        <v>3</v>
      </c>
      <c r="AK23" s="95">
        <f t="shared" ca="1" si="8"/>
        <v>0</v>
      </c>
      <c r="AL23" s="61">
        <f t="shared" si="9"/>
        <v>0</v>
      </c>
      <c r="AM23" s="43"/>
      <c r="AN23" s="43"/>
      <c r="AR23" s="116">
        <v>2</v>
      </c>
      <c r="AS23" s="113" t="s">
        <v>20</v>
      </c>
      <c r="AT23" s="113" t="s">
        <v>19</v>
      </c>
      <c r="AU23" s="113" t="s">
        <v>20</v>
      </c>
      <c r="AV23" s="113" t="s">
        <v>20</v>
      </c>
      <c r="AW23" s="113" t="s">
        <v>21</v>
      </c>
      <c r="AX23" s="113" t="s">
        <v>20</v>
      </c>
      <c r="AY23" s="113" t="s">
        <v>26</v>
      </c>
      <c r="AZ23" s="113" t="s">
        <v>14</v>
      </c>
      <c r="BA23" s="113" t="s">
        <v>14</v>
      </c>
      <c r="GB23" s="15">
        <v>21</v>
      </c>
      <c r="GC23" s="24" t="s">
        <v>64</v>
      </c>
      <c r="GG23" s="15"/>
      <c r="GH23" s="15"/>
      <c r="GI23" s="15"/>
      <c r="GJ23" s="15"/>
      <c r="GK23" s="15"/>
      <c r="GL23" s="15"/>
      <c r="GM23" s="15"/>
      <c r="GN23" s="15"/>
      <c r="GO23" s="15"/>
      <c r="GP23" s="15"/>
      <c r="GR23" s="15" t="s">
        <v>50</v>
      </c>
      <c r="GS23" s="15">
        <v>2</v>
      </c>
      <c r="GU23" s="15">
        <v>10</v>
      </c>
      <c r="GV23" s="40" t="s">
        <v>33</v>
      </c>
      <c r="HG23" s="25">
        <v>43841</v>
      </c>
      <c r="HH23" s="14" t="str">
        <f t="shared" si="4"/>
        <v>11-Jan</v>
      </c>
      <c r="HI23" s="14" t="s">
        <v>113</v>
      </c>
      <c r="HJ23" s="14" t="s">
        <v>130</v>
      </c>
      <c r="HK23" s="14" t="str">
        <f t="shared" si="3"/>
        <v>Capricorn - Earth</v>
      </c>
    </row>
    <row r="24" spans="1:219" x14ac:dyDescent="0.3">
      <c r="A24" s="17"/>
      <c r="B24" s="17"/>
      <c r="C24" s="17">
        <v>2</v>
      </c>
      <c r="D24" s="17">
        <f t="shared" ref="D24:D32" si="15">IF(ISERROR(INDEX(GB:GB,MATCH(D23,$GB$1:$GB$33,1)+1,1)),"",INDEX(GB:GB,MATCH(D23,$GB$1:$GB$33,1)+1,1))</f>
        <v>33</v>
      </c>
      <c r="E24" s="17">
        <f t="shared" si="10"/>
        <v>52</v>
      </c>
      <c r="F24" s="17"/>
      <c r="G24" s="292">
        <f t="shared" si="11"/>
        <v>6</v>
      </c>
      <c r="H24" s="292">
        <f t="shared" si="12"/>
        <v>7</v>
      </c>
      <c r="J24" s="294" t="str">
        <f t="shared" ref="J24:J32" si="16">INDEX($AR$21:$BA$32,MATCH($G24,$AR$21:$BA$21,0),MATCH($J$21,$AR$21:$AR$32,0))</f>
        <v>G</v>
      </c>
      <c r="K24" s="294" t="str">
        <f t="shared" ca="1" si="13"/>
        <v>G</v>
      </c>
      <c r="L24" s="294" t="str">
        <f t="shared" ref="L24:L32" si="17">INDEX($AR$21:$BA$32,MATCH($H24,$AR$21:$BA$21,0),MATCH($L$21,$AR$21:$AR$32,0))</f>
        <v>E</v>
      </c>
      <c r="M24" s="294" t="str">
        <f t="shared" ca="1" si="14"/>
        <v>A</v>
      </c>
      <c r="AB24" s="36">
        <v>4</v>
      </c>
      <c r="AC24" s="77">
        <f t="shared" si="5"/>
        <v>2</v>
      </c>
      <c r="AE24" s="106">
        <f>IFERROR(HLOOKUP(AB24,C15:T15,1,0),0)</f>
        <v>4</v>
      </c>
      <c r="AF24" s="43">
        <f>IFERROR(HLOOKUP(AB24,C17:T17,1,0),0)</f>
        <v>0</v>
      </c>
      <c r="AG24" s="43">
        <f>IFERROR(HLOOKUP(AB24,C19:T19,1,0),0)</f>
        <v>4</v>
      </c>
      <c r="AH24" s="61">
        <f ca="1">IFERROR(VLOOKUP(AB24,AI12:AI17,1,0),0)</f>
        <v>0</v>
      </c>
      <c r="AI24" s="13">
        <f t="shared" si="6"/>
        <v>4</v>
      </c>
      <c r="AJ24" s="13">
        <f t="shared" ca="1" si="7"/>
        <v>0</v>
      </c>
      <c r="AK24" s="95">
        <f t="shared" ca="1" si="8"/>
        <v>0</v>
      </c>
      <c r="AL24" s="61">
        <f t="shared" si="9"/>
        <v>0</v>
      </c>
      <c r="AM24" s="43"/>
      <c r="AN24" s="43"/>
      <c r="AR24" s="116">
        <v>3</v>
      </c>
      <c r="AS24" s="113" t="s">
        <v>20</v>
      </c>
      <c r="AT24" s="113" t="s">
        <v>20</v>
      </c>
      <c r="AU24" s="113" t="s">
        <v>19</v>
      </c>
      <c r="AV24" s="113" t="s">
        <v>14</v>
      </c>
      <c r="AW24" s="113" t="s">
        <v>20</v>
      </c>
      <c r="AX24" s="113" t="s">
        <v>14</v>
      </c>
      <c r="AY24" s="113" t="s">
        <v>20</v>
      </c>
      <c r="AZ24" s="113" t="s">
        <v>20</v>
      </c>
      <c r="BA24" s="113" t="s">
        <v>20</v>
      </c>
      <c r="GB24" s="15">
        <v>23</v>
      </c>
      <c r="GC24" s="24" t="s">
        <v>64</v>
      </c>
      <c r="GG24" s="15"/>
      <c r="GH24" s="15" t="s">
        <v>14</v>
      </c>
      <c r="GI24" s="15" t="s">
        <v>22</v>
      </c>
      <c r="GJ24" s="15" t="s">
        <v>27</v>
      </c>
      <c r="GK24" s="15" t="s">
        <v>29</v>
      </c>
      <c r="GL24" s="15" t="s">
        <v>19</v>
      </c>
      <c r="GM24" s="15" t="s">
        <v>51</v>
      </c>
      <c r="GN24" s="15" t="s">
        <v>52</v>
      </c>
      <c r="GO24" s="15" t="s">
        <v>21</v>
      </c>
      <c r="GP24" s="15"/>
      <c r="GR24" s="15" t="s">
        <v>53</v>
      </c>
      <c r="GS24" s="15">
        <v>3</v>
      </c>
      <c r="GU24" s="15">
        <v>11</v>
      </c>
      <c r="GV24" s="24" t="s">
        <v>23</v>
      </c>
      <c r="HG24" s="25">
        <v>43842</v>
      </c>
      <c r="HH24" s="14" t="str">
        <f t="shared" si="4"/>
        <v>12-Jan</v>
      </c>
      <c r="HI24" s="14" t="s">
        <v>113</v>
      </c>
      <c r="HJ24" s="14" t="s">
        <v>130</v>
      </c>
      <c r="HK24" s="14" t="str">
        <f t="shared" si="3"/>
        <v>Capricorn - Earth</v>
      </c>
    </row>
    <row r="25" spans="1:219" x14ac:dyDescent="0.3">
      <c r="A25" s="17"/>
      <c r="B25" s="17"/>
      <c r="C25" s="17">
        <v>3</v>
      </c>
      <c r="D25" s="17">
        <f t="shared" si="15"/>
        <v>34</v>
      </c>
      <c r="E25" s="17">
        <f t="shared" si="10"/>
        <v>55</v>
      </c>
      <c r="F25" s="17"/>
      <c r="G25" s="292">
        <f t="shared" si="11"/>
        <v>7</v>
      </c>
      <c r="H25" s="292">
        <f t="shared" si="12"/>
        <v>1</v>
      </c>
      <c r="J25" s="294" t="str">
        <f t="shared" si="16"/>
        <v>E</v>
      </c>
      <c r="K25" s="294" t="str">
        <f t="shared" ca="1" si="13"/>
        <v>A</v>
      </c>
      <c r="L25" s="294" t="str">
        <f t="shared" si="17"/>
        <v>G</v>
      </c>
      <c r="M25" s="294" t="str">
        <f t="shared" ca="1" si="14"/>
        <v>F</v>
      </c>
      <c r="AB25" s="36">
        <v>5</v>
      </c>
      <c r="AC25" s="77">
        <f t="shared" si="5"/>
        <v>2</v>
      </c>
      <c r="AE25" s="106">
        <f>IFERROR(HLOOKUP(AB25,C15:T15,1,0),0)</f>
        <v>5</v>
      </c>
      <c r="AF25" s="43">
        <f>IFERROR(HLOOKUP(AB25,C17:T17,1,0),0)</f>
        <v>0</v>
      </c>
      <c r="AG25" s="43">
        <f>IFERROR(HLOOKUP(AB25,C19:T19,1,0),0)</f>
        <v>0</v>
      </c>
      <c r="AH25" s="61">
        <f ca="1">IFERROR(VLOOKUP(AB25,AI12:AI17,1,0),0)</f>
        <v>5</v>
      </c>
      <c r="AI25" s="13">
        <f t="shared" si="6"/>
        <v>5</v>
      </c>
      <c r="AJ25" s="13">
        <f t="shared" ca="1" si="7"/>
        <v>5</v>
      </c>
      <c r="AK25" s="95">
        <f t="shared" ca="1" si="8"/>
        <v>0</v>
      </c>
      <c r="AL25" s="61">
        <f t="shared" si="9"/>
        <v>0</v>
      </c>
      <c r="AM25" s="43"/>
      <c r="AN25" s="43"/>
      <c r="AR25" s="116">
        <v>4</v>
      </c>
      <c r="AS25" s="113" t="s">
        <v>21</v>
      </c>
      <c r="AT25" s="113" t="s">
        <v>20</v>
      </c>
      <c r="AU25" s="113" t="s">
        <v>14</v>
      </c>
      <c r="AV25" s="113" t="s">
        <v>19</v>
      </c>
      <c r="AW25" s="113" t="s">
        <v>20</v>
      </c>
      <c r="AX25" s="113" t="s">
        <v>20</v>
      </c>
      <c r="AY25" s="113" t="s">
        <v>20</v>
      </c>
      <c r="AZ25" s="113" t="s">
        <v>14</v>
      </c>
      <c r="BA25" s="108" t="s">
        <v>96</v>
      </c>
      <c r="GB25" s="15">
        <v>24</v>
      </c>
      <c r="GC25" s="24" t="s">
        <v>64</v>
      </c>
      <c r="GG25" s="15"/>
      <c r="GH25" s="15" t="s">
        <v>43</v>
      </c>
      <c r="GI25" s="15" t="s">
        <v>50</v>
      </c>
      <c r="GJ25" s="15" t="s">
        <v>20</v>
      </c>
      <c r="GK25" s="15" t="s">
        <v>47</v>
      </c>
      <c r="GL25" s="15" t="s">
        <v>41</v>
      </c>
      <c r="GM25" s="15" t="s">
        <v>56</v>
      </c>
      <c r="GN25" s="15" t="s">
        <v>57</v>
      </c>
      <c r="GO25" s="15" t="s">
        <v>58</v>
      </c>
      <c r="GP25" s="15"/>
      <c r="GR25" s="15" t="s">
        <v>47</v>
      </c>
      <c r="GS25" s="15">
        <v>4</v>
      </c>
      <c r="GU25" s="15">
        <v>12</v>
      </c>
      <c r="GV25" s="40" t="s">
        <v>33</v>
      </c>
      <c r="HG25" s="25">
        <v>43843</v>
      </c>
      <c r="HH25" s="14" t="str">
        <f t="shared" si="4"/>
        <v>13-Jan</v>
      </c>
      <c r="HI25" s="14" t="s">
        <v>113</v>
      </c>
      <c r="HJ25" s="14" t="s">
        <v>130</v>
      </c>
      <c r="HK25" s="14" t="str">
        <f t="shared" si="3"/>
        <v>Capricorn - Earth</v>
      </c>
    </row>
    <row r="26" spans="1:219" ht="15" thickBot="1" x14ac:dyDescent="0.35">
      <c r="A26" s="17"/>
      <c r="B26" s="17"/>
      <c r="C26" s="17">
        <v>4</v>
      </c>
      <c r="D26" s="17">
        <f t="shared" si="15"/>
        <v>36</v>
      </c>
      <c r="E26" s="17">
        <f t="shared" si="10"/>
        <v>57</v>
      </c>
      <c r="F26" s="17"/>
      <c r="G26" s="292">
        <f t="shared" si="11"/>
        <v>9</v>
      </c>
      <c r="H26" s="292">
        <f t="shared" si="12"/>
        <v>3</v>
      </c>
      <c r="J26" s="294" t="str">
        <f t="shared" si="16"/>
        <v>A</v>
      </c>
      <c r="K26" s="294" t="str">
        <f t="shared" ca="1" si="13"/>
        <v>SA</v>
      </c>
      <c r="L26" s="294" t="str">
        <f t="shared" si="17"/>
        <v>G</v>
      </c>
      <c r="M26" s="294" t="str">
        <f t="shared" ca="1" si="14"/>
        <v>G</v>
      </c>
      <c r="AB26" s="36">
        <v>6</v>
      </c>
      <c r="AC26" s="77">
        <f>COUNTIF(C$15:T$15,AB26)+COUNTIF(C$17:T$17,AB26)+COUNTIF(C$19:T$19,AB26)</f>
        <v>1</v>
      </c>
      <c r="AE26" s="106">
        <f>IFERROR(HLOOKUP(AB26,C15:T15,1,0),0)</f>
        <v>0</v>
      </c>
      <c r="AF26" s="43">
        <f>IFERROR(HLOOKUP(AB26,C17:T17,1,0),0)</f>
        <v>0</v>
      </c>
      <c r="AG26" s="43">
        <f>IFERROR(HLOOKUP(AB26,C19:T19,1,0),0)</f>
        <v>6</v>
      </c>
      <c r="AH26" s="61">
        <f ca="1">IFERROR(VLOOKUP(AB26,AI12:AI17,1,0),0)</f>
        <v>6</v>
      </c>
      <c r="AI26" s="13">
        <f t="shared" si="6"/>
        <v>6</v>
      </c>
      <c r="AJ26" s="13">
        <f t="shared" ca="1" si="7"/>
        <v>6</v>
      </c>
      <c r="AK26" s="95">
        <f t="shared" ca="1" si="8"/>
        <v>0</v>
      </c>
      <c r="AL26" s="61">
        <f t="shared" si="9"/>
        <v>0</v>
      </c>
      <c r="AM26" s="43"/>
      <c r="AN26" s="43"/>
      <c r="AR26" s="116">
        <v>5</v>
      </c>
      <c r="AS26" s="113" t="s">
        <v>20</v>
      </c>
      <c r="AT26" s="113" t="s">
        <v>21</v>
      </c>
      <c r="AU26" s="113" t="s">
        <v>20</v>
      </c>
      <c r="AV26" s="113" t="s">
        <v>20</v>
      </c>
      <c r="AW26" s="113" t="s">
        <v>19</v>
      </c>
      <c r="AX26" s="113" t="s">
        <v>21</v>
      </c>
      <c r="AY26" s="113" t="s">
        <v>20</v>
      </c>
      <c r="AZ26" s="113" t="s">
        <v>26</v>
      </c>
      <c r="BA26" s="113" t="s">
        <v>21</v>
      </c>
      <c r="GB26" s="15">
        <v>25</v>
      </c>
      <c r="GC26" s="40" t="s">
        <v>20</v>
      </c>
      <c r="GG26" s="15"/>
      <c r="GH26" s="15" t="s">
        <v>46</v>
      </c>
      <c r="GI26" s="15" t="s">
        <v>59</v>
      </c>
      <c r="GJ26" s="15" t="s">
        <v>53</v>
      </c>
      <c r="GK26" s="15" t="s">
        <v>60</v>
      </c>
      <c r="GL26" s="15" t="s">
        <v>61</v>
      </c>
      <c r="GM26" s="15" t="s">
        <v>62</v>
      </c>
      <c r="GN26" s="15"/>
      <c r="GO26" s="15"/>
      <c r="GP26" s="15"/>
      <c r="GR26" s="15" t="s">
        <v>61</v>
      </c>
      <c r="GS26" s="15">
        <v>5</v>
      </c>
      <c r="GU26" s="15">
        <v>13</v>
      </c>
      <c r="GV26" s="40" t="s">
        <v>33</v>
      </c>
      <c r="HG26" s="25">
        <v>43844</v>
      </c>
      <c r="HH26" s="14" t="str">
        <f t="shared" si="4"/>
        <v>14-Jan</v>
      </c>
      <c r="HI26" s="14" t="s">
        <v>113</v>
      </c>
      <c r="HJ26" s="14" t="s">
        <v>130</v>
      </c>
      <c r="HK26" s="14" t="str">
        <f t="shared" si="3"/>
        <v>Capricorn - Earth</v>
      </c>
    </row>
    <row r="27" spans="1:219" x14ac:dyDescent="0.3">
      <c r="A27" s="17"/>
      <c r="B27" s="17"/>
      <c r="C27" s="17">
        <v>5</v>
      </c>
      <c r="D27" s="17">
        <f t="shared" si="15"/>
        <v>37</v>
      </c>
      <c r="E27" s="17">
        <f t="shared" si="10"/>
        <v>59</v>
      </c>
      <c r="F27" s="17"/>
      <c r="G27" s="292">
        <f t="shared" si="11"/>
        <v>1</v>
      </c>
      <c r="H27" s="292">
        <f t="shared" si="12"/>
        <v>5</v>
      </c>
      <c r="J27" s="294" t="str">
        <f t="shared" si="16"/>
        <v>G</v>
      </c>
      <c r="K27" s="294" t="str">
        <f t="shared" ca="1" si="13"/>
        <v>F</v>
      </c>
      <c r="L27" s="294" t="str">
        <f t="shared" si="17"/>
        <v>G</v>
      </c>
      <c r="M27" s="294" t="str">
        <f t="shared" ca="1" si="14"/>
        <v>VG</v>
      </c>
      <c r="AB27" s="36">
        <v>7</v>
      </c>
      <c r="AC27" s="77">
        <f t="shared" si="5"/>
        <v>2</v>
      </c>
      <c r="AE27" s="106">
        <f>IFERROR(HLOOKUP(AB27,C15:T15,1,0),0)</f>
        <v>7</v>
      </c>
      <c r="AF27" s="43">
        <f>IFERROR(HLOOKUP(AB27,C17:T17,1,0),0)</f>
        <v>0</v>
      </c>
      <c r="AG27" s="43">
        <f>IFERROR(HLOOKUP(AB27,C19:T19,1,0),0)</f>
        <v>0</v>
      </c>
      <c r="AH27" s="61">
        <f>IFERROR(VLOOKUP(AB27,AI12:AI17,1,0),0)</f>
        <v>7</v>
      </c>
      <c r="AI27" s="13">
        <f t="shared" si="6"/>
        <v>7</v>
      </c>
      <c r="AJ27" s="13">
        <f t="shared" si="7"/>
        <v>7</v>
      </c>
      <c r="AK27" s="95">
        <f t="shared" si="8"/>
        <v>0</v>
      </c>
      <c r="AL27" s="61">
        <f t="shared" si="9"/>
        <v>0</v>
      </c>
      <c r="AM27" s="43"/>
      <c r="AN27" s="43"/>
      <c r="AR27" s="116">
        <v>6</v>
      </c>
      <c r="AS27" s="113" t="s">
        <v>21</v>
      </c>
      <c r="AT27" s="113" t="s">
        <v>20</v>
      </c>
      <c r="AU27" s="113" t="s">
        <v>14</v>
      </c>
      <c r="AV27" s="113" t="s">
        <v>20</v>
      </c>
      <c r="AW27" s="113" t="s">
        <v>21</v>
      </c>
      <c r="AX27" s="113" t="s">
        <v>19</v>
      </c>
      <c r="AY27" s="113" t="s">
        <v>20</v>
      </c>
      <c r="AZ27" s="113" t="s">
        <v>20</v>
      </c>
      <c r="BA27" s="113" t="s">
        <v>20</v>
      </c>
      <c r="BE27" s="266"/>
      <c r="BF27" s="243" t="s">
        <v>18</v>
      </c>
      <c r="BG27" s="244" t="s">
        <v>25</v>
      </c>
      <c r="BH27" s="240"/>
      <c r="BI27" s="239"/>
      <c r="BJ27" s="239"/>
      <c r="BK27" s="239"/>
      <c r="BL27" s="239"/>
      <c r="BM27" s="239"/>
      <c r="BN27" s="239"/>
      <c r="GB27" s="15">
        <v>27</v>
      </c>
      <c r="GC27" s="40" t="s">
        <v>20</v>
      </c>
      <c r="GG27" s="15"/>
      <c r="GH27" s="15" t="s">
        <v>63</v>
      </c>
      <c r="GI27" s="15"/>
      <c r="GJ27" s="15" t="s">
        <v>64</v>
      </c>
      <c r="GK27" s="15"/>
      <c r="GL27" s="15" t="s">
        <v>23</v>
      </c>
      <c r="GM27" s="15"/>
      <c r="GN27" s="15"/>
      <c r="GO27" s="15"/>
      <c r="GP27" s="15"/>
      <c r="GR27" s="15" t="s">
        <v>52</v>
      </c>
      <c r="GS27" s="15">
        <v>7</v>
      </c>
      <c r="GU27" s="15">
        <v>14</v>
      </c>
      <c r="GV27" s="40" t="s">
        <v>33</v>
      </c>
      <c r="HG27" s="25">
        <v>43845</v>
      </c>
      <c r="HH27" s="14" t="str">
        <f t="shared" si="4"/>
        <v>15-Jan</v>
      </c>
      <c r="HI27" s="14" t="s">
        <v>113</v>
      </c>
      <c r="HJ27" s="14" t="s">
        <v>130</v>
      </c>
      <c r="HK27" s="14" t="str">
        <f t="shared" si="3"/>
        <v>Capricorn - Earth</v>
      </c>
    </row>
    <row r="28" spans="1:219" ht="15" thickBot="1" x14ac:dyDescent="0.35">
      <c r="A28" s="17"/>
      <c r="B28" s="17"/>
      <c r="C28" s="17">
        <v>6</v>
      </c>
      <c r="D28" s="17">
        <f t="shared" si="15"/>
        <v>38</v>
      </c>
      <c r="E28" s="17">
        <f t="shared" si="10"/>
        <v>60</v>
      </c>
      <c r="F28" s="17"/>
      <c r="G28" s="292">
        <f t="shared" si="11"/>
        <v>2</v>
      </c>
      <c r="H28" s="292">
        <f t="shared" si="12"/>
        <v>6</v>
      </c>
      <c r="J28" s="294" t="str">
        <f t="shared" si="16"/>
        <v>VG</v>
      </c>
      <c r="K28" s="294" t="str">
        <f t="shared" ca="1" si="13"/>
        <v>A</v>
      </c>
      <c r="L28" s="294" t="str">
        <f t="shared" si="17"/>
        <v>G</v>
      </c>
      <c r="M28" s="294" t="str">
        <f t="shared" ca="1" si="14"/>
        <v>G</v>
      </c>
      <c r="AB28" s="36">
        <v>8</v>
      </c>
      <c r="AC28" s="77">
        <f t="shared" si="5"/>
        <v>0</v>
      </c>
      <c r="AE28" s="106">
        <f>IFERROR(HLOOKUP(AB28,C15:T15,1,0),0)</f>
        <v>0</v>
      </c>
      <c r="AF28" s="43">
        <f>IFERROR(HLOOKUP(AB28,C17:T17,1,0),0)</f>
        <v>0</v>
      </c>
      <c r="AG28" s="43">
        <f>IFERROR(HLOOKUP(AB28,C19:T19,1,0),0)</f>
        <v>0</v>
      </c>
      <c r="AH28" s="61">
        <f ca="1">IFERROR(VLOOKUP(AB28,AI12:AI17,1,0),0)</f>
        <v>8</v>
      </c>
      <c r="AI28" s="13">
        <f t="shared" si="6"/>
        <v>0</v>
      </c>
      <c r="AJ28" s="13">
        <f t="shared" ca="1" si="7"/>
        <v>8</v>
      </c>
      <c r="AK28" s="95">
        <f t="shared" ca="1" si="8"/>
        <v>0</v>
      </c>
      <c r="AL28" s="61">
        <f t="shared" ca="1" si="9"/>
        <v>8</v>
      </c>
      <c r="AM28" s="43"/>
      <c r="AN28" s="43"/>
      <c r="AR28" s="116">
        <v>7</v>
      </c>
      <c r="AS28" s="113" t="s">
        <v>20</v>
      </c>
      <c r="AT28" s="113" t="s">
        <v>26</v>
      </c>
      <c r="AU28" s="113" t="s">
        <v>20</v>
      </c>
      <c r="AV28" s="113" t="s">
        <v>20</v>
      </c>
      <c r="AW28" s="113" t="s">
        <v>20</v>
      </c>
      <c r="AX28" s="113" t="s">
        <v>20</v>
      </c>
      <c r="AY28" s="113" t="s">
        <v>19</v>
      </c>
      <c r="AZ28" s="113" t="s">
        <v>14</v>
      </c>
      <c r="BA28" s="113" t="s">
        <v>14</v>
      </c>
      <c r="BE28" s="267"/>
      <c r="BF28" s="249">
        <f>AA14</f>
        <v>7</v>
      </c>
      <c r="BG28" s="250">
        <f ca="1">AA15</f>
        <v>8</v>
      </c>
      <c r="BH28" s="251"/>
      <c r="BI28" s="252"/>
      <c r="BJ28" s="252"/>
      <c r="BK28" s="252"/>
      <c r="BL28" s="252"/>
      <c r="BM28" s="252"/>
      <c r="BN28" s="252"/>
      <c r="GB28" s="15">
        <v>30</v>
      </c>
      <c r="GC28" s="24" t="s">
        <v>64</v>
      </c>
      <c r="GG28" s="15"/>
      <c r="GH28" s="15" t="s">
        <v>48</v>
      </c>
      <c r="GI28" s="15"/>
      <c r="GJ28" s="15"/>
      <c r="GK28" s="15"/>
      <c r="GL28" s="15"/>
      <c r="GM28" s="15"/>
      <c r="GN28" s="15"/>
      <c r="GO28" s="15"/>
      <c r="GP28" s="15"/>
      <c r="GR28" s="15" t="s">
        <v>58</v>
      </c>
      <c r="GS28" s="15">
        <v>8</v>
      </c>
      <c r="GU28" s="15">
        <v>15</v>
      </c>
      <c r="GV28" s="40" t="s">
        <v>33</v>
      </c>
      <c r="HG28" s="25">
        <v>43846</v>
      </c>
      <c r="HH28" s="14" t="str">
        <f t="shared" si="4"/>
        <v>16-Jan</v>
      </c>
      <c r="HI28" s="14" t="s">
        <v>113</v>
      </c>
      <c r="HJ28" s="14" t="s">
        <v>130</v>
      </c>
      <c r="HK28" s="14" t="str">
        <f t="shared" si="3"/>
        <v>Capricorn - Earth</v>
      </c>
    </row>
    <row r="29" spans="1:219" ht="15" thickBot="1" x14ac:dyDescent="0.35">
      <c r="B29" s="17"/>
      <c r="C29" s="17">
        <v>7</v>
      </c>
      <c r="D29" s="17">
        <f t="shared" si="15"/>
        <v>38</v>
      </c>
      <c r="E29" s="17">
        <f t="shared" si="10"/>
        <v>64</v>
      </c>
      <c r="F29" s="17"/>
      <c r="G29" s="292">
        <f t="shared" si="11"/>
        <v>2</v>
      </c>
      <c r="H29" s="292">
        <f t="shared" si="12"/>
        <v>1</v>
      </c>
      <c r="J29" s="294" t="str">
        <f t="shared" si="16"/>
        <v>VG</v>
      </c>
      <c r="K29" s="294" t="str">
        <f t="shared" ca="1" si="13"/>
        <v>A</v>
      </c>
      <c r="L29" s="294" t="str">
        <f t="shared" si="17"/>
        <v>G</v>
      </c>
      <c r="M29" s="294" t="str">
        <f t="shared" ca="1" si="14"/>
        <v>F</v>
      </c>
      <c r="AB29" s="76">
        <v>9</v>
      </c>
      <c r="AC29" s="64"/>
      <c r="AD29" s="88"/>
      <c r="AE29" s="76">
        <f>IFERROR(HLOOKUP(AB29,C15:T15,1,0),0)</f>
        <v>0</v>
      </c>
      <c r="AF29" s="51">
        <f>IFERROR(HLOOKUP(AB29,C17:T17,1,0),0)</f>
        <v>0</v>
      </c>
      <c r="AG29" s="51">
        <f>IFERROR(HLOOKUP(AB29,C19:T19,1,0),0)</f>
        <v>0</v>
      </c>
      <c r="AH29" s="63">
        <f ca="1">IFERROR(VLOOKUP(AB29,AI12:AI17,1,0),0)</f>
        <v>0</v>
      </c>
      <c r="AI29" s="50">
        <f t="shared" si="6"/>
        <v>0</v>
      </c>
      <c r="AJ29" s="50">
        <f t="shared" ca="1" si="7"/>
        <v>0</v>
      </c>
      <c r="AK29" s="96">
        <f t="shared" ca="1" si="8"/>
        <v>9</v>
      </c>
      <c r="AL29" s="63">
        <f t="shared" ca="1" si="9"/>
        <v>0</v>
      </c>
      <c r="AM29" s="43"/>
      <c r="AN29" s="43"/>
      <c r="AR29" s="116">
        <v>8</v>
      </c>
      <c r="AS29" s="113" t="s">
        <v>21</v>
      </c>
      <c r="AT29" s="113" t="s">
        <v>14</v>
      </c>
      <c r="AU29" s="113" t="s">
        <v>20</v>
      </c>
      <c r="AV29" s="113" t="s">
        <v>14</v>
      </c>
      <c r="AW29" s="113" t="s">
        <v>26</v>
      </c>
      <c r="AX29" s="113" t="s">
        <v>20</v>
      </c>
      <c r="AY29" s="113" t="s">
        <v>14</v>
      </c>
      <c r="AZ29" s="113" t="s">
        <v>19</v>
      </c>
      <c r="BA29" s="108" t="s">
        <v>96</v>
      </c>
      <c r="BE29" s="267">
        <v>1</v>
      </c>
      <c r="BF29" s="243" t="str">
        <f t="shared" ref="BF29:BF37" si="18">INDEX($AR$21:$BA$32,MATCH($BE29,$AR$21:$BA$21,0),MATCH($BF$28,$AR$21:$AR$32,0))</f>
        <v>G</v>
      </c>
      <c r="BG29" s="244" t="str">
        <f t="shared" ref="BG29:BG37" ca="1" si="19">INDEX($AR$21:$BA$32,MATCH($BE29,$AR$21:$BA$21,0),MATCH($BG$28,$AR$21:$AR$32,0))</f>
        <v>F</v>
      </c>
      <c r="BH29" s="253"/>
      <c r="BI29" s="254">
        <v>1</v>
      </c>
      <c r="BJ29" s="255">
        <v>10</v>
      </c>
      <c r="BK29" s="256">
        <v>19</v>
      </c>
      <c r="BL29" s="254">
        <v>28</v>
      </c>
      <c r="BM29" s="255">
        <v>37</v>
      </c>
      <c r="BN29" s="257">
        <v>46</v>
      </c>
      <c r="BP29" s="278">
        <v>1</v>
      </c>
      <c r="BQ29" s="274" t="s">
        <v>14</v>
      </c>
      <c r="BR29" s="269" t="s">
        <v>43</v>
      </c>
      <c r="BS29" s="270" t="s">
        <v>46</v>
      </c>
      <c r="BT29" s="270" t="s">
        <v>63</v>
      </c>
      <c r="BU29" s="271" t="s">
        <v>48</v>
      </c>
      <c r="GB29" s="15">
        <v>32</v>
      </c>
      <c r="GC29" s="40" t="s">
        <v>20</v>
      </c>
      <c r="GR29" s="15" t="s">
        <v>63</v>
      </c>
      <c r="GS29" s="15">
        <v>1</v>
      </c>
      <c r="GU29" s="15">
        <v>16</v>
      </c>
      <c r="GV29" s="24" t="s">
        <v>23</v>
      </c>
      <c r="GX29" s="15"/>
      <c r="GY29" s="42" t="s">
        <v>4</v>
      </c>
      <c r="GZ29" s="16" t="s">
        <v>5</v>
      </c>
      <c r="HA29" s="16" t="s">
        <v>6</v>
      </c>
      <c r="HB29" s="16" t="s">
        <v>7</v>
      </c>
      <c r="HC29" s="16" t="s">
        <v>8</v>
      </c>
      <c r="HD29" s="16" t="s">
        <v>9</v>
      </c>
      <c r="HG29" s="25">
        <v>43847</v>
      </c>
      <c r="HH29" s="14" t="str">
        <f t="shared" si="4"/>
        <v>17-Jan</v>
      </c>
      <c r="HI29" s="14" t="s">
        <v>113</v>
      </c>
      <c r="HJ29" s="14" t="s">
        <v>130</v>
      </c>
      <c r="HK29" s="14" t="str">
        <f t="shared" si="3"/>
        <v>Capricorn - Earth</v>
      </c>
    </row>
    <row r="30" spans="1:219" x14ac:dyDescent="0.3">
      <c r="B30" s="17"/>
      <c r="C30" s="17">
        <v>8</v>
      </c>
      <c r="D30" s="17">
        <f t="shared" si="15"/>
        <v>38</v>
      </c>
      <c r="E30" s="17">
        <f t="shared" si="10"/>
        <v>66</v>
      </c>
      <c r="G30" s="292">
        <f t="shared" si="11"/>
        <v>2</v>
      </c>
      <c r="H30" s="292">
        <f t="shared" si="12"/>
        <v>3</v>
      </c>
      <c r="J30" s="294" t="str">
        <f t="shared" si="16"/>
        <v>VG</v>
      </c>
      <c r="K30" s="294" t="str">
        <f t="shared" ca="1" si="13"/>
        <v>A</v>
      </c>
      <c r="L30" s="294" t="str">
        <f t="shared" si="17"/>
        <v>G</v>
      </c>
      <c r="M30" s="294" t="str">
        <f t="shared" ca="1" si="14"/>
        <v>G</v>
      </c>
      <c r="AB30" s="43"/>
      <c r="AE30" s="43"/>
      <c r="AF30" s="43"/>
      <c r="AG30" s="43"/>
      <c r="AH30" s="43"/>
      <c r="AK30" s="43"/>
      <c r="AL30" s="43"/>
      <c r="AM30" s="43"/>
      <c r="AN30" s="43"/>
      <c r="AR30" s="116">
        <v>9</v>
      </c>
      <c r="AS30" s="113" t="s">
        <v>14</v>
      </c>
      <c r="AT30" s="113" t="s">
        <v>14</v>
      </c>
      <c r="AU30" s="113" t="s">
        <v>20</v>
      </c>
      <c r="AV30" s="108" t="s">
        <v>96</v>
      </c>
      <c r="AW30" s="113" t="s">
        <v>21</v>
      </c>
      <c r="AX30" s="113" t="s">
        <v>20</v>
      </c>
      <c r="AY30" s="113" t="s">
        <v>14</v>
      </c>
      <c r="AZ30" s="108" t="s">
        <v>96</v>
      </c>
      <c r="BA30" s="113" t="s">
        <v>19</v>
      </c>
      <c r="BE30" s="267">
        <v>2</v>
      </c>
      <c r="BF30" s="245" t="str">
        <f t="shared" si="18"/>
        <v>VG</v>
      </c>
      <c r="BG30" s="246" t="str">
        <f t="shared" ca="1" si="19"/>
        <v>A</v>
      </c>
      <c r="BH30" s="241"/>
      <c r="BI30" s="110">
        <v>2</v>
      </c>
      <c r="BJ30" s="110">
        <v>11</v>
      </c>
      <c r="BK30" s="113">
        <v>20</v>
      </c>
      <c r="BL30" s="110">
        <v>29</v>
      </c>
      <c r="BM30" s="112">
        <v>38</v>
      </c>
      <c r="BN30" s="258">
        <v>47</v>
      </c>
      <c r="BP30" s="279">
        <v>2</v>
      </c>
      <c r="BQ30" s="275" t="s">
        <v>22</v>
      </c>
      <c r="BR30" s="113" t="s">
        <v>50</v>
      </c>
      <c r="BS30" s="113" t="s">
        <v>59</v>
      </c>
      <c r="BT30" s="113"/>
      <c r="BU30" s="272"/>
      <c r="GB30" s="15">
        <v>33</v>
      </c>
      <c r="GC30" s="40" t="s">
        <v>20</v>
      </c>
      <c r="GR30" s="15" t="s">
        <v>59</v>
      </c>
      <c r="GS30" s="15">
        <v>2</v>
      </c>
      <c r="GU30" s="15">
        <v>17</v>
      </c>
      <c r="GV30" s="40" t="s">
        <v>33</v>
      </c>
      <c r="GX30" s="15"/>
      <c r="GY30" s="42" t="s">
        <v>4</v>
      </c>
      <c r="GZ30" s="16" t="s">
        <v>5</v>
      </c>
      <c r="HA30" s="16" t="s">
        <v>6</v>
      </c>
      <c r="HB30" s="16" t="s">
        <v>7</v>
      </c>
      <c r="HC30" s="16" t="s">
        <v>8</v>
      </c>
      <c r="HD30" s="16" t="s">
        <v>9</v>
      </c>
      <c r="HG30" s="25">
        <v>43848</v>
      </c>
      <c r="HH30" s="14" t="str">
        <f t="shared" ref="HH30:HH77" si="20">TEXT(HG30,"DD-MMM")</f>
        <v>18-Jan</v>
      </c>
      <c r="HI30" s="14" t="s">
        <v>113</v>
      </c>
      <c r="HJ30" s="14" t="s">
        <v>130</v>
      </c>
      <c r="HK30" s="14" t="str">
        <f t="shared" ref="HK30:HK76" si="21">HI30&amp;" - "&amp;HJ30</f>
        <v>Capricorn - Earth</v>
      </c>
    </row>
    <row r="31" spans="1:219" x14ac:dyDescent="0.3">
      <c r="B31" s="17"/>
      <c r="C31" s="17">
        <v>9</v>
      </c>
      <c r="D31" s="17">
        <f t="shared" si="15"/>
        <v>38</v>
      </c>
      <c r="E31" s="17">
        <f t="shared" si="10"/>
        <v>68</v>
      </c>
      <c r="G31" s="292">
        <f t="shared" si="11"/>
        <v>2</v>
      </c>
      <c r="H31" s="292">
        <f t="shared" si="12"/>
        <v>5</v>
      </c>
      <c r="J31" s="294" t="str">
        <f t="shared" si="16"/>
        <v>VG</v>
      </c>
      <c r="K31" s="294" t="str">
        <f t="shared" ca="1" si="13"/>
        <v>A</v>
      </c>
      <c r="L31" s="294" t="str">
        <f t="shared" si="17"/>
        <v>G</v>
      </c>
      <c r="M31" s="294" t="str">
        <f t="shared" ca="1" si="14"/>
        <v>VG</v>
      </c>
      <c r="AB31" s="43"/>
      <c r="AE31" s="43"/>
      <c r="AF31" s="43"/>
      <c r="AG31" s="43"/>
      <c r="AH31" s="43"/>
      <c r="AK31" s="43"/>
      <c r="AL31" s="43"/>
      <c r="AM31" s="43"/>
      <c r="AN31" s="43"/>
      <c r="AR31" s="116"/>
      <c r="AS31" s="113"/>
      <c r="AT31" s="113"/>
      <c r="AU31" s="113"/>
      <c r="AV31" s="113"/>
      <c r="AW31" s="113"/>
      <c r="AX31" s="113"/>
      <c r="AY31" s="113"/>
      <c r="AZ31" s="113"/>
      <c r="BA31" s="108"/>
      <c r="BE31" s="267">
        <v>3</v>
      </c>
      <c r="BF31" s="245" t="str">
        <f t="shared" si="18"/>
        <v>G</v>
      </c>
      <c r="BG31" s="246" t="str">
        <f t="shared" ca="1" si="19"/>
        <v>G</v>
      </c>
      <c r="BH31" s="242"/>
      <c r="BI31" s="110">
        <v>3</v>
      </c>
      <c r="BJ31" s="111">
        <v>12</v>
      </c>
      <c r="BK31" s="114">
        <v>21</v>
      </c>
      <c r="BL31" s="114">
        <v>30</v>
      </c>
      <c r="BM31" s="112">
        <v>39</v>
      </c>
      <c r="BN31" s="259">
        <v>48</v>
      </c>
      <c r="BP31" s="279">
        <v>3</v>
      </c>
      <c r="BQ31" s="275" t="s">
        <v>27</v>
      </c>
      <c r="BR31" s="113" t="s">
        <v>20</v>
      </c>
      <c r="BS31" s="113" t="s">
        <v>53</v>
      </c>
      <c r="BT31" s="113" t="s">
        <v>64</v>
      </c>
      <c r="BU31" s="272"/>
      <c r="GB31" s="15">
        <v>34</v>
      </c>
      <c r="GC31" s="24" t="s">
        <v>64</v>
      </c>
      <c r="GR31" s="15" t="s">
        <v>64</v>
      </c>
      <c r="GS31" s="15">
        <v>3</v>
      </c>
      <c r="GU31" s="15">
        <v>18</v>
      </c>
      <c r="GV31" s="24" t="s">
        <v>23</v>
      </c>
      <c r="GX31" s="15"/>
      <c r="GY31" s="15"/>
      <c r="GZ31" s="24">
        <v>1</v>
      </c>
      <c r="HA31" s="24">
        <v>5</v>
      </c>
      <c r="HB31" s="24">
        <v>1</v>
      </c>
      <c r="HC31" s="24">
        <v>7</v>
      </c>
      <c r="HD31" s="24">
        <v>6</v>
      </c>
      <c r="HG31" s="25">
        <v>43849</v>
      </c>
      <c r="HH31" s="14" t="str">
        <f t="shared" si="20"/>
        <v>19-Jan</v>
      </c>
      <c r="HI31" s="14" t="s">
        <v>113</v>
      </c>
      <c r="HJ31" s="14" t="s">
        <v>130</v>
      </c>
      <c r="HK31" s="14" t="str">
        <f t="shared" si="21"/>
        <v>Capricorn - Earth</v>
      </c>
    </row>
    <row r="32" spans="1:219" x14ac:dyDescent="0.3">
      <c r="B32" s="17"/>
      <c r="C32" s="17">
        <v>10</v>
      </c>
      <c r="D32" s="17">
        <f t="shared" si="15"/>
        <v>38</v>
      </c>
      <c r="E32" s="17">
        <f t="shared" si="10"/>
        <v>69</v>
      </c>
      <c r="G32" s="292">
        <f t="shared" si="11"/>
        <v>2</v>
      </c>
      <c r="H32" s="292">
        <f t="shared" si="12"/>
        <v>6</v>
      </c>
      <c r="J32" s="294" t="str">
        <f t="shared" si="16"/>
        <v>VG</v>
      </c>
      <c r="K32" s="294" t="str">
        <f t="shared" ca="1" si="13"/>
        <v>A</v>
      </c>
      <c r="L32" s="294" t="str">
        <f t="shared" si="17"/>
        <v>G</v>
      </c>
      <c r="M32" s="294" t="str">
        <f t="shared" ca="1" si="14"/>
        <v>G</v>
      </c>
      <c r="AB32" s="43"/>
      <c r="AE32" s="43"/>
      <c r="AF32" s="43"/>
      <c r="AG32" s="43"/>
      <c r="AH32" s="43"/>
      <c r="AK32" s="43"/>
      <c r="AL32" s="43"/>
      <c r="AM32" s="43"/>
      <c r="AN32" s="43"/>
      <c r="AR32" s="116"/>
      <c r="AS32" s="113"/>
      <c r="AT32" s="113"/>
      <c r="AU32" s="113"/>
      <c r="AV32" s="113"/>
      <c r="AW32" s="113"/>
      <c r="AX32" s="113"/>
      <c r="AY32" s="113"/>
      <c r="AZ32" s="113"/>
      <c r="BA32" s="108"/>
      <c r="BE32" s="267">
        <v>4</v>
      </c>
      <c r="BF32" s="245" t="str">
        <f t="shared" si="18"/>
        <v>G</v>
      </c>
      <c r="BG32" s="246" t="str">
        <f t="shared" ca="1" si="19"/>
        <v>A</v>
      </c>
      <c r="BH32" s="241"/>
      <c r="BI32" s="110">
        <v>4</v>
      </c>
      <c r="BJ32" s="111">
        <v>13</v>
      </c>
      <c r="BK32" s="110">
        <v>22</v>
      </c>
      <c r="BL32" s="110">
        <v>31</v>
      </c>
      <c r="BM32" s="110">
        <v>40</v>
      </c>
      <c r="BN32" s="260">
        <v>49</v>
      </c>
      <c r="BP32" s="279">
        <v>4</v>
      </c>
      <c r="BQ32" s="275" t="s">
        <v>29</v>
      </c>
      <c r="BR32" s="113" t="s">
        <v>47</v>
      </c>
      <c r="BS32" s="113" t="s">
        <v>60</v>
      </c>
      <c r="BT32" s="113"/>
      <c r="BU32" s="272"/>
      <c r="GB32" s="15">
        <v>36</v>
      </c>
      <c r="GC32" s="40" t="s">
        <v>20</v>
      </c>
      <c r="GR32" s="15" t="s">
        <v>60</v>
      </c>
      <c r="GS32" s="15">
        <v>4</v>
      </c>
      <c r="GU32" s="15">
        <v>19</v>
      </c>
      <c r="GV32" s="24" t="s">
        <v>67</v>
      </c>
      <c r="GX32" s="15"/>
      <c r="GY32" s="15"/>
      <c r="GZ32" s="24"/>
      <c r="HA32" s="24"/>
      <c r="HB32" s="24"/>
      <c r="HC32" s="24"/>
      <c r="HD32" s="24"/>
      <c r="HG32" s="25">
        <v>43850</v>
      </c>
      <c r="HH32" s="14" t="str">
        <f t="shared" si="20"/>
        <v>20-Jan</v>
      </c>
      <c r="HI32" s="14" t="s">
        <v>114</v>
      </c>
      <c r="HJ32" s="14" t="s">
        <v>132</v>
      </c>
      <c r="HK32" s="14" t="str">
        <f t="shared" si="21"/>
        <v>Aquarius - Air</v>
      </c>
    </row>
    <row r="33" spans="1:219" ht="15" thickBot="1" x14ac:dyDescent="0.35">
      <c r="AB33" s="574" t="s">
        <v>100</v>
      </c>
      <c r="AC33" s="572"/>
      <c r="AD33" s="575"/>
      <c r="AI33" s="13">
        <f t="shared" ref="AI33:AI38" si="22">IF(LEN(AA35)&gt;1,LEFT(AA35,1)+RIGHT(AA35,1),AA35)</f>
        <v>7</v>
      </c>
      <c r="AR33" s="17"/>
      <c r="AS33" s="17"/>
      <c r="AT33" s="17"/>
      <c r="AU33" s="17"/>
      <c r="AV33" s="17"/>
      <c r="AW33" s="17"/>
      <c r="AX33" s="17"/>
      <c r="AY33" s="17"/>
      <c r="AZ33" s="17"/>
      <c r="BA33" s="17"/>
      <c r="BE33" s="267">
        <v>5</v>
      </c>
      <c r="BF33" s="245" t="str">
        <f t="shared" si="18"/>
        <v>G</v>
      </c>
      <c r="BG33" s="246" t="str">
        <f t="shared" ca="1" si="19"/>
        <v>VG</v>
      </c>
      <c r="BH33" s="241"/>
      <c r="BI33" s="111">
        <v>5</v>
      </c>
      <c r="BJ33" s="111">
        <v>14</v>
      </c>
      <c r="BK33" s="112">
        <v>23</v>
      </c>
      <c r="BL33" s="113">
        <v>32</v>
      </c>
      <c r="BM33" s="111">
        <v>41</v>
      </c>
      <c r="BN33" s="258">
        <v>50</v>
      </c>
      <c r="BP33" s="279">
        <v>5</v>
      </c>
      <c r="BQ33" s="276" t="s">
        <v>19</v>
      </c>
      <c r="BR33" s="113" t="s">
        <v>41</v>
      </c>
      <c r="BS33" s="113" t="s">
        <v>61</v>
      </c>
      <c r="BT33" s="113" t="s">
        <v>23</v>
      </c>
      <c r="BU33" s="272"/>
      <c r="GB33" s="15">
        <v>37</v>
      </c>
      <c r="GC33" s="40" t="s">
        <v>20</v>
      </c>
      <c r="GR33" s="15" t="s">
        <v>51</v>
      </c>
      <c r="GS33" s="15">
        <v>6</v>
      </c>
      <c r="GU33" s="15">
        <v>20</v>
      </c>
      <c r="GV33" s="40" t="s">
        <v>33</v>
      </c>
      <c r="GX33" s="15" t="s">
        <v>28</v>
      </c>
      <c r="GY33" s="15">
        <f>(GZ33*GZ34)+(HA33*HA34)+(HB33*HB34)+(HC33*HC34)+(HD33*HD34)</f>
        <v>2</v>
      </c>
      <c r="GZ33" s="34">
        <f>IFERROR((HLOOKUP(GZ30,C35:T36,2,0)),0)</f>
        <v>0</v>
      </c>
      <c r="HA33" s="34">
        <f>IFERROR((HLOOKUP(HA30,C35:T36,2,0)),0)</f>
        <v>0</v>
      </c>
      <c r="HB33" s="34">
        <f>IFERROR((HLOOKUP(HB30,C35:T36,2,0)),0)</f>
        <v>1</v>
      </c>
      <c r="HC33" s="34">
        <f>IFERROR((HLOOKUP(HC30,C35:T36,2,0)),0)</f>
        <v>0</v>
      </c>
      <c r="HD33" s="34">
        <f>IFERROR((HLOOKUP(HD30,C35:T36,2,0)),0)</f>
        <v>0</v>
      </c>
      <c r="HG33" s="25">
        <v>43851</v>
      </c>
      <c r="HH33" s="14" t="str">
        <f t="shared" si="20"/>
        <v>21-Jan</v>
      </c>
      <c r="HI33" s="14" t="s">
        <v>114</v>
      </c>
      <c r="HJ33" s="14" t="s">
        <v>132</v>
      </c>
      <c r="HK33" s="14" t="str">
        <f t="shared" si="21"/>
        <v>Aquarius - Air</v>
      </c>
    </row>
    <row r="34" spans="1:219" x14ac:dyDescent="0.3">
      <c r="A34" s="572" t="s">
        <v>65</v>
      </c>
      <c r="B34" s="572"/>
      <c r="C34" s="17"/>
      <c r="D34" s="17"/>
      <c r="E34" s="17"/>
      <c r="F34" s="17"/>
      <c r="G34" s="17"/>
      <c r="H34" s="17"/>
      <c r="I34" s="17"/>
      <c r="J34" s="17"/>
      <c r="K34" s="17"/>
      <c r="L34" s="17"/>
      <c r="M34" s="17"/>
      <c r="N34" s="17"/>
      <c r="O34" s="17"/>
      <c r="P34" s="17"/>
      <c r="Q34" s="17"/>
      <c r="R34" s="17"/>
      <c r="S34" s="17"/>
      <c r="T34" s="17"/>
      <c r="U34" s="23"/>
      <c r="V34" s="23"/>
      <c r="Y34" s="92" t="s">
        <v>66</v>
      </c>
      <c r="Z34" s="81"/>
      <c r="AA34" s="82"/>
      <c r="AB34" s="52" t="s">
        <v>12</v>
      </c>
      <c r="AC34" s="52" t="s">
        <v>13</v>
      </c>
      <c r="AD34" s="41"/>
      <c r="AI34" s="13">
        <f t="shared" ca="1" si="22"/>
        <v>8</v>
      </c>
      <c r="BE34" s="267">
        <v>6</v>
      </c>
      <c r="BF34" s="245" t="str">
        <f t="shared" si="18"/>
        <v>G</v>
      </c>
      <c r="BG34" s="246" t="str">
        <f t="shared" ca="1" si="19"/>
        <v>G</v>
      </c>
      <c r="BH34" s="241"/>
      <c r="BI34" s="111">
        <v>6</v>
      </c>
      <c r="BJ34" s="111">
        <v>15</v>
      </c>
      <c r="BK34" s="112">
        <v>24</v>
      </c>
      <c r="BL34" s="111">
        <v>33</v>
      </c>
      <c r="BM34" s="111">
        <v>42</v>
      </c>
      <c r="BN34" s="258">
        <v>51</v>
      </c>
      <c r="BO34" s="52"/>
      <c r="BP34" s="279">
        <v>6</v>
      </c>
      <c r="BQ34" s="276" t="s">
        <v>51</v>
      </c>
      <c r="BR34" s="113" t="s">
        <v>56</v>
      </c>
      <c r="BS34" s="113" t="s">
        <v>62</v>
      </c>
      <c r="BT34" s="113"/>
      <c r="BU34" s="272"/>
      <c r="GB34" s="15">
        <v>38</v>
      </c>
      <c r="GC34" s="24" t="s">
        <v>64</v>
      </c>
      <c r="GR34" s="15" t="s">
        <v>56</v>
      </c>
      <c r="GS34" s="15">
        <v>6</v>
      </c>
      <c r="GU34" s="15">
        <v>21</v>
      </c>
      <c r="GV34" s="24" t="s">
        <v>67</v>
      </c>
      <c r="GX34" s="15"/>
      <c r="GY34" s="15"/>
      <c r="GZ34" s="24">
        <f>COUNTIFS(C35:T35,GZ30)</f>
        <v>0</v>
      </c>
      <c r="HA34" s="24">
        <f>COUNTIFS(C35:T35,HA30)</f>
        <v>0</v>
      </c>
      <c r="HB34" s="24">
        <f>COUNTIFS(C35:T35,HB30)</f>
        <v>2</v>
      </c>
      <c r="HC34" s="24">
        <f>COUNTIFS(C35:T35,HC30)</f>
        <v>0</v>
      </c>
      <c r="HD34" s="24">
        <f>COUNTIFS(C35:T35,HD30)</f>
        <v>0</v>
      </c>
      <c r="HG34" s="25">
        <v>43852</v>
      </c>
      <c r="HH34" s="14" t="str">
        <f t="shared" si="20"/>
        <v>22-Jan</v>
      </c>
      <c r="HI34" s="14" t="s">
        <v>114</v>
      </c>
      <c r="HJ34" s="14" t="s">
        <v>132</v>
      </c>
      <c r="HK34" s="14" t="str">
        <f t="shared" si="21"/>
        <v>Aquarius - Air</v>
      </c>
    </row>
    <row r="35" spans="1:219" x14ac:dyDescent="0.3">
      <c r="A35" s="13" t="s">
        <v>17</v>
      </c>
      <c r="B35" s="27" t="s">
        <v>196</v>
      </c>
      <c r="C35" s="28" t="str">
        <f>MID($B35,COLUMNS($B$13:B$13),1)</f>
        <v>K</v>
      </c>
      <c r="D35" s="28" t="str">
        <f>MID($B35,COLUMNS($B$13:C$13),1)</f>
        <v>r</v>
      </c>
      <c r="E35" s="28" t="str">
        <f>MID($B35,COLUMNS($B$13:D$13),1)</f>
        <v>i</v>
      </c>
      <c r="F35" s="28" t="str">
        <f>MID($B35,COLUMNS($B$13:E$13),1)</f>
        <v>i</v>
      </c>
      <c r="G35" s="28" t="str">
        <f>MID($B35,COLUMNS($B$13:F$13),1)</f>
        <v>s</v>
      </c>
      <c r="H35" s="28" t="str">
        <f>MID($B35,COLUMNS($B$13:G$13),1)</f>
        <v>h</v>
      </c>
      <c r="I35" s="28" t="str">
        <f>MID($B35,COLUMNS($B$13:H$13),1)</f>
        <v>h</v>
      </c>
      <c r="J35" s="28" t="str">
        <f>MID($B35,COLUMNS($B$13:I$13),1)</f>
        <v/>
      </c>
      <c r="K35" s="28" t="str">
        <f>MID($B35,COLUMNS($B$13:J$13),1)</f>
        <v/>
      </c>
      <c r="L35" s="28" t="str">
        <f>MID($B35,COLUMNS($B$13:K$13),1)</f>
        <v/>
      </c>
      <c r="M35" s="28" t="str">
        <f>MID($B35,COLUMNS($B$13:L$13),1)</f>
        <v/>
      </c>
      <c r="N35" s="28" t="str">
        <f>MID($B35,COLUMNS($B$13:M$13),1)</f>
        <v/>
      </c>
      <c r="O35" s="28" t="str">
        <f>MID($B35,COLUMNS($B$13:N$13),1)</f>
        <v/>
      </c>
      <c r="P35" s="28" t="str">
        <f>MID($B35,COLUMNS($B$13:O$13),1)</f>
        <v/>
      </c>
      <c r="Q35" s="28" t="str">
        <f>MID($B35,COLUMNS($B$13:P$13),1)</f>
        <v/>
      </c>
      <c r="R35" s="28" t="str">
        <f>MID($B35,COLUMNS($B$13:Q$13),1)</f>
        <v/>
      </c>
      <c r="S35" s="28" t="str">
        <f>MID($B35,COLUMNS($B$13:R$13),1)</f>
        <v/>
      </c>
      <c r="T35" s="28" t="str">
        <f>MID($B35,COLUMNS($B$13:S$13),1)</f>
        <v/>
      </c>
      <c r="U35" s="23"/>
      <c r="V35" s="23"/>
      <c r="Y35" s="83" t="s">
        <v>18</v>
      </c>
      <c r="Z35" s="23">
        <f>C$5</f>
        <v>7</v>
      </c>
      <c r="AA35" s="84">
        <f>C6</f>
        <v>7</v>
      </c>
      <c r="AB35" s="36">
        <f ca="1">IF(D10&lt;=35,"Active",0)</f>
        <v>0</v>
      </c>
      <c r="AC35" s="52" t="str">
        <f ca="1">IF(D10&gt;35,"Active",0)</f>
        <v>Active</v>
      </c>
      <c r="AD35" s="31"/>
      <c r="AI35" s="13">
        <f t="shared" si="22"/>
        <v>1</v>
      </c>
      <c r="AS35" s="576" t="s">
        <v>150</v>
      </c>
      <c r="AT35" s="576"/>
      <c r="AU35" s="576"/>
      <c r="AV35" s="576"/>
      <c r="AW35" s="576"/>
      <c r="AX35" s="576"/>
      <c r="AY35" s="576"/>
      <c r="AZ35" s="576"/>
      <c r="BA35" s="576"/>
      <c r="BE35" s="267">
        <v>7</v>
      </c>
      <c r="BF35" s="245" t="str">
        <f t="shared" si="18"/>
        <v>E</v>
      </c>
      <c r="BG35" s="246" t="str">
        <f t="shared" ca="1" si="19"/>
        <v>A</v>
      </c>
      <c r="BH35" s="242"/>
      <c r="BI35" s="110">
        <v>7</v>
      </c>
      <c r="BJ35" s="110">
        <v>16</v>
      </c>
      <c r="BK35" s="113">
        <v>25</v>
      </c>
      <c r="BL35" s="112">
        <v>34</v>
      </c>
      <c r="BM35" s="111">
        <v>43</v>
      </c>
      <c r="BN35" s="260">
        <v>52</v>
      </c>
      <c r="BP35" s="279">
        <v>7</v>
      </c>
      <c r="BQ35" s="276" t="s">
        <v>52</v>
      </c>
      <c r="BR35" s="113" t="s">
        <v>57</v>
      </c>
      <c r="BS35" s="113"/>
      <c r="BT35" s="113"/>
      <c r="BU35" s="272"/>
      <c r="GB35" s="15">
        <v>39</v>
      </c>
      <c r="GC35" s="24" t="s">
        <v>64</v>
      </c>
      <c r="GR35" s="15" t="s">
        <v>62</v>
      </c>
      <c r="GS35" s="15">
        <v>6</v>
      </c>
      <c r="GU35" s="15">
        <v>22</v>
      </c>
      <c r="GV35" s="24" t="s">
        <v>23</v>
      </c>
      <c r="GX35" s="15"/>
      <c r="GY35" s="15"/>
      <c r="GZ35" s="24"/>
      <c r="HA35" s="24"/>
      <c r="HB35" s="24"/>
      <c r="HC35" s="24"/>
      <c r="HD35" s="24"/>
      <c r="HG35" s="25">
        <v>43853</v>
      </c>
      <c r="HH35" s="14" t="str">
        <f t="shared" si="20"/>
        <v>23-Jan</v>
      </c>
      <c r="HI35" s="14" t="s">
        <v>114</v>
      </c>
      <c r="HJ35" s="14" t="s">
        <v>132</v>
      </c>
      <c r="HK35" s="14" t="str">
        <f t="shared" si="21"/>
        <v>Aquarius - Air</v>
      </c>
    </row>
    <row r="36" spans="1:219" ht="15" thickBot="1" x14ac:dyDescent="0.35">
      <c r="C36" s="23">
        <f>IFERROR(VLOOKUP(C35,GR:GS,2,0),0)</f>
        <v>2</v>
      </c>
      <c r="D36" s="23">
        <f>IFERROR(VLOOKUP(D35,GR:GS,2,0),0)</f>
        <v>2</v>
      </c>
      <c r="E36" s="23">
        <f>IFERROR(VLOOKUP(E35,GR:GS,2,0),0)</f>
        <v>1</v>
      </c>
      <c r="F36" s="23">
        <f>IFERROR(VLOOKUP(F35,GR:GS,2,0),0)</f>
        <v>1</v>
      </c>
      <c r="G36" s="23">
        <f>IFERROR(VLOOKUP(G35,GR:GS,2,0),0)</f>
        <v>3</v>
      </c>
      <c r="H36" s="23">
        <f>IFERROR(VLOOKUP(H35,GR:GS,2,0),0)</f>
        <v>5</v>
      </c>
      <c r="I36" s="23">
        <f>IFERROR(VLOOKUP(I35,GR:GS,2,0),0)</f>
        <v>5</v>
      </c>
      <c r="J36" s="23">
        <f>IFERROR(VLOOKUP(J35,GR:GS,2,0),0)</f>
        <v>0</v>
      </c>
      <c r="K36" s="23">
        <f>IFERROR(VLOOKUP(K35,GR:GS,2,0),0)</f>
        <v>0</v>
      </c>
      <c r="L36" s="23">
        <f>IFERROR(VLOOKUP(L35,GR:GS,2,0),0)</f>
        <v>0</v>
      </c>
      <c r="M36" s="23">
        <f>IFERROR(VLOOKUP(M35,GR:GS,2,0),0)</f>
        <v>0</v>
      </c>
      <c r="N36" s="23">
        <f>IFERROR(VLOOKUP(N35,GR:GS,2,0),0)</f>
        <v>0</v>
      </c>
      <c r="O36" s="23">
        <f>IFERROR(VLOOKUP(O35,GR:GS,2,0),0)</f>
        <v>0</v>
      </c>
      <c r="P36" s="23">
        <f>IFERROR(VLOOKUP(P35,GR:GS,2,0),0)</f>
        <v>0</v>
      </c>
      <c r="Q36" s="23">
        <f>IFERROR(VLOOKUP(Q35,GR:GS,2,0),0)</f>
        <v>0</v>
      </c>
      <c r="R36" s="23">
        <f>IFERROR(VLOOKUP(R35,GR:GS,2,0),0)</f>
        <v>0</v>
      </c>
      <c r="S36" s="23">
        <f>IFERROR(VLOOKUP(S35,GR:GS,2,0),0)</f>
        <v>0</v>
      </c>
      <c r="T36" s="23">
        <f>IFERROR(VLOOKUP(T35,GR:GS,2,0),0)</f>
        <v>0</v>
      </c>
      <c r="U36" s="28">
        <f>SUM(C36:T36)</f>
        <v>19</v>
      </c>
      <c r="V36" s="32">
        <f>IF(U36&lt;10,U36,((LEFT(U36,1))+(RIGHT(U36,1))))</f>
        <v>10</v>
      </c>
      <c r="W36" s="33" t="s">
        <v>24</v>
      </c>
      <c r="X36" s="18" t="str">
        <f>IF(U36&gt;52,VLOOKUP(V36,GU:GV,2,0),VLOOKUP(U36,GU:GV,2,0))</f>
        <v>*</v>
      </c>
      <c r="Y36" s="83" t="s">
        <v>25</v>
      </c>
      <c r="Z36" s="23">
        <f ca="1">I$5+F$5+C$5</f>
        <v>17</v>
      </c>
      <c r="AA36" s="84">
        <f ca="1">C7</f>
        <v>8</v>
      </c>
      <c r="AB36" s="23"/>
      <c r="AC36" s="23"/>
      <c r="AD36" s="31"/>
      <c r="AI36" s="13">
        <f t="shared" si="22"/>
        <v>6</v>
      </c>
      <c r="AS36" s="109">
        <v>1</v>
      </c>
      <c r="AT36" s="109">
        <v>2</v>
      </c>
      <c r="AU36" s="109">
        <v>3</v>
      </c>
      <c r="AV36" s="117">
        <v>4</v>
      </c>
      <c r="AW36" s="109">
        <v>5</v>
      </c>
      <c r="AX36" s="109">
        <v>6</v>
      </c>
      <c r="AY36" s="109">
        <v>7</v>
      </c>
      <c r="AZ36" s="117">
        <v>8</v>
      </c>
      <c r="BA36" s="109">
        <v>9</v>
      </c>
      <c r="BE36" s="267">
        <v>8</v>
      </c>
      <c r="BF36" s="245" t="str">
        <f t="shared" si="18"/>
        <v>A</v>
      </c>
      <c r="BG36" s="246" t="str">
        <f t="shared" ca="1" si="19"/>
        <v>E</v>
      </c>
      <c r="BH36" s="241"/>
      <c r="BI36" s="110">
        <v>8</v>
      </c>
      <c r="BJ36" s="111">
        <v>17</v>
      </c>
      <c r="BK36" s="110">
        <v>26</v>
      </c>
      <c r="BL36" s="110">
        <v>35</v>
      </c>
      <c r="BM36" s="110">
        <v>44</v>
      </c>
      <c r="BN36" s="260"/>
      <c r="BP36" s="280">
        <v>8</v>
      </c>
      <c r="BQ36" s="277" t="s">
        <v>21</v>
      </c>
      <c r="BR36" s="263" t="s">
        <v>58</v>
      </c>
      <c r="BS36" s="263"/>
      <c r="BT36" s="263"/>
      <c r="BU36" s="273"/>
      <c r="GB36" s="15">
        <v>41</v>
      </c>
      <c r="GC36" s="40" t="s">
        <v>20</v>
      </c>
      <c r="GR36" s="15" t="s">
        <v>23</v>
      </c>
      <c r="GS36" s="15">
        <v>5</v>
      </c>
      <c r="GU36" s="15">
        <v>23</v>
      </c>
      <c r="GV36" s="24" t="s">
        <v>67</v>
      </c>
      <c r="GX36" s="14" t="s">
        <v>34</v>
      </c>
      <c r="GY36" s="15">
        <f>(GZ36*GZ37)+(HA36*HA37)+(HB36*HB37)+(HC36*HC37)+(HD36*HD37)</f>
        <v>0</v>
      </c>
      <c r="GZ36" s="34">
        <f>IFERROR((HLOOKUP(GZ30,C37:T38,2,0)),0)</f>
        <v>0</v>
      </c>
      <c r="HA36" s="34">
        <f>IFERROR((HLOOKUP(HA30,C37:T38,2,0)),0)</f>
        <v>0</v>
      </c>
      <c r="HB36" s="34">
        <f>IFERROR((HLOOKUP(HB30,C37:T38,2,0)),0)</f>
        <v>0</v>
      </c>
      <c r="HC36" s="34">
        <f>IFERROR((HLOOKUP(HC30,C37:T38,2,0)),0)</f>
        <v>0</v>
      </c>
      <c r="HD36" s="34">
        <f>IFERROR((HLOOKUP(HD30,C37:T38,2,0)),0)</f>
        <v>0</v>
      </c>
      <c r="HG36" s="25">
        <v>43854</v>
      </c>
      <c r="HH36" s="14" t="str">
        <f t="shared" si="20"/>
        <v>24-Jan</v>
      </c>
      <c r="HI36" s="14" t="s">
        <v>114</v>
      </c>
      <c r="HJ36" s="14" t="s">
        <v>132</v>
      </c>
      <c r="HK36" s="14" t="str">
        <f t="shared" si="21"/>
        <v>Aquarius - Air</v>
      </c>
    </row>
    <row r="37" spans="1:219" ht="15" thickBot="1" x14ac:dyDescent="0.35">
      <c r="A37" s="13" t="s">
        <v>30</v>
      </c>
      <c r="B37" s="27" t="s">
        <v>27</v>
      </c>
      <c r="C37" s="28" t="str">
        <f>MID($B37,COLUMNS($B$13:B$13),1)</f>
        <v>C</v>
      </c>
      <c r="D37" s="28" t="str">
        <f>MID($B37,COLUMNS($B$13:C$13),1)</f>
        <v/>
      </c>
      <c r="E37" s="28" t="str">
        <f>MID($B37,COLUMNS($B$13:D$13),1)</f>
        <v/>
      </c>
      <c r="F37" s="28" t="str">
        <f>MID($B37,COLUMNS($B$13:E$13),1)</f>
        <v/>
      </c>
      <c r="G37" s="28" t="str">
        <f>MID($B37,COLUMNS($B$13:F$13),1)</f>
        <v/>
      </c>
      <c r="H37" s="28" t="str">
        <f>MID($B37,COLUMNS($B$13:G$13),1)</f>
        <v/>
      </c>
      <c r="I37" s="28" t="str">
        <f>MID($B37,COLUMNS($B$13:H$13),1)</f>
        <v/>
      </c>
      <c r="J37" s="28" t="str">
        <f>MID($B37,COLUMNS($B$13:I$13),1)</f>
        <v/>
      </c>
      <c r="K37" s="28" t="str">
        <f>MID($B37,COLUMNS($B$13:J$13),1)</f>
        <v/>
      </c>
      <c r="L37" s="28" t="str">
        <f>MID($B37,COLUMNS($B$13:K$13),1)</f>
        <v/>
      </c>
      <c r="M37" s="28" t="str">
        <f>MID($B37,COLUMNS($B$13:L$13),1)</f>
        <v/>
      </c>
      <c r="N37" s="28" t="str">
        <f>MID($B37,COLUMNS($B$13:M$13),1)</f>
        <v/>
      </c>
      <c r="O37" s="28" t="str">
        <f>MID($B37,COLUMNS($B$13:N$13),1)</f>
        <v/>
      </c>
      <c r="P37" s="28" t="str">
        <f>MID($B37,COLUMNS($B$13:O$13),1)</f>
        <v/>
      </c>
      <c r="Q37" s="28" t="str">
        <f>MID($B37,COLUMNS($B$13:P$13),1)</f>
        <v/>
      </c>
      <c r="R37" s="28" t="str">
        <f>MID($B37,COLUMNS($B$13:Q$13),1)</f>
        <v/>
      </c>
      <c r="S37" s="28" t="str">
        <f>MID($B37,COLUMNS($B$13:R$13),1)</f>
        <v/>
      </c>
      <c r="T37" s="28" t="str">
        <f>MID($B37,COLUMNS($B$13:S$13),1)</f>
        <v/>
      </c>
      <c r="U37" s="23"/>
      <c r="V37" s="23"/>
      <c r="Y37" s="83" t="s">
        <v>24</v>
      </c>
      <c r="Z37" s="23">
        <f>U36</f>
        <v>19</v>
      </c>
      <c r="AA37" s="200">
        <f>MOD(Z37-1,9)+1</f>
        <v>1</v>
      </c>
      <c r="AB37" s="36" t="str">
        <f>INDEX(GH$14:GP$22,MATCH(IF(LEN(AA$35)&gt;1,LEFT(AA$35,1)+RIGHT(AA$35,1),AA$35),GG$14:GG$22,0),MATCH(IF(LEN(AA37)&gt;1,LEFT(AA37,1)+RIGHT(AA37,1),AA37),GH$13:GP$13,0))</f>
        <v>G</v>
      </c>
      <c r="AC37" s="23" t="str">
        <f ca="1">INDEX(GH$14:GP$22,MATCH(IF(LEN(AA$36)&gt;1,LEFT(AA$36,1)+RIGHT(AA$36,1),AA$36),GG$14:GG$22,0),MATCH(IF(LEN(AA37)&gt;1,LEFT(AA37,1)+RIGHT(AA37,1),AA37),GH$13:GP$13,0))</f>
        <v>F</v>
      </c>
      <c r="AD37" s="79"/>
      <c r="AI37" s="13">
        <f t="shared" si="22"/>
        <v>8</v>
      </c>
      <c r="AS37" s="110">
        <v>1</v>
      </c>
      <c r="AT37" s="110">
        <v>2</v>
      </c>
      <c r="AU37" s="110">
        <v>3</v>
      </c>
      <c r="AV37" s="110">
        <v>4</v>
      </c>
      <c r="AW37" s="111">
        <v>5</v>
      </c>
      <c r="AX37" s="111">
        <v>6</v>
      </c>
      <c r="AY37" s="110">
        <v>7</v>
      </c>
      <c r="AZ37" s="110">
        <v>8</v>
      </c>
      <c r="BA37" s="110">
        <v>9</v>
      </c>
      <c r="BE37" s="268">
        <v>9</v>
      </c>
      <c r="BF37" s="247" t="str">
        <f t="shared" si="18"/>
        <v>A</v>
      </c>
      <c r="BG37" s="248" t="str">
        <f t="shared" ca="1" si="19"/>
        <v>SA</v>
      </c>
      <c r="BH37" s="261"/>
      <c r="BI37" s="262">
        <v>9</v>
      </c>
      <c r="BJ37" s="262">
        <v>18</v>
      </c>
      <c r="BK37" s="263">
        <v>27</v>
      </c>
      <c r="BL37" s="263">
        <v>36</v>
      </c>
      <c r="BM37" s="264">
        <v>45</v>
      </c>
      <c r="BN37" s="265"/>
      <c r="GB37" s="15">
        <v>42</v>
      </c>
      <c r="GC37" s="40" t="s">
        <v>20</v>
      </c>
      <c r="GR37" s="15" t="s">
        <v>48</v>
      </c>
      <c r="GS37" s="15">
        <v>1</v>
      </c>
      <c r="GU37" s="15">
        <v>24</v>
      </c>
      <c r="GV37" s="24" t="s">
        <v>67</v>
      </c>
      <c r="GZ37" s="24">
        <f>COUNTIFS(C37:T37,GZ30)</f>
        <v>0</v>
      </c>
      <c r="HA37" s="24">
        <f>COUNTIFS(C37:T37,HA30)</f>
        <v>0</v>
      </c>
      <c r="HB37" s="24">
        <f>COUNTIFS(C37:T37,HB30)</f>
        <v>0</v>
      </c>
      <c r="HC37" s="24">
        <f>COUNTIFS(C37:T37,HC30)</f>
        <v>0</v>
      </c>
      <c r="HD37" s="24">
        <f>COUNTIFS(C37:T37,HD30)</f>
        <v>0</v>
      </c>
      <c r="HG37" s="25">
        <v>43855</v>
      </c>
      <c r="HH37" s="14" t="str">
        <f t="shared" si="20"/>
        <v>25-Jan</v>
      </c>
      <c r="HI37" s="14" t="s">
        <v>114</v>
      </c>
      <c r="HJ37" s="14" t="s">
        <v>132</v>
      </c>
      <c r="HK37" s="14" t="str">
        <f t="shared" si="21"/>
        <v>Aquarius - Air</v>
      </c>
    </row>
    <row r="38" spans="1:219" x14ac:dyDescent="0.3">
      <c r="C38" s="23">
        <f>IFERROR(VLOOKUP(C37,GR:GS,2,0),0)</f>
        <v>3</v>
      </c>
      <c r="D38" s="23">
        <f>IFERROR(VLOOKUP(D37,GR:GS,2,0),0)</f>
        <v>0</v>
      </c>
      <c r="E38" s="23">
        <f>IFERROR(VLOOKUP(E37,GR:GS,2,0),0)</f>
        <v>0</v>
      </c>
      <c r="F38" s="23">
        <f>IFERROR(VLOOKUP(F37,GR:GS,2,0),0)</f>
        <v>0</v>
      </c>
      <c r="G38" s="23">
        <f>IFERROR(VLOOKUP(G37,GR:GS,2,0),0)</f>
        <v>0</v>
      </c>
      <c r="H38" s="23">
        <f>IFERROR(VLOOKUP(H37,GR:GS,2,0),0)</f>
        <v>0</v>
      </c>
      <c r="I38" s="23">
        <f>IFERROR(VLOOKUP(I37,GR:GS,2,0),0)</f>
        <v>0</v>
      </c>
      <c r="J38" s="23">
        <f>IFERROR(VLOOKUP(J37,GR:GS,2,0),0)</f>
        <v>0</v>
      </c>
      <c r="K38" s="23">
        <f>IFERROR(VLOOKUP(K37,GR:GS,2,0),0)</f>
        <v>0</v>
      </c>
      <c r="L38" s="23">
        <f>IFERROR(VLOOKUP(L37,GR:GS,2,0),0)</f>
        <v>0</v>
      </c>
      <c r="M38" s="23">
        <f>IFERROR(VLOOKUP(M37,GR:GS,2,0),0)</f>
        <v>0</v>
      </c>
      <c r="N38" s="23">
        <f>IFERROR(VLOOKUP(N37,GR:GS,2,0),0)</f>
        <v>0</v>
      </c>
      <c r="O38" s="23">
        <f>IFERROR(VLOOKUP(O37,GR:GS,2,0),0)</f>
        <v>0</v>
      </c>
      <c r="P38" s="23">
        <f>IFERROR(VLOOKUP(P37,GR:GS,2,0),0)</f>
        <v>0</v>
      </c>
      <c r="Q38" s="23">
        <f>IFERROR(VLOOKUP(Q37,GR:GS,2,0),0)</f>
        <v>0</v>
      </c>
      <c r="R38" s="23">
        <f>IFERROR(VLOOKUP(R37,GR:GS,2,0),0)</f>
        <v>0</v>
      </c>
      <c r="S38" s="23">
        <f>IFERROR(VLOOKUP(S37,GR:GS,2,0),0)</f>
        <v>0</v>
      </c>
      <c r="T38" s="23">
        <f>IFERROR(VLOOKUP(T37,GR:GS,2,0),0)</f>
        <v>0</v>
      </c>
      <c r="U38" s="28">
        <f>SUM(C38:T38)</f>
        <v>3</v>
      </c>
      <c r="V38" s="32">
        <f>IF(U38&lt;10,U38,((LEFT(U38,1))+(RIGHT(U38,1))))</f>
        <v>3</v>
      </c>
      <c r="Y38" s="83" t="s">
        <v>31</v>
      </c>
      <c r="Z38" s="23">
        <f>U41</f>
        <v>42</v>
      </c>
      <c r="AA38" s="200">
        <f>MOD(Z38-1,9)+1</f>
        <v>6</v>
      </c>
      <c r="AB38" s="36" t="str">
        <f>INDEX(GH$14:GP$22,MATCH(IF(LEN(AA$35)&gt;1,LEFT(AA$35,1)+RIGHT(AA$35,1),AA$35),GG$14:GG$22,0),MATCH(IF(LEN(AA38)&gt;1,LEFT(AA38,1)+RIGHT(AA38,1),AA38),GH$13:GP$13,0))</f>
        <v>G</v>
      </c>
      <c r="AC38" s="23" t="str">
        <f ca="1">INDEX(GH$14:GP$22,MATCH(IF(LEN(AA$36)&gt;1,LEFT(AA$36,1)+RIGHT(AA$36,1),AA$36),GG$14:GG$22,0),MATCH(IF(LEN(AA38)&gt;1,LEFT(AA38,1)+RIGHT(AA38,1),AA38),GH$13:GP$13,0))</f>
        <v>G</v>
      </c>
      <c r="AD38" s="79"/>
      <c r="AI38" s="13">
        <f t="shared" si="22"/>
        <v>7</v>
      </c>
      <c r="AS38" s="111">
        <v>10</v>
      </c>
      <c r="AT38" s="110">
        <v>11</v>
      </c>
      <c r="AU38" s="111">
        <v>12</v>
      </c>
      <c r="AV38" s="111">
        <v>13</v>
      </c>
      <c r="AW38" s="111">
        <v>14</v>
      </c>
      <c r="AX38" s="111">
        <v>15</v>
      </c>
      <c r="AY38" s="110">
        <v>16</v>
      </c>
      <c r="AZ38" s="111">
        <v>17</v>
      </c>
      <c r="BA38" s="110">
        <v>18</v>
      </c>
      <c r="BE38" s="17"/>
      <c r="BF38" s="17"/>
      <c r="BG38" s="17"/>
      <c r="BH38" s="17"/>
      <c r="BI38" s="17"/>
      <c r="BJ38" s="17"/>
      <c r="BK38" s="17"/>
      <c r="BL38" s="17"/>
      <c r="BM38" s="17"/>
      <c r="BN38" s="17"/>
      <c r="BO38" s="17"/>
      <c r="BP38" s="17"/>
      <c r="BQ38" s="17"/>
      <c r="BR38" s="17"/>
      <c r="BS38" s="17"/>
      <c r="BT38" s="17"/>
      <c r="BU38" s="17"/>
      <c r="GB38" s="15">
        <v>43</v>
      </c>
      <c r="GC38" s="40" t="s">
        <v>20</v>
      </c>
      <c r="GR38" s="15" t="s">
        <v>57</v>
      </c>
      <c r="GS38" s="15">
        <v>7</v>
      </c>
      <c r="GU38" s="15">
        <v>25</v>
      </c>
      <c r="GV38" s="40" t="s">
        <v>33</v>
      </c>
      <c r="HG38" s="25">
        <v>43856</v>
      </c>
      <c r="HH38" s="14" t="str">
        <f t="shared" si="20"/>
        <v>26-Jan</v>
      </c>
      <c r="HI38" s="14" t="s">
        <v>114</v>
      </c>
      <c r="HJ38" s="14" t="s">
        <v>132</v>
      </c>
      <c r="HK38" s="14" t="str">
        <f t="shared" si="21"/>
        <v>Aquarius - Air</v>
      </c>
    </row>
    <row r="39" spans="1:219" ht="15" thickBot="1" x14ac:dyDescent="0.35">
      <c r="A39" s="13" t="s">
        <v>37</v>
      </c>
      <c r="B39" s="27" t="s">
        <v>197</v>
      </c>
      <c r="C39" s="28" t="str">
        <f>MID($B39,COLUMNS($B$13:B$13),1)</f>
        <v>K</v>
      </c>
      <c r="D39" s="28" t="str">
        <f>MID($B39,COLUMNS($B$13:C$13),1)</f>
        <v>a</v>
      </c>
      <c r="E39" s="28" t="str">
        <f>MID($B39,COLUMNS($B$13:D$13),1)</f>
        <v>r</v>
      </c>
      <c r="F39" s="28" t="str">
        <f>MID($B39,COLUMNS($B$13:E$13),1)</f>
        <v>r</v>
      </c>
      <c r="G39" s="28" t="str">
        <f>MID($B39,COLUMNS($B$13:F$13),1)</f>
        <v>p</v>
      </c>
      <c r="H39" s="28" t="str">
        <f>MID($B39,COLUMNS($B$13:G$13),1)</f>
        <v>e</v>
      </c>
      <c r="I39" s="28" t="str">
        <f>MID($B39,COLUMNS($B$13:H$13),1)</f>
        <v/>
      </c>
      <c r="J39" s="28" t="str">
        <f>MID($B39,COLUMNS($B$13:I$13),1)</f>
        <v/>
      </c>
      <c r="K39" s="28" t="str">
        <f>MID($B39,COLUMNS($B$13:J$13),1)</f>
        <v/>
      </c>
      <c r="L39" s="28" t="str">
        <f>MID($B39,COLUMNS($B$13:K$13),1)</f>
        <v/>
      </c>
      <c r="M39" s="28" t="str">
        <f>MID($B39,COLUMNS($B$13:L$13),1)</f>
        <v/>
      </c>
      <c r="N39" s="28" t="str">
        <f>MID($B39,COLUMNS($B$13:M$13),1)</f>
        <v/>
      </c>
      <c r="O39" s="28" t="str">
        <f>MID($B39,COLUMNS($B$13:N$13),1)</f>
        <v/>
      </c>
      <c r="P39" s="28" t="str">
        <f>MID($B39,COLUMNS($B$13:O$13),1)</f>
        <v/>
      </c>
      <c r="Q39" s="28" t="str">
        <f>MID($B39,COLUMNS($B$13:P$13),1)</f>
        <v/>
      </c>
      <c r="R39" s="28" t="str">
        <f>MID($B39,COLUMNS($B$13:Q$13),1)</f>
        <v/>
      </c>
      <c r="S39" s="28" t="str">
        <f>MID($B39,COLUMNS($B$13:R$13),1)</f>
        <v/>
      </c>
      <c r="T39" s="28" t="str">
        <f>MID($B39,COLUMNS($B$13:S$13),1)</f>
        <v/>
      </c>
      <c r="U39" s="23"/>
      <c r="V39" s="23"/>
      <c r="Y39" s="83" t="s">
        <v>32</v>
      </c>
      <c r="Z39" s="23">
        <f>GY33+GY39+GY36</f>
        <v>8</v>
      </c>
      <c r="AA39" s="200">
        <f>MOD(Z39-1,9)+1</f>
        <v>8</v>
      </c>
      <c r="AB39" s="36" t="str">
        <f>INDEX(GH$14:GP$22,MATCH(IF(LEN(AA$35)&gt;1,LEFT(AA$35,1)+RIGHT(AA$35,1),AA$35),GG$14:GG$22,0),MATCH(IF(LEN(AA39)&gt;1,LEFT(AA39,1)+RIGHT(AA39,1),AA39),GH$13:GP$13,0))</f>
        <v>A</v>
      </c>
      <c r="AC39" s="23" t="str">
        <f ca="1">INDEX(GH$14:GP$22,MATCH(IF(LEN(AA$36)&gt;1,LEFT(AA$36,1)+RIGHT(AA$36,1),AA$36),GG$14:GG$22,0),MATCH(IF(LEN(AA39)&gt;1,LEFT(AA39,1)+RIGHT(AA39,1),AA39),GH$13:GP$13,0))</f>
        <v>E</v>
      </c>
      <c r="AD39" s="79"/>
      <c r="AR39" s="52"/>
      <c r="AS39" s="112">
        <v>19</v>
      </c>
      <c r="AT39" s="113">
        <v>20</v>
      </c>
      <c r="AU39" s="114">
        <v>21</v>
      </c>
      <c r="AV39" s="110">
        <v>22</v>
      </c>
      <c r="AW39" s="112">
        <v>23</v>
      </c>
      <c r="AX39" s="112">
        <v>24</v>
      </c>
      <c r="AY39" s="113">
        <v>25</v>
      </c>
      <c r="AZ39" s="110">
        <v>26</v>
      </c>
      <c r="BA39" s="113">
        <v>27</v>
      </c>
      <c r="BE39" s="17"/>
      <c r="BF39" s="17"/>
      <c r="BG39" s="17"/>
      <c r="BH39" s="17"/>
      <c r="BI39" s="17"/>
      <c r="BJ39" s="17"/>
      <c r="BK39" s="17"/>
      <c r="BL39" s="17"/>
      <c r="BM39" s="17"/>
      <c r="BN39" s="17"/>
      <c r="BO39" s="17"/>
      <c r="BP39" s="17"/>
      <c r="BQ39" s="17"/>
      <c r="BR39" s="17"/>
      <c r="BS39" s="17"/>
      <c r="BT39" s="17"/>
      <c r="BU39" s="17"/>
      <c r="GB39" s="15">
        <v>45</v>
      </c>
      <c r="GC39" s="24" t="s">
        <v>64</v>
      </c>
      <c r="GR39" s="176" t="s">
        <v>173</v>
      </c>
      <c r="GS39" s="15">
        <v>1</v>
      </c>
      <c r="GU39" s="15">
        <v>26</v>
      </c>
      <c r="GV39" s="24" t="s">
        <v>23</v>
      </c>
      <c r="GX39" s="15" t="s">
        <v>44</v>
      </c>
      <c r="GY39" s="15">
        <f>(GZ39*GZ40)+(HA39*HA40)+(HB39*HB40)+(HC39*HC40)+(HD39*HD40)</f>
        <v>6</v>
      </c>
      <c r="GZ39" s="34">
        <f>IFERROR((HLOOKUP(GZ30,C39:T40,2,0)),0)</f>
        <v>1</v>
      </c>
      <c r="HA39" s="34">
        <f>IFERROR((HLOOKUP(HA30,C39:T40,2,0)),0)</f>
        <v>5</v>
      </c>
      <c r="HB39" s="34">
        <f>IFERROR((HLOOKUP(HB30,C39:T40,2,0)),0)</f>
        <v>0</v>
      </c>
      <c r="HC39" s="34">
        <f>IFERROR((HLOOKUP(HC30,C39:T40,2,0)),0)</f>
        <v>0</v>
      </c>
      <c r="HD39" s="34">
        <f>IFERROR((HLOOKUP(HD30,C39:T40,2,0)),0)</f>
        <v>0</v>
      </c>
      <c r="HG39" s="25">
        <v>43857</v>
      </c>
      <c r="HH39" s="14" t="str">
        <f t="shared" si="20"/>
        <v>27-Jan</v>
      </c>
      <c r="HI39" s="14" t="s">
        <v>114</v>
      </c>
      <c r="HJ39" s="14" t="s">
        <v>132</v>
      </c>
      <c r="HK39" s="14" t="str">
        <f t="shared" si="21"/>
        <v>Aquarius - Air</v>
      </c>
    </row>
    <row r="40" spans="1:219" ht="15" thickBot="1" x14ac:dyDescent="0.35">
      <c r="C40" s="23">
        <f>IFERROR(VLOOKUP(C39,GR:GS,2,0),0)</f>
        <v>2</v>
      </c>
      <c r="D40" s="23">
        <f>IFERROR(VLOOKUP(D39,GR:GS,2,0),0)</f>
        <v>1</v>
      </c>
      <c r="E40" s="23">
        <f>IFERROR(VLOOKUP(E39,GR:GS,2,0),0)</f>
        <v>2</v>
      </c>
      <c r="F40" s="23">
        <f>IFERROR(VLOOKUP(F39,GR:GS,2,0),0)</f>
        <v>2</v>
      </c>
      <c r="G40" s="23">
        <f>IFERROR(VLOOKUP(G39,GR:GS,2,0),0)</f>
        <v>8</v>
      </c>
      <c r="H40" s="23">
        <f>IFERROR(VLOOKUP(H39,GR:GS,2,0),0)</f>
        <v>5</v>
      </c>
      <c r="I40" s="23">
        <f>IFERROR(VLOOKUP(I39,GR:GS,2,0),0)</f>
        <v>0</v>
      </c>
      <c r="J40" s="23">
        <f>IFERROR(VLOOKUP(J39,GR:GS,2,0),0)</f>
        <v>0</v>
      </c>
      <c r="K40" s="23">
        <f>IFERROR(VLOOKUP(K39,GR:GS,2,0),0)</f>
        <v>0</v>
      </c>
      <c r="L40" s="23">
        <f>IFERROR(VLOOKUP(L39,GR:GS,2,0),0)</f>
        <v>0</v>
      </c>
      <c r="M40" s="23">
        <f>IFERROR(VLOOKUP(M39,GR:GS,2,0),0)</f>
        <v>0</v>
      </c>
      <c r="N40" s="23">
        <f>IFERROR(VLOOKUP(N39,GR:GS,2,0),0)</f>
        <v>0</v>
      </c>
      <c r="O40" s="23">
        <f>IFERROR(VLOOKUP(O39,GR:GS,2,0),0)</f>
        <v>0</v>
      </c>
      <c r="P40" s="23">
        <f>IFERROR(VLOOKUP(P39,GR:GS,2,0),0)</f>
        <v>0</v>
      </c>
      <c r="Q40" s="23">
        <f>IFERROR(VLOOKUP(Q39,GR:GS,2,0),0)</f>
        <v>0</v>
      </c>
      <c r="R40" s="23">
        <f>IFERROR(VLOOKUP(R39,GR:GS,2,0),0)</f>
        <v>0</v>
      </c>
      <c r="S40" s="23">
        <f>IFERROR(VLOOKUP(S39,GR:GS,2,0),0)</f>
        <v>0</v>
      </c>
      <c r="T40" s="23">
        <f>IFERROR(VLOOKUP(T39,GR:GS,2,0),0)</f>
        <v>0</v>
      </c>
      <c r="U40" s="28">
        <f>SUM(C40:T40)</f>
        <v>20</v>
      </c>
      <c r="V40" s="32">
        <f>IF(U40&lt;10,U40,((LEFT(U40,1))+(RIGHT(U40,1))))</f>
        <v>2</v>
      </c>
      <c r="Y40" s="85" t="s">
        <v>35</v>
      </c>
      <c r="Z40" s="86">
        <f>Z38-Z39</f>
        <v>34</v>
      </c>
      <c r="AA40" s="200">
        <f>MOD(Z40-1,9)+1</f>
        <v>7</v>
      </c>
      <c r="AB40" s="36" t="str">
        <f>INDEX(GH$14:GP$22,MATCH(IF(LEN(AA$35)&gt;1,LEFT(AA$35,1)+RIGHT(AA$35,1),AA$35),GG$14:GG$22,0),MATCH(IF(LEN(AA40)&gt;1,LEFT(AA40,1)+RIGHT(AA40,1),AA40),GH$13:GP$13,0))</f>
        <v>E</v>
      </c>
      <c r="AC40" s="38" t="str">
        <f ca="1">INDEX(GH$14:GP$22,MATCH(IF(LEN(AA$36)&gt;1,LEFT(AA$36,1)+RIGHT(AA$36,1),AA$36),GG$14:GG$22,0),MATCH(IF(LEN(AA40)&gt;1,LEFT(AA40,1)+RIGHT(AA40,1),AA40),GH$13:GP$13,0))</f>
        <v>A</v>
      </c>
      <c r="AD40" s="90"/>
      <c r="AE40" s="577" t="s">
        <v>36</v>
      </c>
      <c r="AF40" s="578"/>
      <c r="AG40" s="578"/>
      <c r="AH40" s="578"/>
      <c r="AI40" s="578"/>
      <c r="AJ40" s="578"/>
      <c r="AK40" s="578"/>
      <c r="AL40" s="579"/>
      <c r="AP40" s="52"/>
      <c r="AQ40" s="52"/>
      <c r="AS40" s="110">
        <v>28</v>
      </c>
      <c r="AT40" s="110">
        <v>29</v>
      </c>
      <c r="AU40" s="114">
        <v>30</v>
      </c>
      <c r="AV40" s="110">
        <v>31</v>
      </c>
      <c r="AW40" s="113">
        <v>32</v>
      </c>
      <c r="AX40" s="111">
        <v>33</v>
      </c>
      <c r="AY40" s="112">
        <v>34</v>
      </c>
      <c r="AZ40" s="110">
        <v>35</v>
      </c>
      <c r="BA40" s="113">
        <v>36</v>
      </c>
      <c r="BB40" s="52"/>
      <c r="BC40" s="52"/>
      <c r="BD40" s="52"/>
      <c r="BE40" s="17"/>
      <c r="BF40" s="13">
        <v>55</v>
      </c>
      <c r="BG40" s="17">
        <f>MOD(BF40-1,9)+1</f>
        <v>1</v>
      </c>
      <c r="BH40" s="17"/>
      <c r="BI40" s="17"/>
      <c r="BJ40" s="17"/>
      <c r="BK40" s="17"/>
      <c r="BL40" s="17"/>
      <c r="BM40" s="17"/>
      <c r="BN40" s="17"/>
      <c r="BO40" s="17"/>
      <c r="BP40" s="17"/>
      <c r="BQ40" s="17"/>
      <c r="BR40" s="17"/>
      <c r="BS40" s="17"/>
      <c r="BT40" s="17"/>
      <c r="BU40" s="17"/>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15">
        <v>46</v>
      </c>
      <c r="GC40" s="24" t="s">
        <v>64</v>
      </c>
      <c r="GD40" s="42"/>
      <c r="GE40" s="42"/>
      <c r="GR40" s="176" t="s">
        <v>174</v>
      </c>
      <c r="GS40" s="15">
        <v>2</v>
      </c>
      <c r="GU40" s="15">
        <v>27</v>
      </c>
      <c r="GV40" s="40" t="s">
        <v>33</v>
      </c>
      <c r="GX40" s="15"/>
      <c r="GY40" s="15"/>
      <c r="GZ40" s="24">
        <f>COUNTIFS(C39:T39,GZ30)</f>
        <v>1</v>
      </c>
      <c r="HA40" s="24">
        <f>COUNTIFS(C39:T39,HA30)</f>
        <v>1</v>
      </c>
      <c r="HB40" s="24">
        <f>COUNTIFS(C39:T39,HB30)</f>
        <v>0</v>
      </c>
      <c r="HC40" s="24">
        <f>COUNTIFS(C39:T39,HC30)</f>
        <v>0</v>
      </c>
      <c r="HD40" s="24">
        <f>COUNTIFS(C39:T39,HD30)</f>
        <v>0</v>
      </c>
      <c r="HG40" s="25">
        <v>43858</v>
      </c>
      <c r="HH40" s="14" t="str">
        <f t="shared" si="20"/>
        <v>28-Jan</v>
      </c>
      <c r="HI40" s="14" t="s">
        <v>114</v>
      </c>
      <c r="HJ40" s="14" t="s">
        <v>132</v>
      </c>
      <c r="HK40" s="14" t="str">
        <f t="shared" si="21"/>
        <v>Aquarius - Air</v>
      </c>
    </row>
    <row r="41" spans="1:219" ht="15" thickBot="1" x14ac:dyDescent="0.35">
      <c r="U41" s="13">
        <f>U40+U38+U36</f>
        <v>42</v>
      </c>
      <c r="V41" s="32">
        <f>V36+V38+V40</f>
        <v>15</v>
      </c>
      <c r="W41" s="33" t="s">
        <v>31</v>
      </c>
      <c r="X41" s="18" t="str">
        <f>IF(U41&gt;52,VLOOKUP(V41,GU:GV,2,0),VLOOKUP(U41,GU:GV,2,0))</f>
        <v>√</v>
      </c>
      <c r="AB41" s="201" t="s">
        <v>38</v>
      </c>
      <c r="AC41" s="19"/>
      <c r="AE41" s="103" t="s">
        <v>24</v>
      </c>
      <c r="AF41" s="104" t="s">
        <v>112</v>
      </c>
      <c r="AG41" s="104" t="s">
        <v>39</v>
      </c>
      <c r="AH41" s="105" t="s">
        <v>40</v>
      </c>
      <c r="AI41" s="13" t="s">
        <v>61</v>
      </c>
      <c r="AJ41" s="13" t="s">
        <v>27</v>
      </c>
      <c r="AK41" s="93" t="s">
        <v>136</v>
      </c>
      <c r="AL41" s="94" t="s">
        <v>137</v>
      </c>
      <c r="AS41" s="111">
        <v>37</v>
      </c>
      <c r="AT41" s="112">
        <v>38</v>
      </c>
      <c r="AU41" s="112">
        <v>39</v>
      </c>
      <c r="AV41" s="110">
        <v>40</v>
      </c>
      <c r="AW41" s="111">
        <v>41</v>
      </c>
      <c r="AX41" s="111">
        <v>42</v>
      </c>
      <c r="AY41" s="111">
        <v>43</v>
      </c>
      <c r="AZ41" s="110">
        <v>44</v>
      </c>
      <c r="BA41" s="112">
        <v>45</v>
      </c>
      <c r="BF41" s="13">
        <v>57</v>
      </c>
      <c r="BG41" s="17">
        <f t="shared" ref="BG41" si="23">MOD(BF41-1,9)+1</f>
        <v>3</v>
      </c>
      <c r="GB41" s="15">
        <v>47</v>
      </c>
      <c r="GC41" s="24" t="s">
        <v>64</v>
      </c>
      <c r="GR41" s="176" t="s">
        <v>175</v>
      </c>
      <c r="GS41" s="15">
        <v>3</v>
      </c>
      <c r="GU41" s="15">
        <v>28</v>
      </c>
      <c r="GV41" s="24" t="s">
        <v>23</v>
      </c>
      <c r="HG41" s="25">
        <v>43859</v>
      </c>
      <c r="HH41" s="14" t="str">
        <f t="shared" si="20"/>
        <v>29-Jan</v>
      </c>
      <c r="HI41" s="14" t="s">
        <v>114</v>
      </c>
      <c r="HJ41" s="14" t="s">
        <v>132</v>
      </c>
      <c r="HK41" s="14" t="str">
        <f t="shared" si="21"/>
        <v>Aquarius - Air</v>
      </c>
    </row>
    <row r="42" spans="1:219" x14ac:dyDescent="0.3">
      <c r="Y42" s="119" t="s">
        <v>42</v>
      </c>
      <c r="Z42" s="73">
        <f>C36+C40</f>
        <v>4</v>
      </c>
      <c r="AA42" s="102">
        <f>IF(LEN(Z42)&gt;1,LEFT(Z42,1)+RIGHT(Z42,1),Z42)</f>
        <v>4</v>
      </c>
      <c r="AB42" s="23">
        <v>1</v>
      </c>
      <c r="AC42" s="77">
        <f t="shared" ref="AC42:AC49" si="24">COUNTIF(C$36:T$36,AB42)+COUNTIF(C$38:T$38,AB42)+COUNTIF(C$40:T$40,AB42)</f>
        <v>3</v>
      </c>
      <c r="AE42" s="106">
        <f>IFERROR(HLOOKUP(AB42,C36:T36,1,0),0)</f>
        <v>1</v>
      </c>
      <c r="AF42" s="43">
        <f>IFERROR(HLOOKUP(AB42,C38:T38,1,0),0)</f>
        <v>0</v>
      </c>
      <c r="AG42" s="43">
        <f>IFERROR(HLOOKUP(AB42,C40:T40,1,0),0)</f>
        <v>1</v>
      </c>
      <c r="AH42" s="61">
        <f ca="1">IFERROR(VLOOKUP(AB42,AI33:AI38,1,0),0)</f>
        <v>1</v>
      </c>
      <c r="AI42" s="13">
        <f>IF(SUM(AE42:AG42)&gt;=AB42,AB42,0)</f>
        <v>1</v>
      </c>
      <c r="AJ42" s="13">
        <f ca="1">IF(AH42=AB42,AB42,0)</f>
        <v>1</v>
      </c>
      <c r="AK42" s="95">
        <f ca="1">IF(SUM(AI42:AJ42)&lt;=0,AB42,0)</f>
        <v>0</v>
      </c>
      <c r="AL42" s="61">
        <f>IF(AI42=AB42,0,AJ42)</f>
        <v>0</v>
      </c>
      <c r="AS42" s="112">
        <v>46</v>
      </c>
      <c r="AT42" s="112">
        <v>47</v>
      </c>
      <c r="AU42" s="110">
        <v>48</v>
      </c>
      <c r="AV42" s="111">
        <v>49</v>
      </c>
      <c r="AW42" s="112">
        <v>50</v>
      </c>
      <c r="AX42" s="112">
        <v>51</v>
      </c>
      <c r="AY42" s="111">
        <v>52</v>
      </c>
      <c r="AZ42" s="111"/>
      <c r="BA42" s="111"/>
      <c r="BF42" s="13">
        <v>59</v>
      </c>
      <c r="BG42" s="17">
        <f t="shared" ref="BG42:BG59" si="25">MOD(BF42-1,9)+1</f>
        <v>5</v>
      </c>
      <c r="GB42" s="15">
        <v>50</v>
      </c>
      <c r="GC42" s="24" t="s">
        <v>64</v>
      </c>
      <c r="GR42" s="176" t="s">
        <v>176</v>
      </c>
      <c r="GS42" s="15">
        <v>4</v>
      </c>
      <c r="GU42" s="15">
        <v>29</v>
      </c>
      <c r="GV42" s="24" t="s">
        <v>23</v>
      </c>
      <c r="HG42" s="25">
        <v>43860</v>
      </c>
      <c r="HH42" s="14" t="str">
        <f t="shared" si="20"/>
        <v>30-Jan</v>
      </c>
      <c r="HI42" s="14" t="s">
        <v>114</v>
      </c>
      <c r="HJ42" s="14" t="s">
        <v>132</v>
      </c>
      <c r="HK42" s="14" t="str">
        <f t="shared" si="21"/>
        <v>Aquarius - Air</v>
      </c>
    </row>
    <row r="43" spans="1:219" x14ac:dyDescent="0.3">
      <c r="Y43" s="201" t="s">
        <v>45</v>
      </c>
      <c r="Z43" s="200">
        <f ca="1">AA36+AA38</f>
        <v>14</v>
      </c>
      <c r="AA43" s="69">
        <f ca="1">IF(LEN(Z43)&gt;1,LEFT(Z43,1)+RIGHT(Z43,1),Z43)</f>
        <v>5</v>
      </c>
      <c r="AB43" s="23">
        <v>2</v>
      </c>
      <c r="AC43" s="77">
        <f t="shared" si="24"/>
        <v>5</v>
      </c>
      <c r="AE43" s="106">
        <f>IFERROR(HLOOKUP(AB43,C36:T36,1,0),0)</f>
        <v>2</v>
      </c>
      <c r="AF43" s="43">
        <f>IFERROR(HLOOKUP(AB43,C38:T38,1,0),0)</f>
        <v>0</v>
      </c>
      <c r="AG43" s="43">
        <f>IFERROR(HLOOKUP(AB43,C40:T40,1,0),0)</f>
        <v>2</v>
      </c>
      <c r="AH43" s="61">
        <f ca="1">IFERROR(VLOOKUP(AB43,AI33:AI38,1,0),0)</f>
        <v>0</v>
      </c>
      <c r="AI43" s="13">
        <f t="shared" ref="AI43:AI50" si="26">IF(SUM(AE43:AG43)&gt;=AB43,AB43,0)</f>
        <v>2</v>
      </c>
      <c r="AJ43" s="13">
        <f t="shared" ref="AJ43:AJ50" ca="1" si="27">IF(AH43=AB43,AB43,0)</f>
        <v>0</v>
      </c>
      <c r="AK43" s="95">
        <f t="shared" ref="AK43:AK50" ca="1" si="28">IF(SUM(AI43:AJ43)&lt;=0,AB43,0)</f>
        <v>0</v>
      </c>
      <c r="AL43" s="61">
        <f t="shared" ref="AL43:AL50" si="29">IF(AI43=AB43,0,AJ43)</f>
        <v>0</v>
      </c>
      <c r="AM43" s="43"/>
      <c r="AN43" s="43"/>
      <c r="BF43" s="13">
        <v>60</v>
      </c>
      <c r="BG43" s="17">
        <f t="shared" si="25"/>
        <v>6</v>
      </c>
      <c r="GB43" s="15">
        <v>51</v>
      </c>
      <c r="GC43" s="24" t="s">
        <v>64</v>
      </c>
      <c r="GR43" s="176" t="s">
        <v>177</v>
      </c>
      <c r="GS43" s="15">
        <v>5</v>
      </c>
      <c r="GU43" s="15">
        <v>30</v>
      </c>
      <c r="GV43" s="24" t="s">
        <v>67</v>
      </c>
      <c r="HG43" s="25">
        <v>43861</v>
      </c>
      <c r="HH43" s="14" t="str">
        <f t="shared" si="20"/>
        <v>31-Jan</v>
      </c>
      <c r="HI43" s="14" t="s">
        <v>114</v>
      </c>
      <c r="HJ43" s="14" t="s">
        <v>132</v>
      </c>
      <c r="HK43" s="14" t="str">
        <f t="shared" si="21"/>
        <v>Aquarius - Air</v>
      </c>
    </row>
    <row r="44" spans="1:219" ht="15" thickBot="1" x14ac:dyDescent="0.35">
      <c r="A44" s="53"/>
      <c r="B44" s="17"/>
      <c r="C44" s="23"/>
      <c r="D44" s="23"/>
      <c r="E44" s="23"/>
      <c r="F44" s="23"/>
      <c r="G44" s="23"/>
      <c r="H44" s="23"/>
      <c r="I44" s="23"/>
      <c r="J44" s="23"/>
      <c r="K44" s="23"/>
      <c r="L44" s="23"/>
      <c r="Y44" s="74" t="s">
        <v>49</v>
      </c>
      <c r="Z44" s="75">
        <f>+C5+F5</f>
        <v>12</v>
      </c>
      <c r="AA44" s="70">
        <f>IF(LEN(Z44)&gt;1,LEFT(Z44,1)+RIGHT(Z44,1),Z44)</f>
        <v>3</v>
      </c>
      <c r="AB44" s="23">
        <v>3</v>
      </c>
      <c r="AC44" s="77">
        <f t="shared" si="24"/>
        <v>2</v>
      </c>
      <c r="AE44" s="106">
        <f>IFERROR(HLOOKUP(AB44,C36:T36,1,0),0)</f>
        <v>3</v>
      </c>
      <c r="AF44" s="43">
        <f>IFERROR(HLOOKUP(AB44,C38:T38,1,0),0)</f>
        <v>3</v>
      </c>
      <c r="AG44" s="43">
        <f>IFERROR(HLOOKUP(AB44,C40:T40,1,0),0)</f>
        <v>0</v>
      </c>
      <c r="AH44" s="61">
        <f ca="1">IFERROR(VLOOKUP(AB44,AI33:AI38,1,0),0)</f>
        <v>0</v>
      </c>
      <c r="AI44" s="13">
        <f t="shared" si="26"/>
        <v>3</v>
      </c>
      <c r="AJ44" s="13">
        <f t="shared" ca="1" si="27"/>
        <v>0</v>
      </c>
      <c r="AK44" s="95">
        <f t="shared" ca="1" si="28"/>
        <v>0</v>
      </c>
      <c r="AL44" s="61">
        <f t="shared" si="29"/>
        <v>0</v>
      </c>
      <c r="AM44" s="43"/>
      <c r="AN44" s="43"/>
      <c r="AS44" s="13">
        <v>55</v>
      </c>
      <c r="AU44" s="13">
        <v>57</v>
      </c>
      <c r="AV44" s="13">
        <v>58</v>
      </c>
      <c r="AW44" s="13">
        <v>59</v>
      </c>
      <c r="AX44" s="13">
        <v>60</v>
      </c>
      <c r="BF44" s="13">
        <v>64</v>
      </c>
      <c r="BG44" s="17">
        <f t="shared" si="25"/>
        <v>1</v>
      </c>
      <c r="GB44" s="15">
        <v>52</v>
      </c>
      <c r="GC44" s="24" t="s">
        <v>64</v>
      </c>
      <c r="GR44" s="176" t="s">
        <v>178</v>
      </c>
      <c r="GS44" s="15">
        <v>6</v>
      </c>
      <c r="GU44" s="15">
        <v>31</v>
      </c>
      <c r="GV44" s="24" t="s">
        <v>23</v>
      </c>
      <c r="HG44" s="25">
        <v>43862</v>
      </c>
      <c r="HH44" s="14" t="str">
        <f t="shared" si="20"/>
        <v>01-Feb</v>
      </c>
      <c r="HI44" s="14" t="s">
        <v>114</v>
      </c>
      <c r="HJ44" s="14" t="s">
        <v>132</v>
      </c>
      <c r="HK44" s="14" t="str">
        <f t="shared" si="21"/>
        <v>Aquarius - Air</v>
      </c>
    </row>
    <row r="45" spans="1:219" x14ac:dyDescent="0.3">
      <c r="AB45" s="36">
        <v>4</v>
      </c>
      <c r="AC45" s="77">
        <f t="shared" si="24"/>
        <v>0</v>
      </c>
      <c r="AE45" s="106">
        <f>IFERROR(HLOOKUP(AB45,C36:T36,1,0),0)</f>
        <v>0</v>
      </c>
      <c r="AF45" s="43">
        <f>IFERROR(HLOOKUP(AB45,C38:T38,1,0),0)</f>
        <v>0</v>
      </c>
      <c r="AG45" s="43">
        <f>IFERROR(HLOOKUP(AB45,C40:T40,1,0),0)</f>
        <v>0</v>
      </c>
      <c r="AH45" s="61">
        <f ca="1">IFERROR(VLOOKUP(AB45,AI33:AI38,1,0),0)</f>
        <v>0</v>
      </c>
      <c r="AI45" s="13">
        <f t="shared" si="26"/>
        <v>0</v>
      </c>
      <c r="AJ45" s="13">
        <f t="shared" ca="1" si="27"/>
        <v>0</v>
      </c>
      <c r="AK45" s="95">
        <f t="shared" ca="1" si="28"/>
        <v>4</v>
      </c>
      <c r="AL45" s="61">
        <f t="shared" ca="1" si="29"/>
        <v>0</v>
      </c>
      <c r="AM45" s="43"/>
      <c r="AN45" s="43"/>
      <c r="AS45" s="13">
        <v>64</v>
      </c>
      <c r="AU45" s="13">
        <v>66</v>
      </c>
      <c r="AV45" s="13">
        <v>67</v>
      </c>
      <c r="AW45" s="13">
        <v>68</v>
      </c>
      <c r="AX45" s="13">
        <v>69</v>
      </c>
      <c r="BF45" s="13">
        <v>66</v>
      </c>
      <c r="BG45" s="17">
        <f t="shared" si="25"/>
        <v>3</v>
      </c>
      <c r="GB45" s="13">
        <v>55</v>
      </c>
      <c r="GC45" s="17"/>
      <c r="GR45" s="176" t="s">
        <v>179</v>
      </c>
      <c r="GS45" s="15">
        <v>7</v>
      </c>
      <c r="GU45" s="15">
        <v>32</v>
      </c>
      <c r="GV45" s="40" t="s">
        <v>33</v>
      </c>
      <c r="HG45" s="25">
        <v>43863</v>
      </c>
      <c r="HH45" s="14" t="str">
        <f t="shared" si="20"/>
        <v>02-Feb</v>
      </c>
      <c r="HI45" s="14" t="s">
        <v>114</v>
      </c>
      <c r="HJ45" s="14" t="s">
        <v>132</v>
      </c>
      <c r="HK45" s="14" t="str">
        <f t="shared" si="21"/>
        <v>Aquarius - Air</v>
      </c>
    </row>
    <row r="46" spans="1:219" x14ac:dyDescent="0.3">
      <c r="A46" s="233"/>
      <c r="B46" s="17"/>
      <c r="C46" s="23"/>
      <c r="D46" s="23"/>
      <c r="E46" s="23"/>
      <c r="F46" s="23"/>
      <c r="G46" s="23"/>
      <c r="H46" s="23"/>
      <c r="I46" s="23"/>
      <c r="J46" s="23"/>
      <c r="K46" s="23"/>
      <c r="L46" s="23"/>
      <c r="M46" s="17"/>
      <c r="N46" s="17"/>
      <c r="O46" s="17"/>
      <c r="P46" s="17"/>
      <c r="Q46" s="17"/>
      <c r="R46" s="17"/>
      <c r="S46" s="17"/>
      <c r="T46" s="17"/>
      <c r="AB46" s="36">
        <v>5</v>
      </c>
      <c r="AC46" s="77">
        <f t="shared" si="24"/>
        <v>3</v>
      </c>
      <c r="AE46" s="106">
        <f>IFERROR(HLOOKUP(AB46,C36:T36,1,0),0)</f>
        <v>5</v>
      </c>
      <c r="AF46" s="43">
        <f>IFERROR(HLOOKUP(AB46,C38:T38,1,0),0)</f>
        <v>0</v>
      </c>
      <c r="AG46" s="43">
        <f>IFERROR(HLOOKUP(AB46,C40:T40,1,0),0)</f>
        <v>5</v>
      </c>
      <c r="AH46" s="61">
        <f ca="1">IFERROR(VLOOKUP(AB46,AI33:AI38,1,0),0)</f>
        <v>0</v>
      </c>
      <c r="AI46" s="13">
        <f t="shared" si="26"/>
        <v>5</v>
      </c>
      <c r="AJ46" s="13">
        <f t="shared" ca="1" si="27"/>
        <v>0</v>
      </c>
      <c r="AK46" s="95">
        <f t="shared" ca="1" si="28"/>
        <v>0</v>
      </c>
      <c r="AL46" s="61">
        <f t="shared" si="29"/>
        <v>0</v>
      </c>
      <c r="AM46" s="43"/>
      <c r="AN46" s="43"/>
      <c r="AS46" s="13">
        <v>73</v>
      </c>
      <c r="AU46" s="13">
        <v>75</v>
      </c>
      <c r="AV46" s="13">
        <v>76</v>
      </c>
      <c r="AW46" s="13">
        <v>77</v>
      </c>
      <c r="BF46" s="13">
        <v>68</v>
      </c>
      <c r="BG46" s="17">
        <f t="shared" si="25"/>
        <v>5</v>
      </c>
      <c r="GB46" s="13">
        <v>57</v>
      </c>
      <c r="GC46" s="17"/>
      <c r="GR46" s="176" t="s">
        <v>180</v>
      </c>
      <c r="GS46" s="15">
        <v>8</v>
      </c>
      <c r="GU46" s="15">
        <v>33</v>
      </c>
      <c r="GV46" s="40" t="s">
        <v>33</v>
      </c>
      <c r="HG46" s="25">
        <v>43864</v>
      </c>
      <c r="HH46" s="14" t="str">
        <f t="shared" si="20"/>
        <v>03-Feb</v>
      </c>
      <c r="HI46" s="14" t="s">
        <v>114</v>
      </c>
      <c r="HJ46" s="14" t="s">
        <v>132</v>
      </c>
      <c r="HK46" s="14" t="str">
        <f t="shared" si="21"/>
        <v>Aquarius - Air</v>
      </c>
    </row>
    <row r="47" spans="1:219" x14ac:dyDescent="0.3">
      <c r="A47" s="232"/>
      <c r="B47" s="17"/>
      <c r="C47" s="23"/>
      <c r="D47" s="23"/>
      <c r="E47" s="23"/>
      <c r="F47" s="23"/>
      <c r="G47" s="23"/>
      <c r="H47" s="23"/>
      <c r="I47" s="23"/>
      <c r="J47" s="23"/>
      <c r="K47" s="23"/>
      <c r="L47" s="23"/>
      <c r="M47" s="17"/>
      <c r="N47" s="17"/>
      <c r="O47" s="17"/>
      <c r="P47" s="17"/>
      <c r="Q47" s="17"/>
      <c r="R47" s="17"/>
      <c r="S47" s="17"/>
      <c r="T47" s="17"/>
      <c r="AB47" s="36">
        <v>6</v>
      </c>
      <c r="AC47" s="77">
        <f t="shared" si="24"/>
        <v>0</v>
      </c>
      <c r="AE47" s="106">
        <f>IFERROR(HLOOKUP(AB47,C36:T36,1,0),0)</f>
        <v>0</v>
      </c>
      <c r="AF47" s="43">
        <f>IFERROR(HLOOKUP(AB47,C38:T38,1,0),0)</f>
        <v>0</v>
      </c>
      <c r="AG47" s="43">
        <f>IFERROR(HLOOKUP(AB47,C40:T40,1,0),0)</f>
        <v>0</v>
      </c>
      <c r="AH47" s="61">
        <f ca="1">IFERROR(VLOOKUP(AB47,AI33:AI38,1,0),0)</f>
        <v>6</v>
      </c>
      <c r="AI47" s="13">
        <f t="shared" si="26"/>
        <v>0</v>
      </c>
      <c r="AJ47" s="13">
        <f t="shared" ca="1" si="27"/>
        <v>6</v>
      </c>
      <c r="AK47" s="95">
        <f t="shared" ca="1" si="28"/>
        <v>0</v>
      </c>
      <c r="AL47" s="61">
        <f t="shared" ca="1" si="29"/>
        <v>6</v>
      </c>
      <c r="AM47" s="43"/>
      <c r="AN47" s="43"/>
      <c r="BF47" s="13">
        <v>69</v>
      </c>
      <c r="BG47" s="17">
        <f t="shared" si="25"/>
        <v>6</v>
      </c>
      <c r="GB47" s="13">
        <v>59</v>
      </c>
      <c r="GC47" s="17"/>
      <c r="GR47" s="176" t="s">
        <v>181</v>
      </c>
      <c r="GS47" s="15">
        <v>9</v>
      </c>
      <c r="GU47" s="15">
        <v>34</v>
      </c>
      <c r="GV47" s="24" t="s">
        <v>67</v>
      </c>
      <c r="HG47" s="25">
        <v>43865</v>
      </c>
      <c r="HH47" s="14" t="str">
        <f t="shared" si="20"/>
        <v>04-Feb</v>
      </c>
      <c r="HI47" s="14" t="s">
        <v>114</v>
      </c>
      <c r="HJ47" s="14" t="s">
        <v>132</v>
      </c>
      <c r="HK47" s="14" t="str">
        <f t="shared" si="21"/>
        <v>Aquarius - Air</v>
      </c>
    </row>
    <row r="48" spans="1:219" x14ac:dyDescent="0.3">
      <c r="A48" s="53"/>
      <c r="B48" s="17"/>
      <c r="C48" s="23"/>
      <c r="D48" s="23"/>
      <c r="E48" s="23"/>
      <c r="F48" s="237"/>
      <c r="G48" s="237"/>
      <c r="H48" s="23"/>
      <c r="I48" s="237"/>
      <c r="J48" s="237"/>
      <c r="K48" s="23"/>
      <c r="L48" s="17"/>
      <c r="M48" s="17"/>
      <c r="N48" s="17"/>
      <c r="O48" s="17"/>
      <c r="P48" s="17"/>
      <c r="Q48" s="17"/>
      <c r="R48" s="17"/>
      <c r="S48" s="17"/>
      <c r="T48" s="17"/>
      <c r="Y48" s="91"/>
      <c r="AB48" s="36">
        <v>7</v>
      </c>
      <c r="AC48" s="77">
        <f t="shared" si="24"/>
        <v>0</v>
      </c>
      <c r="AE48" s="106">
        <f>IFERROR(HLOOKUP(AB48,C36:T36,1,0),0)</f>
        <v>0</v>
      </c>
      <c r="AF48" s="43">
        <f>IFERROR(HLOOKUP(AB48,C38:T38,1,0),0)</f>
        <v>0</v>
      </c>
      <c r="AG48" s="43">
        <f>IFERROR(HLOOKUP(AB48,C40:T40,1,0),0)</f>
        <v>0</v>
      </c>
      <c r="AH48" s="61">
        <f>IFERROR(VLOOKUP(AB48,AI33:AI38,1,0),0)</f>
        <v>7</v>
      </c>
      <c r="AI48" s="13">
        <f t="shared" si="26"/>
        <v>0</v>
      </c>
      <c r="AJ48" s="13">
        <f t="shared" si="27"/>
        <v>7</v>
      </c>
      <c r="AK48" s="95">
        <f t="shared" si="28"/>
        <v>0</v>
      </c>
      <c r="AL48" s="61">
        <f t="shared" si="29"/>
        <v>7</v>
      </c>
      <c r="AM48" s="43"/>
      <c r="AN48" s="43"/>
      <c r="BF48" s="13">
        <v>73</v>
      </c>
      <c r="BG48" s="17">
        <f t="shared" si="25"/>
        <v>1</v>
      </c>
      <c r="GB48" s="13">
        <v>60</v>
      </c>
      <c r="GR48" s="176" t="s">
        <v>182</v>
      </c>
      <c r="GS48" s="15">
        <v>0</v>
      </c>
      <c r="GU48" s="15">
        <v>35</v>
      </c>
      <c r="GV48" s="24" t="s">
        <v>23</v>
      </c>
      <c r="HG48" s="25">
        <v>43866</v>
      </c>
      <c r="HH48" s="14" t="str">
        <f t="shared" si="20"/>
        <v>05-Feb</v>
      </c>
      <c r="HI48" s="14" t="s">
        <v>114</v>
      </c>
      <c r="HJ48" s="14" t="s">
        <v>132</v>
      </c>
      <c r="HK48" s="14" t="str">
        <f t="shared" si="21"/>
        <v>Aquarius - Air</v>
      </c>
    </row>
    <row r="49" spans="1:219" x14ac:dyDescent="0.3">
      <c r="A49" s="53"/>
      <c r="B49" s="17"/>
      <c r="C49" s="23"/>
      <c r="D49" s="23"/>
      <c r="E49" s="23"/>
      <c r="F49" s="52"/>
      <c r="G49" s="23"/>
      <c r="H49" s="23"/>
      <c r="I49" s="52"/>
      <c r="J49" s="23"/>
      <c r="K49" s="23"/>
      <c r="L49" s="52"/>
      <c r="M49" s="17"/>
      <c r="N49" s="17"/>
      <c r="O49" s="17"/>
      <c r="P49" s="17"/>
      <c r="Q49" s="17"/>
      <c r="R49" s="17"/>
      <c r="S49" s="17"/>
      <c r="T49" s="17"/>
      <c r="AB49" s="36">
        <v>8</v>
      </c>
      <c r="AC49" s="77">
        <f t="shared" si="24"/>
        <v>1</v>
      </c>
      <c r="AE49" s="106">
        <f>IFERROR(HLOOKUP(AB49,C36:T36,1,0),0)</f>
        <v>0</v>
      </c>
      <c r="AF49" s="43">
        <f>IFERROR(HLOOKUP(AB49,C38:T38,1,0),0)</f>
        <v>0</v>
      </c>
      <c r="AG49" s="43">
        <f>IFERROR(HLOOKUP(AB49,C40:T40,1,0),0)</f>
        <v>8</v>
      </c>
      <c r="AH49" s="61">
        <f ca="1">IFERROR(VLOOKUP(AB49,AI33:AI38,1,0),0)</f>
        <v>8</v>
      </c>
      <c r="AI49" s="13">
        <f t="shared" si="26"/>
        <v>8</v>
      </c>
      <c r="AJ49" s="13">
        <f t="shared" ca="1" si="27"/>
        <v>8</v>
      </c>
      <c r="AK49" s="95">
        <f t="shared" ca="1" si="28"/>
        <v>0</v>
      </c>
      <c r="AL49" s="61">
        <f t="shared" si="29"/>
        <v>0</v>
      </c>
      <c r="AM49" s="43"/>
      <c r="AN49" s="43"/>
      <c r="BF49" s="13">
        <v>75</v>
      </c>
      <c r="BG49" s="17">
        <f t="shared" si="25"/>
        <v>3</v>
      </c>
      <c r="GB49" s="13">
        <v>64</v>
      </c>
      <c r="GR49" s="17"/>
      <c r="GS49" s="17"/>
      <c r="GT49" s="17"/>
      <c r="GU49" s="17"/>
      <c r="GV49" s="17"/>
      <c r="HG49" s="25">
        <v>43867</v>
      </c>
      <c r="HH49" s="14" t="str">
        <f t="shared" si="20"/>
        <v>06-Feb</v>
      </c>
      <c r="HI49" s="14" t="s">
        <v>114</v>
      </c>
      <c r="HJ49" s="14" t="s">
        <v>132</v>
      </c>
      <c r="HK49" s="14" t="str">
        <f t="shared" si="21"/>
        <v>Aquarius - Air</v>
      </c>
    </row>
    <row r="50" spans="1:219" ht="15" thickBot="1" x14ac:dyDescent="0.35">
      <c r="A50" s="53"/>
      <c r="B50" s="17"/>
      <c r="C50" s="23"/>
      <c r="D50" s="23"/>
      <c r="E50" s="23"/>
      <c r="F50" s="23"/>
      <c r="G50" s="23"/>
      <c r="H50" s="23"/>
      <c r="I50" s="23"/>
      <c r="J50" s="23"/>
      <c r="K50" s="23"/>
      <c r="L50" s="23"/>
      <c r="M50" s="17"/>
      <c r="N50" s="17"/>
      <c r="O50" s="17"/>
      <c r="P50" s="17"/>
      <c r="Q50" s="17"/>
      <c r="R50" s="17"/>
      <c r="S50" s="17"/>
      <c r="T50" s="17"/>
      <c r="AB50" s="76">
        <v>9</v>
      </c>
      <c r="AC50" s="63"/>
      <c r="AE50" s="76">
        <f>IFERROR(HLOOKUP(AB50,C36:T36,1,0),0)</f>
        <v>0</v>
      </c>
      <c r="AF50" s="51">
        <f>IFERROR(HLOOKUP(AB50,C38:T38,1,0),0)</f>
        <v>0</v>
      </c>
      <c r="AG50" s="51">
        <f>IFERROR(HLOOKUP(AB50,C40:T40,1,0),0)</f>
        <v>0</v>
      </c>
      <c r="AH50" s="63">
        <f ca="1">IFERROR(VLOOKUP(AB50,AI33:AI38,1,0),0)</f>
        <v>0</v>
      </c>
      <c r="AI50" s="89">
        <f t="shared" si="26"/>
        <v>0</v>
      </c>
      <c r="AJ50" s="89">
        <f t="shared" ca="1" si="27"/>
        <v>0</v>
      </c>
      <c r="AK50" s="96">
        <f t="shared" ca="1" si="28"/>
        <v>9</v>
      </c>
      <c r="AL50" s="63">
        <f t="shared" ca="1" si="29"/>
        <v>0</v>
      </c>
      <c r="AM50" s="43"/>
      <c r="AN50" s="43"/>
      <c r="BF50" s="13">
        <v>77</v>
      </c>
      <c r="BG50" s="17">
        <f t="shared" si="25"/>
        <v>5</v>
      </c>
      <c r="GB50" s="13">
        <v>66</v>
      </c>
      <c r="GR50" s="17"/>
      <c r="GS50" s="17"/>
      <c r="GT50" s="17"/>
      <c r="GU50" s="17"/>
      <c r="GV50" s="17"/>
      <c r="HG50" s="25">
        <v>43868</v>
      </c>
      <c r="HH50" s="14" t="str">
        <f t="shared" si="20"/>
        <v>07-Feb</v>
      </c>
      <c r="HI50" s="14" t="s">
        <v>114</v>
      </c>
      <c r="HJ50" s="14" t="s">
        <v>132</v>
      </c>
      <c r="HK50" s="14" t="str">
        <f t="shared" si="21"/>
        <v>Aquarius - Air</v>
      </c>
    </row>
    <row r="51" spans="1:219" ht="15.6" x14ac:dyDescent="0.3">
      <c r="A51" s="233"/>
      <c r="B51" s="17"/>
      <c r="C51" s="23"/>
      <c r="D51" s="23"/>
      <c r="E51" s="23"/>
      <c r="F51" s="23"/>
      <c r="G51" s="23"/>
      <c r="H51" s="52"/>
      <c r="I51" s="23"/>
      <c r="J51" s="23"/>
      <c r="K51" s="23"/>
      <c r="L51" s="23"/>
      <c r="M51" s="17"/>
      <c r="N51" s="17"/>
      <c r="O51" s="17"/>
      <c r="P51" s="17"/>
      <c r="Q51" s="17"/>
      <c r="R51" s="17"/>
      <c r="S51" s="17"/>
      <c r="T51" s="17"/>
      <c r="Y51" s="580" t="s">
        <v>70</v>
      </c>
      <c r="Z51" s="581"/>
      <c r="AA51" s="581"/>
      <c r="AB51" s="582"/>
      <c r="BF51" s="13">
        <v>78</v>
      </c>
      <c r="BG51" s="13">
        <f t="shared" si="25"/>
        <v>6</v>
      </c>
      <c r="GB51" s="13">
        <v>68</v>
      </c>
      <c r="GR51" s="17"/>
      <c r="GS51" s="17"/>
      <c r="GT51" s="17"/>
      <c r="GU51" s="17"/>
      <c r="GV51" s="17"/>
      <c r="HG51" s="25">
        <v>43869</v>
      </c>
      <c r="HH51" s="14" t="str">
        <f t="shared" si="20"/>
        <v>08-Feb</v>
      </c>
      <c r="HI51" s="14" t="s">
        <v>114</v>
      </c>
      <c r="HJ51" s="14" t="s">
        <v>132</v>
      </c>
      <c r="HK51" s="14" t="str">
        <f t="shared" si="21"/>
        <v>Aquarius - Air</v>
      </c>
    </row>
    <row r="52" spans="1:219" x14ac:dyDescent="0.3">
      <c r="A52" s="233"/>
      <c r="B52" s="17"/>
      <c r="C52" s="23"/>
      <c r="D52" s="23"/>
      <c r="E52" s="23"/>
      <c r="F52" s="23"/>
      <c r="G52" s="23"/>
      <c r="H52" s="52"/>
      <c r="I52" s="23"/>
      <c r="J52" s="23"/>
      <c r="K52" s="23"/>
      <c r="L52" s="23"/>
      <c r="M52" s="17"/>
      <c r="N52" s="17"/>
      <c r="O52" s="17"/>
      <c r="P52" s="17"/>
      <c r="Q52" s="17"/>
      <c r="R52" s="17"/>
      <c r="S52" s="17"/>
      <c r="T52" s="17"/>
      <c r="Y52" s="36" t="s">
        <v>72</v>
      </c>
      <c r="Z52" s="52">
        <f>ABS(C6-F6)</f>
        <v>2</v>
      </c>
      <c r="AA52" s="48">
        <f>IF(LEN(Z52)&gt;1,LEFT(Z52,1)+RIGHT(Z52,1),Z52)</f>
        <v>2</v>
      </c>
      <c r="AB52" s="31" t="s">
        <v>73</v>
      </c>
      <c r="BF52" s="13">
        <v>82</v>
      </c>
      <c r="BG52" s="17">
        <f t="shared" si="25"/>
        <v>1</v>
      </c>
      <c r="GB52" s="13">
        <v>69</v>
      </c>
      <c r="GU52" s="15">
        <v>36</v>
      </c>
      <c r="GV52" s="40" t="s">
        <v>33</v>
      </c>
      <c r="HG52" s="25">
        <v>43870</v>
      </c>
      <c r="HH52" s="14" t="str">
        <f t="shared" si="20"/>
        <v>09-Feb</v>
      </c>
      <c r="HI52" s="14" t="s">
        <v>114</v>
      </c>
      <c r="HJ52" s="14" t="s">
        <v>132</v>
      </c>
      <c r="HK52" s="14" t="str">
        <f t="shared" si="21"/>
        <v>Aquarius - Air</v>
      </c>
    </row>
    <row r="53" spans="1:219" x14ac:dyDescent="0.3">
      <c r="A53" s="233"/>
      <c r="B53" s="17"/>
      <c r="C53" s="23"/>
      <c r="D53" s="23"/>
      <c r="E53" s="23"/>
      <c r="F53" s="23"/>
      <c r="G53" s="23"/>
      <c r="H53" s="52"/>
      <c r="I53" s="23"/>
      <c r="J53" s="23"/>
      <c r="K53" s="23"/>
      <c r="L53" s="23"/>
      <c r="M53" s="17"/>
      <c r="N53" s="17"/>
      <c r="O53" s="17"/>
      <c r="P53" s="17"/>
      <c r="Q53" s="17"/>
      <c r="R53" s="17"/>
      <c r="S53" s="17"/>
      <c r="T53" s="17"/>
      <c r="Y53" s="36" t="s">
        <v>75</v>
      </c>
      <c r="Z53" s="52">
        <f ca="1">ABS(C6-I6)</f>
        <v>2</v>
      </c>
      <c r="AA53" s="48">
        <f ca="1">IF(LEN(Z53)&gt;1,LEFT(Z53,1)+RIGHT(Z53,1),Z53)</f>
        <v>2</v>
      </c>
      <c r="AB53" s="31" t="s">
        <v>76</v>
      </c>
      <c r="BF53" s="13">
        <v>84</v>
      </c>
      <c r="BG53" s="13">
        <f t="shared" si="25"/>
        <v>3</v>
      </c>
      <c r="GB53" s="13">
        <v>73</v>
      </c>
      <c r="GU53" s="15">
        <v>37</v>
      </c>
      <c r="GV53" s="40" t="s">
        <v>33</v>
      </c>
      <c r="HG53" s="25">
        <v>43871</v>
      </c>
      <c r="HH53" s="14" t="str">
        <f t="shared" si="20"/>
        <v>10-Feb</v>
      </c>
      <c r="HI53" s="14" t="s">
        <v>114</v>
      </c>
      <c r="HJ53" s="14" t="s">
        <v>132</v>
      </c>
      <c r="HK53" s="14" t="str">
        <f t="shared" si="21"/>
        <v>Aquarius - Air</v>
      </c>
    </row>
    <row r="54" spans="1:219" x14ac:dyDescent="0.3">
      <c r="A54" s="53"/>
      <c r="B54" s="17"/>
      <c r="C54" s="23"/>
      <c r="D54" s="23"/>
      <c r="E54" s="23"/>
      <c r="F54" s="23"/>
      <c r="G54" s="23"/>
      <c r="H54" s="23"/>
      <c r="I54" s="23"/>
      <c r="J54" s="23"/>
      <c r="K54" s="23"/>
      <c r="L54" s="23"/>
      <c r="M54" s="17"/>
      <c r="N54" s="17"/>
      <c r="O54" s="17"/>
      <c r="P54" s="17"/>
      <c r="Q54" s="17"/>
      <c r="R54" s="17"/>
      <c r="S54" s="17"/>
      <c r="T54" s="17"/>
      <c r="Y54" s="36" t="s">
        <v>77</v>
      </c>
      <c r="Z54" s="52">
        <f ca="1">ABS(Z52-Z53)</f>
        <v>0</v>
      </c>
      <c r="AA54" s="48">
        <f ca="1">IF(LEN(Z54)&gt;1,LEFT(Z54,1)+RIGHT(Z54,1),Z54)</f>
        <v>0</v>
      </c>
      <c r="AB54" s="31" t="s">
        <v>78</v>
      </c>
      <c r="BF54" s="13">
        <v>86</v>
      </c>
      <c r="BG54" s="13">
        <f t="shared" si="25"/>
        <v>5</v>
      </c>
      <c r="GB54" s="13">
        <v>75</v>
      </c>
      <c r="GU54" s="15">
        <v>38</v>
      </c>
      <c r="GV54" s="24" t="s">
        <v>67</v>
      </c>
      <c r="HG54" s="25">
        <v>43872</v>
      </c>
      <c r="HH54" s="14" t="str">
        <f t="shared" si="20"/>
        <v>11-Feb</v>
      </c>
      <c r="HI54" s="14" t="s">
        <v>114</v>
      </c>
      <c r="HJ54" s="14" t="s">
        <v>132</v>
      </c>
      <c r="HK54" s="14" t="str">
        <f t="shared" si="21"/>
        <v>Aquarius - Air</v>
      </c>
    </row>
    <row r="55" spans="1:219" ht="18.600000000000001" thickBot="1" x14ac:dyDescent="0.35">
      <c r="A55" s="53"/>
      <c r="B55" s="17"/>
      <c r="C55" s="56"/>
      <c r="D55" s="23"/>
      <c r="E55" s="23"/>
      <c r="F55" s="23"/>
      <c r="G55" s="23"/>
      <c r="H55" s="23"/>
      <c r="I55" s="23"/>
      <c r="J55" s="23"/>
      <c r="K55" s="23"/>
      <c r="L55" s="23"/>
      <c r="M55" s="17"/>
      <c r="N55" s="17"/>
      <c r="O55" s="17"/>
      <c r="P55" s="17"/>
      <c r="Q55" s="17"/>
      <c r="R55" s="17"/>
      <c r="S55" s="17"/>
      <c r="T55" s="17"/>
      <c r="Y55" s="37" t="s">
        <v>79</v>
      </c>
      <c r="Z55" s="172">
        <f ca="1">ABS(F6-I6)</f>
        <v>0</v>
      </c>
      <c r="AA55" s="62">
        <f ca="1">IF(LEN(Z55)&gt;1,LEFT(Z55,1)+RIGHT(Z55,1),Z55)</f>
        <v>0</v>
      </c>
      <c r="AB55" s="39" t="s">
        <v>80</v>
      </c>
      <c r="BF55" s="13">
        <v>87</v>
      </c>
      <c r="BG55" s="13">
        <f t="shared" si="25"/>
        <v>6</v>
      </c>
      <c r="GB55" s="13">
        <v>77</v>
      </c>
      <c r="GU55" s="15">
        <v>39</v>
      </c>
      <c r="GV55" s="24" t="s">
        <v>67</v>
      </c>
      <c r="HG55" s="25">
        <v>43873</v>
      </c>
      <c r="HH55" s="14" t="str">
        <f t="shared" si="20"/>
        <v>12-Feb</v>
      </c>
      <c r="HI55" s="14" t="s">
        <v>114</v>
      </c>
      <c r="HJ55" s="14" t="s">
        <v>132</v>
      </c>
      <c r="HK55" s="14" t="str">
        <f t="shared" si="21"/>
        <v>Aquarius - Air</v>
      </c>
    </row>
    <row r="56" spans="1:219" ht="15" thickBot="1" x14ac:dyDescent="0.35">
      <c r="A56" s="230"/>
      <c r="B56" s="17"/>
      <c r="C56" s="23"/>
      <c r="D56" s="23"/>
      <c r="E56" s="23"/>
      <c r="F56" s="23"/>
      <c r="G56" s="23"/>
      <c r="H56" s="23"/>
      <c r="I56" s="23"/>
      <c r="J56" s="23"/>
      <c r="K56" s="23"/>
      <c r="L56" s="23"/>
      <c r="M56" s="17"/>
      <c r="N56" s="17"/>
      <c r="O56" s="17"/>
      <c r="P56" s="17"/>
      <c r="Q56" s="17"/>
      <c r="R56" s="17"/>
      <c r="S56" s="17"/>
      <c r="T56" s="17"/>
      <c r="BF56" s="13">
        <v>91</v>
      </c>
      <c r="BG56" s="13">
        <f t="shared" si="25"/>
        <v>1</v>
      </c>
      <c r="GB56" s="13">
        <v>78</v>
      </c>
      <c r="GU56" s="15">
        <v>40</v>
      </c>
      <c r="GV56" s="24" t="s">
        <v>23</v>
      </c>
      <c r="HG56" s="25">
        <v>43874</v>
      </c>
      <c r="HH56" s="14" t="str">
        <f t="shared" si="20"/>
        <v>13-Feb</v>
      </c>
      <c r="HI56" s="14" t="s">
        <v>114</v>
      </c>
      <c r="HJ56" s="14" t="s">
        <v>132</v>
      </c>
      <c r="HK56" s="14" t="str">
        <f t="shared" si="21"/>
        <v>Aquarius - Air</v>
      </c>
    </row>
    <row r="57" spans="1:219" ht="15.6" x14ac:dyDescent="0.3">
      <c r="A57" s="232"/>
      <c r="B57" s="17"/>
      <c r="C57" s="23"/>
      <c r="D57" s="23"/>
      <c r="E57" s="23"/>
      <c r="F57" s="23"/>
      <c r="G57" s="23"/>
      <c r="H57" s="23"/>
      <c r="I57" s="23"/>
      <c r="J57" s="23"/>
      <c r="K57" s="23"/>
      <c r="L57" s="23"/>
      <c r="M57" s="17"/>
      <c r="N57" s="17"/>
      <c r="O57" s="17"/>
      <c r="P57" s="17"/>
      <c r="Q57" s="17"/>
      <c r="R57" s="17"/>
      <c r="S57" s="17"/>
      <c r="T57" s="17"/>
      <c r="Y57" s="57" t="s">
        <v>81</v>
      </c>
      <c r="Z57" s="58"/>
      <c r="AA57" s="58"/>
      <c r="AB57" s="59" t="s">
        <v>133</v>
      </c>
      <c r="AC57" s="60" t="s">
        <v>134</v>
      </c>
      <c r="BF57" s="13">
        <v>93</v>
      </c>
      <c r="BG57" s="13">
        <f t="shared" si="25"/>
        <v>3</v>
      </c>
      <c r="GB57" s="13">
        <v>82</v>
      </c>
      <c r="GU57" s="15">
        <v>41</v>
      </c>
      <c r="GV57" s="40" t="s">
        <v>33</v>
      </c>
      <c r="HG57" s="25">
        <v>43875</v>
      </c>
      <c r="HH57" s="14" t="str">
        <f t="shared" si="20"/>
        <v>14-Feb</v>
      </c>
      <c r="HI57" s="14" t="s">
        <v>114</v>
      </c>
      <c r="HJ57" s="14" t="s">
        <v>132</v>
      </c>
      <c r="HK57" s="14" t="str">
        <f t="shared" si="21"/>
        <v>Aquarius - Air</v>
      </c>
    </row>
    <row r="58" spans="1:219" x14ac:dyDescent="0.3">
      <c r="A58" s="53"/>
      <c r="B58" s="17"/>
      <c r="C58" s="23"/>
      <c r="D58" s="23"/>
      <c r="E58" s="23"/>
      <c r="F58" s="237"/>
      <c r="G58" s="237"/>
      <c r="H58" s="23"/>
      <c r="I58" s="237"/>
      <c r="J58" s="237"/>
      <c r="K58" s="23"/>
      <c r="L58" s="17"/>
      <c r="M58" s="17"/>
      <c r="N58" s="17"/>
      <c r="O58" s="17"/>
      <c r="P58" s="17"/>
      <c r="Q58" s="17"/>
      <c r="R58" s="17"/>
      <c r="S58" s="17"/>
      <c r="T58" s="17"/>
      <c r="Y58" s="36" t="s">
        <v>82</v>
      </c>
      <c r="Z58" s="48">
        <f>ABS(C5+F5)</f>
        <v>12</v>
      </c>
      <c r="AA58" s="200">
        <f>MOD(Z58-1,9)+1</f>
        <v>3</v>
      </c>
      <c r="AB58" s="43">
        <v>0</v>
      </c>
      <c r="AC58" s="61">
        <f ca="1">36-C7</f>
        <v>28</v>
      </c>
      <c r="BF58" s="13">
        <v>96</v>
      </c>
      <c r="BG58" s="13">
        <f t="shared" si="25"/>
        <v>6</v>
      </c>
      <c r="GB58" s="13">
        <v>84</v>
      </c>
      <c r="GU58" s="15">
        <v>42</v>
      </c>
      <c r="GV58" s="40" t="s">
        <v>33</v>
      </c>
      <c r="HG58" s="25">
        <v>43876</v>
      </c>
      <c r="HH58" s="14" t="str">
        <f t="shared" si="20"/>
        <v>15-Feb</v>
      </c>
      <c r="HI58" s="14" t="s">
        <v>114</v>
      </c>
      <c r="HJ58" s="14" t="s">
        <v>132</v>
      </c>
      <c r="HK58" s="14" t="str">
        <f t="shared" si="21"/>
        <v>Aquarius - Air</v>
      </c>
    </row>
    <row r="59" spans="1:219" x14ac:dyDescent="0.3">
      <c r="A59" s="53"/>
      <c r="B59" s="17"/>
      <c r="C59" s="23"/>
      <c r="D59" s="23"/>
      <c r="E59" s="23"/>
      <c r="F59" s="52"/>
      <c r="G59" s="23"/>
      <c r="H59" s="23"/>
      <c r="I59" s="52"/>
      <c r="J59" s="23"/>
      <c r="K59" s="23"/>
      <c r="L59" s="52"/>
      <c r="M59" s="17"/>
      <c r="N59" s="17"/>
      <c r="O59" s="17"/>
      <c r="P59" s="17"/>
      <c r="Q59" s="17"/>
      <c r="R59" s="17"/>
      <c r="S59" s="17"/>
      <c r="T59" s="17"/>
      <c r="Y59" s="36" t="s">
        <v>83</v>
      </c>
      <c r="Z59" s="48">
        <f ca="1">ABS(C5+I6)</f>
        <v>12</v>
      </c>
      <c r="AA59" s="200">
        <f ca="1">MOD(Z59-1,9)+1</f>
        <v>3</v>
      </c>
      <c r="AB59" s="43">
        <f ca="1">IF(C7=1,36,IF(C7=2,35,IF(C7=3,34,IF(C7=4,33,IF(C7=5,32,IF(C7=6,31,IF(C7=7,30,IF(C7=8,29,IF(C7=9,28,0)))))))))</f>
        <v>29</v>
      </c>
      <c r="AC59" s="61">
        <f ca="1">IF(C7=1,44,IF(C7=2,43,IF(C7=3,42,IF(C7=4,41,IF(C7=5,40,IF(C7=6,39,IF(C7=7,38,IF(C7=8,37,IF(C7=9,36,0)))))))))</f>
        <v>37</v>
      </c>
      <c r="BF59" s="13">
        <v>100</v>
      </c>
      <c r="BG59" s="13">
        <f t="shared" si="25"/>
        <v>1</v>
      </c>
      <c r="GB59" s="13">
        <v>86</v>
      </c>
      <c r="GU59" s="15">
        <v>43</v>
      </c>
      <c r="GV59" s="40" t="s">
        <v>33</v>
      </c>
      <c r="HG59" s="25">
        <v>43877</v>
      </c>
      <c r="HH59" s="14" t="str">
        <f t="shared" si="20"/>
        <v>16-Feb</v>
      </c>
      <c r="HI59" s="14" t="s">
        <v>114</v>
      </c>
      <c r="HJ59" s="14" t="s">
        <v>132</v>
      </c>
      <c r="HK59" s="14" t="str">
        <f t="shared" si="21"/>
        <v>Aquarius - Air</v>
      </c>
    </row>
    <row r="60" spans="1:219" x14ac:dyDescent="0.3">
      <c r="A60" s="53"/>
      <c r="B60" s="17"/>
      <c r="C60" s="23"/>
      <c r="D60" s="23"/>
      <c r="E60" s="23"/>
      <c r="F60" s="23"/>
      <c r="G60" s="23"/>
      <c r="H60" s="23"/>
      <c r="I60" s="23"/>
      <c r="J60" s="23"/>
      <c r="K60" s="23"/>
      <c r="L60" s="23"/>
      <c r="M60" s="17"/>
      <c r="N60" s="17"/>
      <c r="O60" s="17"/>
      <c r="P60" s="17"/>
      <c r="Q60" s="17"/>
      <c r="R60" s="17"/>
      <c r="S60" s="17"/>
      <c r="T60" s="17"/>
      <c r="Y60" s="36" t="s">
        <v>84</v>
      </c>
      <c r="Z60" s="48">
        <f ca="1">ABS(Z58+Z59)</f>
        <v>24</v>
      </c>
      <c r="AA60" s="200">
        <f ca="1">MOD(Z60-1,9)+1</f>
        <v>6</v>
      </c>
      <c r="AB60" s="43">
        <f ca="1">AC59+1</f>
        <v>38</v>
      </c>
      <c r="AC60" s="61">
        <f ca="1">IF(C7=1,53,IF(C7=2,52,IF(C7=3,51,IF(C7=4,50,IF(C7=5,49,IF(C7=6,48,IF(C7=7,47,IF(C7=8,46,IF(C7=9,45,0)))))))))</f>
        <v>46</v>
      </c>
      <c r="GB60" s="13">
        <v>87</v>
      </c>
      <c r="GU60" s="15">
        <v>44</v>
      </c>
      <c r="GV60" s="24" t="s">
        <v>23</v>
      </c>
      <c r="HG60" s="25">
        <v>43878</v>
      </c>
      <c r="HH60" s="14" t="str">
        <f t="shared" si="20"/>
        <v>17-Feb</v>
      </c>
      <c r="HI60" s="14" t="s">
        <v>114</v>
      </c>
      <c r="HJ60" s="14" t="s">
        <v>132</v>
      </c>
      <c r="HK60" s="14" t="str">
        <f t="shared" si="21"/>
        <v>Aquarius - Air</v>
      </c>
    </row>
    <row r="61" spans="1:219" ht="15" thickBot="1" x14ac:dyDescent="0.35">
      <c r="A61" s="233"/>
      <c r="B61" s="17"/>
      <c r="C61" s="23"/>
      <c r="D61" s="23"/>
      <c r="E61" s="23"/>
      <c r="F61" s="23"/>
      <c r="G61" s="23"/>
      <c r="H61" s="52"/>
      <c r="I61" s="23"/>
      <c r="J61" s="23"/>
      <c r="K61" s="23"/>
      <c r="L61" s="23"/>
      <c r="M61" s="17"/>
      <c r="N61" s="17"/>
      <c r="O61" s="17"/>
      <c r="P61" s="17"/>
      <c r="Q61" s="17"/>
      <c r="R61" s="17"/>
      <c r="S61" s="17"/>
      <c r="T61" s="17"/>
      <c r="Y61" s="37" t="s">
        <v>85</v>
      </c>
      <c r="Z61" s="62">
        <f ca="1">ABS(F5+I6)</f>
        <v>10</v>
      </c>
      <c r="AA61" s="200">
        <f ca="1">MOD(Z61-1,9)+1</f>
        <v>1</v>
      </c>
      <c r="AB61" s="51">
        <f ca="1">AC60+1</f>
        <v>47</v>
      </c>
      <c r="AC61" s="63" t="s">
        <v>135</v>
      </c>
      <c r="GB61" s="13">
        <v>91</v>
      </c>
      <c r="GU61" s="15">
        <v>45</v>
      </c>
      <c r="GV61" s="24" t="s">
        <v>67</v>
      </c>
      <c r="HG61" s="25">
        <v>43879</v>
      </c>
      <c r="HH61" s="14" t="str">
        <f t="shared" si="20"/>
        <v>18-Feb</v>
      </c>
      <c r="HI61" s="14" t="s">
        <v>114</v>
      </c>
      <c r="HJ61" s="14" t="s">
        <v>132</v>
      </c>
      <c r="HK61" s="14" t="str">
        <f t="shared" si="21"/>
        <v>Aquarius - Air</v>
      </c>
    </row>
    <row r="62" spans="1:219" x14ac:dyDescent="0.3">
      <c r="A62" s="233"/>
      <c r="B62" s="17"/>
      <c r="C62" s="23"/>
      <c r="D62" s="23"/>
      <c r="E62" s="23"/>
      <c r="F62" s="23"/>
      <c r="G62" s="23"/>
      <c r="H62" s="52"/>
      <c r="I62" s="23"/>
      <c r="J62" s="23"/>
      <c r="K62" s="23"/>
      <c r="L62" s="23"/>
      <c r="M62" s="17"/>
      <c r="N62" s="17"/>
      <c r="O62" s="17"/>
      <c r="P62" s="17"/>
      <c r="Q62" s="17"/>
      <c r="R62" s="17"/>
      <c r="S62" s="17"/>
      <c r="T62" s="17"/>
      <c r="GB62" s="13">
        <v>93</v>
      </c>
      <c r="GU62" s="15">
        <v>46</v>
      </c>
      <c r="GV62" s="24" t="s">
        <v>67</v>
      </c>
      <c r="HG62" s="25">
        <v>43880</v>
      </c>
      <c r="HH62" s="14" t="str">
        <f t="shared" si="20"/>
        <v>19-Feb</v>
      </c>
      <c r="HI62" s="14" t="s">
        <v>115</v>
      </c>
      <c r="HJ62" s="14" t="s">
        <v>131</v>
      </c>
      <c r="HK62" s="14" t="str">
        <f t="shared" si="21"/>
        <v>Pisces - Water</v>
      </c>
    </row>
    <row r="63" spans="1:219" x14ac:dyDescent="0.3">
      <c r="A63" s="233"/>
      <c r="B63" s="17"/>
      <c r="C63" s="23"/>
      <c r="D63" s="23"/>
      <c r="E63" s="23"/>
      <c r="F63" s="23"/>
      <c r="G63" s="23"/>
      <c r="H63" s="52"/>
      <c r="I63" s="23"/>
      <c r="J63" s="23"/>
      <c r="K63" s="23"/>
      <c r="L63" s="23"/>
      <c r="M63" s="17"/>
      <c r="N63" s="17"/>
      <c r="O63" s="17"/>
      <c r="P63" s="17"/>
      <c r="Q63" s="17"/>
      <c r="R63" s="17"/>
      <c r="S63" s="17"/>
      <c r="T63" s="17"/>
      <c r="GB63" s="13">
        <v>96</v>
      </c>
      <c r="GU63" s="15">
        <v>47</v>
      </c>
      <c r="GV63" s="24" t="s">
        <v>67</v>
      </c>
      <c r="HG63" s="25">
        <v>43881</v>
      </c>
      <c r="HH63" s="14" t="str">
        <f t="shared" si="20"/>
        <v>20-Feb</v>
      </c>
      <c r="HI63" s="14" t="s">
        <v>115</v>
      </c>
      <c r="HJ63" s="14" t="s">
        <v>131</v>
      </c>
      <c r="HK63" s="14" t="str">
        <f t="shared" si="21"/>
        <v>Pisces - Water</v>
      </c>
    </row>
    <row r="64" spans="1:219" x14ac:dyDescent="0.3">
      <c r="A64" s="17"/>
      <c r="B64" s="17"/>
      <c r="C64" s="17"/>
      <c r="D64" s="17"/>
      <c r="E64" s="17"/>
      <c r="F64" s="17"/>
      <c r="G64" s="17"/>
      <c r="H64" s="17"/>
      <c r="I64" s="17"/>
      <c r="J64" s="17"/>
      <c r="K64" s="17"/>
      <c r="L64" s="17"/>
      <c r="M64" s="17"/>
      <c r="N64" s="17"/>
      <c r="O64" s="17"/>
      <c r="P64" s="17"/>
      <c r="Q64" s="17"/>
      <c r="R64" s="17"/>
      <c r="S64" s="17"/>
      <c r="T64" s="17"/>
      <c r="GB64" s="13">
        <v>100</v>
      </c>
      <c r="GU64" s="15">
        <v>48</v>
      </c>
      <c r="GV64" s="24" t="s">
        <v>23</v>
      </c>
      <c r="HG64" s="25">
        <v>43882</v>
      </c>
      <c r="HH64" s="14" t="str">
        <f t="shared" si="20"/>
        <v>21-Feb</v>
      </c>
      <c r="HI64" s="14" t="s">
        <v>115</v>
      </c>
      <c r="HJ64" s="14" t="s">
        <v>131</v>
      </c>
      <c r="HK64" s="14" t="str">
        <f t="shared" si="21"/>
        <v>Pisces - Water</v>
      </c>
    </row>
    <row r="65" spans="1:219" x14ac:dyDescent="0.3">
      <c r="A65" s="17"/>
      <c r="B65" s="17"/>
      <c r="C65" s="17"/>
      <c r="D65" s="17"/>
      <c r="E65" s="17"/>
      <c r="F65" s="17"/>
      <c r="G65" s="17"/>
      <c r="H65" s="17"/>
      <c r="I65" s="17"/>
      <c r="J65" s="17"/>
      <c r="K65" s="17"/>
      <c r="L65" s="17"/>
      <c r="M65" s="17"/>
      <c r="N65" s="17"/>
      <c r="O65" s="17"/>
      <c r="P65" s="17"/>
      <c r="Q65" s="17"/>
      <c r="R65" s="17"/>
      <c r="S65" s="17"/>
      <c r="T65" s="17"/>
      <c r="GU65" s="15">
        <v>49</v>
      </c>
      <c r="GV65" s="24" t="s">
        <v>23</v>
      </c>
      <c r="HG65" s="25">
        <v>43883</v>
      </c>
      <c r="HH65" s="14" t="str">
        <f t="shared" si="20"/>
        <v>22-Feb</v>
      </c>
      <c r="HI65" s="14" t="s">
        <v>115</v>
      </c>
      <c r="HJ65" s="14" t="s">
        <v>131</v>
      </c>
      <c r="HK65" s="14" t="str">
        <f t="shared" si="21"/>
        <v>Pisces - Water</v>
      </c>
    </row>
    <row r="66" spans="1:219" x14ac:dyDescent="0.3">
      <c r="A66" s="233"/>
      <c r="B66" s="23"/>
      <c r="C66" s="52"/>
      <c r="D66" s="52"/>
      <c r="E66" s="237"/>
      <c r="F66" s="237"/>
      <c r="G66" s="23"/>
      <c r="H66" s="23"/>
      <c r="I66" s="23"/>
      <c r="J66" s="23"/>
      <c r="K66" s="23"/>
      <c r="L66" s="23"/>
      <c r="M66" s="66"/>
      <c r="N66" s="17"/>
      <c r="O66" s="52"/>
      <c r="P66" s="17"/>
      <c r="Q66" s="17"/>
      <c r="R66" s="17"/>
      <c r="S66" s="17"/>
      <c r="T66" s="17"/>
      <c r="GU66" s="15">
        <v>50</v>
      </c>
      <c r="GV66" s="24" t="s">
        <v>67</v>
      </c>
      <c r="HG66" s="25">
        <v>43884</v>
      </c>
      <c r="HH66" s="14" t="str">
        <f t="shared" si="20"/>
        <v>23-Feb</v>
      </c>
      <c r="HI66" s="14" t="s">
        <v>115</v>
      </c>
      <c r="HJ66" s="14" t="s">
        <v>131</v>
      </c>
      <c r="HK66" s="14" t="str">
        <f t="shared" si="21"/>
        <v>Pisces - Water</v>
      </c>
    </row>
    <row r="67" spans="1:219" x14ac:dyDescent="0.3">
      <c r="A67" s="233"/>
      <c r="B67" s="66"/>
      <c r="C67" s="52"/>
      <c r="D67" s="52"/>
      <c r="E67" s="17"/>
      <c r="F67" s="17"/>
      <c r="G67" s="17"/>
      <c r="H67" s="17"/>
      <c r="I67" s="17"/>
      <c r="J67" s="17"/>
      <c r="K67" s="17"/>
      <c r="L67" s="17"/>
      <c r="M67" s="66"/>
      <c r="N67" s="17"/>
      <c r="O67" s="52"/>
      <c r="P67" s="17"/>
      <c r="Q67" s="17"/>
      <c r="R67" s="17"/>
      <c r="S67" s="17"/>
      <c r="T67" s="17"/>
      <c r="GU67" s="15">
        <v>51</v>
      </c>
      <c r="GV67" s="24" t="s">
        <v>67</v>
      </c>
      <c r="HG67" s="25">
        <v>43885</v>
      </c>
      <c r="HH67" s="14" t="str">
        <f t="shared" si="20"/>
        <v>24-Feb</v>
      </c>
      <c r="HI67" s="14" t="s">
        <v>115</v>
      </c>
      <c r="HJ67" s="14" t="s">
        <v>131</v>
      </c>
      <c r="HK67" s="14" t="str">
        <f t="shared" si="21"/>
        <v>Pisces - Water</v>
      </c>
    </row>
    <row r="68" spans="1:219" x14ac:dyDescent="0.3">
      <c r="A68" s="17"/>
      <c r="B68" s="17"/>
      <c r="C68" s="23"/>
      <c r="D68" s="23"/>
      <c r="E68" s="23"/>
      <c r="F68" s="17"/>
      <c r="G68" s="17"/>
      <c r="H68" s="17"/>
      <c r="I68" s="17"/>
      <c r="J68" s="17"/>
      <c r="K68" s="17"/>
      <c r="L68" s="17"/>
      <c r="M68" s="17"/>
      <c r="N68" s="17"/>
      <c r="O68" s="17"/>
      <c r="P68" s="17"/>
      <c r="Q68" s="17"/>
      <c r="R68" s="17"/>
      <c r="S68" s="17"/>
      <c r="T68" s="17"/>
      <c r="U68" s="18"/>
      <c r="V68" s="18"/>
      <c r="W68" s="18"/>
      <c r="Y68" s="18"/>
      <c r="GU68" s="15">
        <v>52</v>
      </c>
      <c r="GV68" s="24" t="s">
        <v>67</v>
      </c>
      <c r="HG68" s="25">
        <v>43886</v>
      </c>
      <c r="HH68" s="14" t="str">
        <f t="shared" si="20"/>
        <v>25-Feb</v>
      </c>
      <c r="HI68" s="14" t="s">
        <v>115</v>
      </c>
      <c r="HJ68" s="14" t="s">
        <v>131</v>
      </c>
      <c r="HK68" s="14" t="str">
        <f t="shared" si="21"/>
        <v>Pisces - Water</v>
      </c>
    </row>
    <row r="69" spans="1:219" x14ac:dyDescent="0.3">
      <c r="A69" s="233"/>
      <c r="B69" s="66"/>
      <c r="C69" s="52"/>
      <c r="D69" s="52"/>
      <c r="E69" s="23"/>
      <c r="F69" s="23"/>
      <c r="G69" s="23"/>
      <c r="H69" s="23"/>
      <c r="I69" s="23"/>
      <c r="J69" s="23"/>
      <c r="K69" s="23"/>
      <c r="L69" s="23"/>
      <c r="M69" s="23"/>
      <c r="N69" s="23"/>
      <c r="O69" s="23"/>
      <c r="P69" s="23"/>
      <c r="Q69" s="23"/>
      <c r="R69" s="175"/>
      <c r="S69" s="23"/>
      <c r="T69" s="17"/>
      <c r="U69" s="18"/>
      <c r="V69" s="18"/>
      <c r="W69" s="18"/>
      <c r="Y69" s="18"/>
      <c r="HG69" s="25">
        <v>43887</v>
      </c>
      <c r="HH69" s="14" t="str">
        <f t="shared" si="20"/>
        <v>26-Feb</v>
      </c>
      <c r="HI69" s="14" t="s">
        <v>115</v>
      </c>
      <c r="HJ69" s="14" t="s">
        <v>131</v>
      </c>
      <c r="HK69" s="14" t="str">
        <f t="shared" si="21"/>
        <v>Pisces - Water</v>
      </c>
    </row>
    <row r="70" spans="1:219" x14ac:dyDescent="0.3">
      <c r="A70" s="233"/>
      <c r="B70" s="66"/>
      <c r="C70" s="52"/>
      <c r="D70" s="52"/>
      <c r="E70" s="23"/>
      <c r="F70" s="23"/>
      <c r="G70" s="23"/>
      <c r="H70" s="23"/>
      <c r="I70" s="23"/>
      <c r="J70" s="23"/>
      <c r="K70" s="23"/>
      <c r="L70" s="23"/>
      <c r="M70" s="23"/>
      <c r="N70" s="23"/>
      <c r="O70" s="23"/>
      <c r="P70" s="23"/>
      <c r="Q70" s="23"/>
      <c r="R70" s="23"/>
      <c r="S70" s="23"/>
      <c r="T70" s="17"/>
      <c r="U70" s="18"/>
      <c r="V70" s="18"/>
      <c r="W70" s="18"/>
      <c r="Y70" s="18"/>
      <c r="GU70" s="14" t="s">
        <v>89</v>
      </c>
      <c r="GV70" s="68" t="s">
        <v>16</v>
      </c>
      <c r="HG70" s="25">
        <v>43888</v>
      </c>
      <c r="HH70" s="14" t="str">
        <f t="shared" si="20"/>
        <v>27-Feb</v>
      </c>
      <c r="HI70" s="14" t="s">
        <v>115</v>
      </c>
      <c r="HJ70" s="14" t="s">
        <v>131</v>
      </c>
      <c r="HK70" s="14" t="str">
        <f t="shared" si="21"/>
        <v>Pisces - Water</v>
      </c>
    </row>
    <row r="71" spans="1:219" x14ac:dyDescent="0.3">
      <c r="A71" s="17"/>
      <c r="B71" s="17"/>
      <c r="C71" s="17"/>
      <c r="D71" s="17"/>
      <c r="E71" s="17"/>
      <c r="F71" s="17"/>
      <c r="G71" s="17"/>
      <c r="H71" s="17"/>
      <c r="I71" s="17"/>
      <c r="J71" s="17"/>
      <c r="K71" s="17"/>
      <c r="L71" s="17"/>
      <c r="M71" s="17"/>
      <c r="N71" s="17"/>
      <c r="O71" s="17"/>
      <c r="P71" s="17"/>
      <c r="Q71" s="17"/>
      <c r="R71" s="17"/>
      <c r="S71" s="17"/>
      <c r="T71" s="17"/>
      <c r="U71" s="18"/>
      <c r="V71" s="18"/>
      <c r="W71" s="18"/>
      <c r="Y71" s="18"/>
      <c r="GU71" s="14">
        <v>1</v>
      </c>
      <c r="GV71" s="24" t="s">
        <v>67</v>
      </c>
      <c r="HG71" s="25">
        <v>43889</v>
      </c>
      <c r="HH71" s="14" t="str">
        <f t="shared" si="20"/>
        <v>28-Feb</v>
      </c>
      <c r="HI71" s="14" t="s">
        <v>115</v>
      </c>
      <c r="HJ71" s="14" t="s">
        <v>131</v>
      </c>
      <c r="HK71" s="14" t="str">
        <f t="shared" si="21"/>
        <v>Pisces - Water</v>
      </c>
    </row>
    <row r="72" spans="1:219" x14ac:dyDescent="0.3">
      <c r="A72" s="17"/>
      <c r="B72" s="17"/>
      <c r="C72" s="17"/>
      <c r="D72" s="17"/>
      <c r="E72" s="17"/>
      <c r="F72" s="17"/>
      <c r="G72" s="17"/>
      <c r="H72" s="17"/>
      <c r="I72" s="17"/>
      <c r="J72" s="17"/>
      <c r="K72" s="17"/>
      <c r="L72" s="17"/>
      <c r="M72" s="17"/>
      <c r="N72" s="17"/>
      <c r="O72" s="17"/>
      <c r="P72" s="17"/>
      <c r="Q72" s="17"/>
      <c r="R72" s="17"/>
      <c r="S72" s="17"/>
      <c r="T72" s="17"/>
      <c r="U72" s="18"/>
      <c r="V72" s="18"/>
      <c r="W72" s="18"/>
      <c r="Y72" s="18"/>
      <c r="GU72" s="14">
        <v>3</v>
      </c>
      <c r="GV72" s="24" t="s">
        <v>67</v>
      </c>
      <c r="HG72" s="25">
        <v>43890</v>
      </c>
      <c r="HH72" s="14" t="str">
        <f t="shared" si="20"/>
        <v>29-Feb</v>
      </c>
      <c r="HI72" s="14" t="s">
        <v>115</v>
      </c>
      <c r="HJ72" s="14" t="s">
        <v>131</v>
      </c>
      <c r="HK72" s="14" t="str">
        <f t="shared" si="21"/>
        <v>Pisces - Water</v>
      </c>
    </row>
    <row r="73" spans="1:219" x14ac:dyDescent="0.3">
      <c r="A73" s="52"/>
      <c r="B73" s="23"/>
      <c r="C73" s="23"/>
      <c r="D73" s="23"/>
      <c r="E73" s="23"/>
      <c r="F73" s="23"/>
      <c r="G73" s="23"/>
      <c r="H73" s="23"/>
      <c r="I73" s="23"/>
      <c r="J73" s="23"/>
      <c r="K73" s="23"/>
      <c r="L73" s="23"/>
      <c r="M73" s="23"/>
      <c r="N73" s="17"/>
      <c r="O73" s="17"/>
      <c r="P73" s="17"/>
      <c r="Q73" s="17"/>
      <c r="R73" s="17"/>
      <c r="S73" s="17"/>
      <c r="T73" s="17"/>
      <c r="GU73" s="14">
        <v>5</v>
      </c>
      <c r="GV73" s="24" t="s">
        <v>67</v>
      </c>
      <c r="HG73" s="25">
        <v>43891</v>
      </c>
      <c r="HH73" s="14" t="str">
        <f t="shared" si="20"/>
        <v>01-Mar</v>
      </c>
      <c r="HI73" s="14" t="s">
        <v>115</v>
      </c>
      <c r="HJ73" s="14" t="s">
        <v>131</v>
      </c>
      <c r="HK73" s="14" t="str">
        <f t="shared" si="21"/>
        <v>Pisces - Water</v>
      </c>
    </row>
    <row r="74" spans="1:219" x14ac:dyDescent="0.3">
      <c r="A74" s="23"/>
      <c r="B74" s="17"/>
      <c r="C74" s="23"/>
      <c r="D74" s="23"/>
      <c r="E74" s="23"/>
      <c r="F74" s="23"/>
      <c r="G74" s="23"/>
      <c r="H74" s="23"/>
      <c r="I74" s="23"/>
      <c r="J74" s="23"/>
      <c r="K74" s="23"/>
      <c r="L74" s="23"/>
      <c r="M74" s="66"/>
      <c r="N74" s="52"/>
      <c r="O74" s="52"/>
      <c r="P74" s="17"/>
      <c r="Q74" s="17"/>
      <c r="R74" s="17"/>
      <c r="S74" s="17"/>
      <c r="T74" s="17"/>
      <c r="GU74" s="14">
        <v>6</v>
      </c>
      <c r="GV74" s="24" t="s">
        <v>67</v>
      </c>
      <c r="HG74" s="25">
        <v>43892</v>
      </c>
      <c r="HH74" s="14" t="str">
        <f t="shared" si="20"/>
        <v>02-Mar</v>
      </c>
      <c r="HI74" s="14" t="s">
        <v>115</v>
      </c>
      <c r="HJ74" s="14" t="s">
        <v>131</v>
      </c>
      <c r="HK74" s="14" t="str">
        <f t="shared" si="21"/>
        <v>Pisces - Water</v>
      </c>
    </row>
    <row r="75" spans="1:219" x14ac:dyDescent="0.3">
      <c r="A75" s="23"/>
      <c r="B75" s="17"/>
      <c r="C75" s="23"/>
      <c r="D75" s="23"/>
      <c r="E75" s="23"/>
      <c r="F75" s="23"/>
      <c r="G75" s="23"/>
      <c r="H75" s="23"/>
      <c r="I75" s="23"/>
      <c r="J75" s="23"/>
      <c r="K75" s="23"/>
      <c r="L75" s="23"/>
      <c r="M75" s="17"/>
      <c r="N75" s="17"/>
      <c r="O75" s="17"/>
      <c r="P75" s="17"/>
      <c r="Q75" s="17"/>
      <c r="R75" s="17"/>
      <c r="S75" s="17"/>
      <c r="T75" s="17"/>
      <c r="GU75" s="14">
        <v>2</v>
      </c>
      <c r="GV75" s="40" t="s">
        <v>33</v>
      </c>
      <c r="HG75" s="25">
        <v>43893</v>
      </c>
      <c r="HH75" s="14" t="str">
        <f t="shared" si="20"/>
        <v>03-Mar</v>
      </c>
      <c r="HI75" s="14" t="s">
        <v>115</v>
      </c>
      <c r="HJ75" s="14" t="s">
        <v>131</v>
      </c>
      <c r="HK75" s="14" t="str">
        <f t="shared" si="21"/>
        <v>Pisces - Water</v>
      </c>
    </row>
    <row r="76" spans="1:219" x14ac:dyDescent="0.3">
      <c r="A76" s="52"/>
      <c r="B76" s="23"/>
      <c r="C76" s="23"/>
      <c r="D76" s="23"/>
      <c r="E76" s="23"/>
      <c r="F76" s="23"/>
      <c r="G76" s="23"/>
      <c r="H76" s="23"/>
      <c r="I76" s="23"/>
      <c r="J76" s="23"/>
      <c r="K76" s="23"/>
      <c r="L76" s="23"/>
      <c r="M76" s="23"/>
      <c r="N76" s="17"/>
      <c r="O76" s="17"/>
      <c r="P76" s="17"/>
      <c r="Q76" s="17"/>
      <c r="R76" s="17"/>
      <c r="S76" s="17"/>
      <c r="T76" s="17"/>
      <c r="GU76" s="14">
        <v>7</v>
      </c>
      <c r="GV76" s="40" t="s">
        <v>33</v>
      </c>
      <c r="HG76" s="25">
        <v>43894</v>
      </c>
      <c r="HH76" s="14" t="str">
        <f t="shared" si="20"/>
        <v>04-Mar</v>
      </c>
      <c r="HI76" s="14" t="s">
        <v>115</v>
      </c>
      <c r="HJ76" s="14" t="s">
        <v>131</v>
      </c>
      <c r="HK76" s="14" t="str">
        <f t="shared" si="21"/>
        <v>Pisces - Water</v>
      </c>
    </row>
    <row r="77" spans="1:219" x14ac:dyDescent="0.3">
      <c r="A77" s="23"/>
      <c r="B77" s="17"/>
      <c r="C77" s="23"/>
      <c r="D77" s="23"/>
      <c r="E77" s="23"/>
      <c r="F77" s="23"/>
      <c r="G77" s="23"/>
      <c r="H77" s="23"/>
      <c r="I77" s="23"/>
      <c r="J77" s="23"/>
      <c r="K77" s="23"/>
      <c r="L77" s="23"/>
      <c r="M77" s="66"/>
      <c r="N77" s="52"/>
      <c r="O77" s="52"/>
      <c r="P77" s="17"/>
      <c r="Q77" s="17"/>
      <c r="R77" s="17"/>
      <c r="S77" s="17"/>
      <c r="T77" s="17"/>
      <c r="GU77" s="14">
        <v>4</v>
      </c>
      <c r="GV77" s="24" t="s">
        <v>23</v>
      </c>
      <c r="HG77" s="25">
        <v>43895</v>
      </c>
      <c r="HH77" s="14" t="str">
        <f t="shared" si="20"/>
        <v>05-Mar</v>
      </c>
      <c r="HI77" s="14" t="s">
        <v>115</v>
      </c>
      <c r="HJ77" s="14" t="s">
        <v>131</v>
      </c>
      <c r="HK77" s="14" t="str">
        <f t="shared" ref="HK77:HK140" si="30">HI77&amp;" - "&amp;HJ77</f>
        <v>Pisces - Water</v>
      </c>
    </row>
    <row r="78" spans="1:219" x14ac:dyDescent="0.3">
      <c r="A78" s="23"/>
      <c r="B78" s="17"/>
      <c r="C78" s="23"/>
      <c r="D78" s="23"/>
      <c r="E78" s="23"/>
      <c r="F78" s="23"/>
      <c r="G78" s="23"/>
      <c r="H78" s="23"/>
      <c r="I78" s="23"/>
      <c r="J78" s="23"/>
      <c r="K78" s="23"/>
      <c r="L78" s="23"/>
      <c r="M78" s="66"/>
      <c r="N78" s="66"/>
      <c r="O78" s="66"/>
      <c r="P78" s="17"/>
      <c r="Q78" s="17"/>
      <c r="R78" s="17"/>
      <c r="S78" s="17"/>
      <c r="T78" s="17"/>
      <c r="GU78" s="14">
        <v>8</v>
      </c>
      <c r="GV78" s="24" t="s">
        <v>23</v>
      </c>
      <c r="HG78" s="25">
        <v>43896</v>
      </c>
      <c r="HH78" s="14" t="str">
        <f t="shared" ref="HH78:HH141" si="31">TEXT(HG78,"DD-MMM")</f>
        <v>06-Mar</v>
      </c>
      <c r="HI78" s="14" t="s">
        <v>115</v>
      </c>
      <c r="HJ78" s="14" t="s">
        <v>131</v>
      </c>
      <c r="HK78" s="14" t="str">
        <f t="shared" si="30"/>
        <v>Pisces - Water</v>
      </c>
    </row>
    <row r="79" spans="1:219" x14ac:dyDescent="0.3">
      <c r="A79" s="23"/>
      <c r="B79" s="17"/>
      <c r="C79" s="17"/>
      <c r="D79" s="17"/>
      <c r="E79" s="17"/>
      <c r="F79" s="17"/>
      <c r="G79" s="23"/>
      <c r="H79" s="23"/>
      <c r="I79" s="17"/>
      <c r="J79" s="17"/>
      <c r="K79" s="17"/>
      <c r="L79" s="17"/>
      <c r="M79" s="66"/>
      <c r="N79" s="66"/>
      <c r="O79" s="66"/>
      <c r="P79" s="17"/>
      <c r="Q79" s="17"/>
      <c r="R79" s="17"/>
      <c r="S79" s="17"/>
      <c r="T79" s="17"/>
      <c r="GU79" s="14">
        <v>9</v>
      </c>
      <c r="GV79" s="40" t="s">
        <v>33</v>
      </c>
      <c r="HG79" s="25">
        <v>43897</v>
      </c>
      <c r="HH79" s="14" t="str">
        <f t="shared" si="31"/>
        <v>07-Mar</v>
      </c>
      <c r="HI79" s="14" t="s">
        <v>115</v>
      </c>
      <c r="HJ79" s="14" t="s">
        <v>131</v>
      </c>
      <c r="HK79" s="14" t="str">
        <f t="shared" si="30"/>
        <v>Pisces - Water</v>
      </c>
    </row>
    <row r="80" spans="1:219" x14ac:dyDescent="0.3">
      <c r="A80" s="52"/>
      <c r="B80" s="23"/>
      <c r="C80" s="23"/>
      <c r="D80" s="23"/>
      <c r="E80" s="23"/>
      <c r="F80" s="23"/>
      <c r="G80" s="23"/>
      <c r="H80" s="23"/>
      <c r="I80" s="23"/>
      <c r="J80" s="23"/>
      <c r="K80" s="23"/>
      <c r="L80" s="23"/>
      <c r="M80" s="23"/>
      <c r="N80" s="17"/>
      <c r="O80" s="17"/>
      <c r="P80" s="17"/>
      <c r="Q80" s="17"/>
      <c r="R80" s="17"/>
      <c r="S80" s="17"/>
      <c r="T80" s="17"/>
      <c r="HG80" s="25">
        <v>43898</v>
      </c>
      <c r="HH80" s="14" t="str">
        <f t="shared" si="31"/>
        <v>08-Mar</v>
      </c>
      <c r="HI80" s="14" t="s">
        <v>115</v>
      </c>
      <c r="HJ80" s="14" t="s">
        <v>131</v>
      </c>
      <c r="HK80" s="14" t="str">
        <f t="shared" si="30"/>
        <v>Pisces - Water</v>
      </c>
    </row>
    <row r="81" spans="1:219" x14ac:dyDescent="0.3">
      <c r="A81" s="23"/>
      <c r="B81" s="17"/>
      <c r="C81" s="23"/>
      <c r="D81" s="23"/>
      <c r="E81" s="23"/>
      <c r="F81" s="23"/>
      <c r="G81" s="23"/>
      <c r="H81" s="23"/>
      <c r="I81" s="23"/>
      <c r="J81" s="23"/>
      <c r="K81" s="23"/>
      <c r="L81" s="23"/>
      <c r="M81" s="66"/>
      <c r="N81" s="52"/>
      <c r="O81" s="52"/>
      <c r="P81" s="17"/>
      <c r="Q81" s="17"/>
      <c r="R81" s="17"/>
      <c r="S81" s="17"/>
      <c r="T81" s="17"/>
      <c r="HG81" s="25">
        <v>43899</v>
      </c>
      <c r="HH81" s="14" t="str">
        <f t="shared" si="31"/>
        <v>09-Mar</v>
      </c>
      <c r="HI81" s="14" t="s">
        <v>115</v>
      </c>
      <c r="HJ81" s="14" t="s">
        <v>131</v>
      </c>
      <c r="HK81" s="14" t="str">
        <f t="shared" si="30"/>
        <v>Pisces - Water</v>
      </c>
    </row>
    <row r="82" spans="1:219" x14ac:dyDescent="0.3">
      <c r="A82" s="17"/>
      <c r="B82" s="17"/>
      <c r="C82" s="17"/>
      <c r="D82" s="17"/>
      <c r="E82" s="17"/>
      <c r="F82" s="17"/>
      <c r="G82" s="17"/>
      <c r="H82" s="17"/>
      <c r="I82" s="17"/>
      <c r="J82" s="17"/>
      <c r="K82" s="17"/>
      <c r="L82" s="17"/>
      <c r="M82" s="17"/>
      <c r="N82" s="17"/>
      <c r="O82" s="17"/>
      <c r="P82" s="17"/>
      <c r="Q82" s="17"/>
      <c r="R82" s="17"/>
      <c r="S82" s="17"/>
      <c r="T82" s="17"/>
      <c r="HG82" s="25">
        <v>43900</v>
      </c>
      <c r="HH82" s="14" t="str">
        <f t="shared" si="31"/>
        <v>10-Mar</v>
      </c>
      <c r="HI82" s="14" t="s">
        <v>115</v>
      </c>
      <c r="HJ82" s="14" t="s">
        <v>131</v>
      </c>
      <c r="HK82" s="14" t="str">
        <f t="shared" si="30"/>
        <v>Pisces - Water</v>
      </c>
    </row>
    <row r="83" spans="1:219" x14ac:dyDescent="0.3">
      <c r="HG83" s="25">
        <v>43901</v>
      </c>
      <c r="HH83" s="14" t="str">
        <f t="shared" si="31"/>
        <v>11-Mar</v>
      </c>
      <c r="HI83" s="14" t="s">
        <v>115</v>
      </c>
      <c r="HJ83" s="14" t="s">
        <v>131</v>
      </c>
      <c r="HK83" s="14" t="str">
        <f t="shared" si="30"/>
        <v>Pisces - Water</v>
      </c>
    </row>
    <row r="84" spans="1:219" x14ac:dyDescent="0.3">
      <c r="A84" s="168"/>
      <c r="B84" s="17"/>
      <c r="C84" s="17"/>
      <c r="D84" s="17"/>
      <c r="E84" s="17"/>
      <c r="F84" s="17"/>
      <c r="G84" s="23"/>
      <c r="HG84" s="25">
        <v>43902</v>
      </c>
      <c r="HH84" s="14" t="str">
        <f t="shared" si="31"/>
        <v>12-Mar</v>
      </c>
      <c r="HI84" s="14" t="s">
        <v>115</v>
      </c>
      <c r="HJ84" s="14" t="s">
        <v>131</v>
      </c>
      <c r="HK84" s="14" t="str">
        <f t="shared" si="30"/>
        <v>Pisces - Water</v>
      </c>
    </row>
    <row r="85" spans="1:219" x14ac:dyDescent="0.3">
      <c r="A85" s="572" t="s">
        <v>93</v>
      </c>
      <c r="B85" s="572"/>
      <c r="C85" s="17"/>
      <c r="D85" s="17"/>
      <c r="E85" s="17"/>
      <c r="F85" s="17"/>
      <c r="G85" s="17"/>
      <c r="H85" s="17"/>
      <c r="I85" s="17"/>
      <c r="J85" s="17"/>
      <c r="K85" s="17"/>
      <c r="L85" s="17"/>
      <c r="M85" s="17"/>
      <c r="N85" s="17"/>
      <c r="O85" s="17"/>
      <c r="P85" s="17"/>
      <c r="Q85" s="17"/>
      <c r="R85" s="17"/>
      <c r="S85" s="17"/>
      <c r="T85" s="17"/>
      <c r="U85" s="23"/>
      <c r="V85" s="23"/>
      <c r="HG85" s="25">
        <v>43903</v>
      </c>
      <c r="HH85" s="14" t="str">
        <f t="shared" si="31"/>
        <v>13-Mar</v>
      </c>
      <c r="HI85" s="14" t="s">
        <v>115</v>
      </c>
      <c r="HJ85" s="14" t="s">
        <v>131</v>
      </c>
      <c r="HK85" s="14" t="str">
        <f t="shared" si="30"/>
        <v>Pisces - Water</v>
      </c>
    </row>
    <row r="86" spans="1:219" x14ac:dyDescent="0.3">
      <c r="A86" s="13" t="s">
        <v>94</v>
      </c>
      <c r="B86" s="71" t="s">
        <v>186</v>
      </c>
      <c r="C86" s="28" t="str">
        <f>MID($B86,COLUMNS($B$13:B$13),1)</f>
        <v>A</v>
      </c>
      <c r="D86" s="28" t="str">
        <f>MID($B86,COLUMNS($B$13:C$13),1)</f>
        <v>n</v>
      </c>
      <c r="E86" s="28" t="str">
        <f>MID($B86,COLUMNS($B$13:D$13),1)</f>
        <v>g</v>
      </c>
      <c r="F86" s="28" t="str">
        <f>MID($B86,COLUMNS($B$13:E$13),1)</f>
        <v>e</v>
      </c>
      <c r="G86" s="28" t="str">
        <f>MID($B86,COLUMNS($B$13:F$13),1)</f>
        <v>l</v>
      </c>
      <c r="H86" s="28" t="str">
        <f>MID($B86,COLUMNS($B$13:G$13),1)</f>
        <v>i</v>
      </c>
      <c r="I86" s="28" t="str">
        <f>MID($B86,COLUMNS($B$13:H$13),1)</f>
        <v>c</v>
      </c>
      <c r="J86" s="28" t="str">
        <f>MID($B86,COLUMNS($B$13:I$13),1)</f>
        <v xml:space="preserve"> </v>
      </c>
      <c r="K86" s="28" t="str">
        <f>MID($B86,COLUMNS($B$13:J$13),1)</f>
        <v>w</v>
      </c>
      <c r="L86" s="28" t="str">
        <f>MID($B86,COLUMNS($B$13:K$13),1)</f>
        <v>h</v>
      </c>
      <c r="M86" s="28" t="str">
        <f>MID($B86,COLUMNS($B$13:L$13),1)</f>
        <v>i</v>
      </c>
      <c r="N86" s="28" t="str">
        <f>MID($B86,COLUMNS($B$13:M$13),1)</f>
        <v>t</v>
      </c>
      <c r="O86" s="28" t="str">
        <f>MID($B86,COLUMNS($B$13:N$13),1)</f>
        <v>e</v>
      </c>
      <c r="P86" s="28" t="str">
        <f>MID($B86,COLUMNS($B$13:O$13),1)</f>
        <v xml:space="preserve"> </v>
      </c>
      <c r="Q86" s="28" t="str">
        <f>MID($B86,COLUMNS($B$13:P$13),1)</f>
        <v>w</v>
      </c>
      <c r="R86" s="28" t="str">
        <f>MID($B86,COLUMNS($B$13:Q$13),1)</f>
        <v>i</v>
      </c>
      <c r="S86" s="28" t="str">
        <f>MID($B86,COLUMNS($B$13:R$13),1)</f>
        <v>n</v>
      </c>
      <c r="T86" s="28" t="str">
        <f>MID($B86,COLUMNS($B$13:S$13),1)</f>
        <v>g</v>
      </c>
      <c r="U86" s="28" t="str">
        <f>MID($B86,COLUMNS($B$13:T$13),1)</f>
        <v>s</v>
      </c>
      <c r="V86" s="28" t="str">
        <f>MID($B86,COLUMNS($B$13:U$13),1)</f>
        <v/>
      </c>
      <c r="W86" s="28" t="str">
        <f>MID($B86,COLUMNS($B$13:V$13),1)</f>
        <v/>
      </c>
      <c r="X86" s="28" t="str">
        <f>MID($B86,COLUMNS($B$13:W$13),1)</f>
        <v/>
      </c>
      <c r="Y86" s="28" t="str">
        <f>MID($B86,COLUMNS($B$13:X$13),1)</f>
        <v/>
      </c>
      <c r="Z86" s="28" t="str">
        <f>MID($B86,COLUMNS($B$13:Y$13),1)</f>
        <v/>
      </c>
      <c r="AA86" s="28" t="str">
        <f>MID($B86,COLUMNS($B$13:Z$13),1)</f>
        <v/>
      </c>
      <c r="AB86" s="28" t="str">
        <f>MID($B86,COLUMNS($B$13:AA$13),1)</f>
        <v/>
      </c>
      <c r="AC86" s="18"/>
      <c r="HG86" s="25">
        <v>43904</v>
      </c>
      <c r="HH86" s="14" t="str">
        <f t="shared" si="31"/>
        <v>14-Mar</v>
      </c>
      <c r="HI86" s="14" t="s">
        <v>115</v>
      </c>
      <c r="HJ86" s="14" t="s">
        <v>131</v>
      </c>
      <c r="HK86" s="14" t="str">
        <f t="shared" si="30"/>
        <v>Pisces - Water</v>
      </c>
    </row>
    <row r="87" spans="1:219" x14ac:dyDescent="0.3">
      <c r="C87" s="23">
        <f t="shared" ref="C87:AB87" si="32">IFERROR(VLOOKUP(C86,$GR:$GS,2,0),0)</f>
        <v>1</v>
      </c>
      <c r="D87" s="23">
        <f t="shared" si="32"/>
        <v>5</v>
      </c>
      <c r="E87" s="23">
        <f t="shared" si="32"/>
        <v>3</v>
      </c>
      <c r="F87" s="23">
        <f t="shared" si="32"/>
        <v>5</v>
      </c>
      <c r="G87" s="23">
        <f t="shared" si="32"/>
        <v>3</v>
      </c>
      <c r="H87" s="23">
        <f t="shared" si="32"/>
        <v>1</v>
      </c>
      <c r="I87" s="23">
        <f t="shared" si="32"/>
        <v>3</v>
      </c>
      <c r="J87" s="23">
        <f t="shared" si="32"/>
        <v>0</v>
      </c>
      <c r="K87" s="23">
        <f t="shared" si="32"/>
        <v>6</v>
      </c>
      <c r="L87" s="23">
        <f t="shared" si="32"/>
        <v>5</v>
      </c>
      <c r="M87" s="23">
        <f t="shared" si="32"/>
        <v>1</v>
      </c>
      <c r="N87" s="23">
        <f t="shared" si="32"/>
        <v>4</v>
      </c>
      <c r="O87" s="23">
        <f t="shared" si="32"/>
        <v>5</v>
      </c>
      <c r="P87" s="23">
        <f t="shared" si="32"/>
        <v>0</v>
      </c>
      <c r="Q87" s="23">
        <f t="shared" si="32"/>
        <v>6</v>
      </c>
      <c r="R87" s="23">
        <f t="shared" si="32"/>
        <v>1</v>
      </c>
      <c r="S87" s="23">
        <f t="shared" si="32"/>
        <v>5</v>
      </c>
      <c r="T87" s="23">
        <f t="shared" si="32"/>
        <v>3</v>
      </c>
      <c r="U87" s="23">
        <f t="shared" si="32"/>
        <v>3</v>
      </c>
      <c r="V87" s="23">
        <f t="shared" si="32"/>
        <v>0</v>
      </c>
      <c r="W87" s="23">
        <f t="shared" si="32"/>
        <v>0</v>
      </c>
      <c r="X87" s="23">
        <f t="shared" si="32"/>
        <v>0</v>
      </c>
      <c r="Y87" s="23">
        <f t="shared" si="32"/>
        <v>0</v>
      </c>
      <c r="Z87" s="23">
        <f t="shared" si="32"/>
        <v>0</v>
      </c>
      <c r="AA87" s="23">
        <f t="shared" si="32"/>
        <v>0</v>
      </c>
      <c r="AB87" s="23">
        <f t="shared" si="32"/>
        <v>0</v>
      </c>
      <c r="AC87" s="72">
        <f>SUM(C87:AB87)</f>
        <v>60</v>
      </c>
      <c r="AD87" s="200">
        <f>MOD(AC87-1,9)+1</f>
        <v>6</v>
      </c>
      <c r="HG87" s="25">
        <v>43905</v>
      </c>
      <c r="HH87" s="14" t="str">
        <f t="shared" si="31"/>
        <v>15-Mar</v>
      </c>
      <c r="HI87" s="14" t="s">
        <v>115</v>
      </c>
      <c r="HJ87" s="14" t="s">
        <v>131</v>
      </c>
      <c r="HK87" s="14" t="str">
        <f t="shared" si="30"/>
        <v>Pisces - Water</v>
      </c>
    </row>
    <row r="88" spans="1:219" x14ac:dyDescent="0.3">
      <c r="AC88" s="18"/>
      <c r="HG88" s="25">
        <v>43906</v>
      </c>
      <c r="HH88" s="14" t="str">
        <f t="shared" si="31"/>
        <v>16-Mar</v>
      </c>
      <c r="HI88" s="14" t="s">
        <v>115</v>
      </c>
      <c r="HJ88" s="14" t="s">
        <v>131</v>
      </c>
      <c r="HK88" s="14" t="str">
        <f t="shared" si="30"/>
        <v>Pisces - Water</v>
      </c>
    </row>
    <row r="89" spans="1:219" x14ac:dyDescent="0.3">
      <c r="AC89" s="13" t="s">
        <v>18</v>
      </c>
      <c r="AD89" s="13">
        <f>AA14</f>
        <v>7</v>
      </c>
      <c r="AE89" s="13" t="str">
        <f>IF(AD89=AD87,"Very Good","Not Good")</f>
        <v>Not Good</v>
      </c>
      <c r="HG89" s="25">
        <v>43907</v>
      </c>
      <c r="HH89" s="14" t="str">
        <f t="shared" si="31"/>
        <v>17-Mar</v>
      </c>
      <c r="HI89" s="14" t="s">
        <v>115</v>
      </c>
      <c r="HJ89" s="14" t="s">
        <v>131</v>
      </c>
      <c r="HK89" s="14" t="str">
        <f t="shared" si="30"/>
        <v>Pisces - Water</v>
      </c>
    </row>
    <row r="90" spans="1:219" x14ac:dyDescent="0.3">
      <c r="AC90" s="13" t="s">
        <v>25</v>
      </c>
      <c r="AD90" s="13">
        <f ca="1">AA15</f>
        <v>8</v>
      </c>
      <c r="AE90" s="13" t="str">
        <f ca="1">IF(AD90=AD87,"Very Good","Not Good")</f>
        <v>Not Good</v>
      </c>
      <c r="HG90" s="25">
        <v>43908</v>
      </c>
      <c r="HH90" s="14" t="str">
        <f t="shared" si="31"/>
        <v>18-Mar</v>
      </c>
      <c r="HI90" s="14" t="s">
        <v>115</v>
      </c>
      <c r="HJ90" s="14" t="s">
        <v>131</v>
      </c>
      <c r="HK90" s="14" t="str">
        <f t="shared" si="30"/>
        <v>Pisces - Water</v>
      </c>
    </row>
    <row r="91" spans="1:219" x14ac:dyDescent="0.3">
      <c r="AC91" s="18"/>
      <c r="HG91" s="25">
        <v>43909</v>
      </c>
      <c r="HH91" s="14" t="str">
        <f t="shared" si="31"/>
        <v>19-Mar</v>
      </c>
      <c r="HI91" s="14" t="s">
        <v>115</v>
      </c>
      <c r="HJ91" s="14" t="s">
        <v>131</v>
      </c>
      <c r="HK91" s="14" t="str">
        <f t="shared" si="30"/>
        <v>Pisces - Water</v>
      </c>
    </row>
    <row r="92" spans="1:219" x14ac:dyDescent="0.3">
      <c r="A92" s="572" t="s">
        <v>95</v>
      </c>
      <c r="B92" s="572"/>
      <c r="C92" s="17"/>
      <c r="D92" s="17"/>
      <c r="E92" s="17"/>
      <c r="F92" s="17"/>
      <c r="G92" s="17"/>
      <c r="H92" s="17"/>
      <c r="I92" s="17"/>
      <c r="J92" s="17"/>
      <c r="K92" s="17"/>
      <c r="L92" s="17"/>
      <c r="M92" s="17"/>
      <c r="N92" s="17"/>
      <c r="O92" s="17"/>
      <c r="P92" s="17"/>
      <c r="Q92" s="17"/>
      <c r="R92" s="17"/>
      <c r="S92" s="17"/>
      <c r="T92" s="17"/>
      <c r="AC92" s="35"/>
      <c r="AD92" s="23"/>
      <c r="HG92" s="25">
        <v>43910</v>
      </c>
      <c r="HH92" s="14" t="str">
        <f t="shared" si="31"/>
        <v>20-Mar</v>
      </c>
      <c r="HI92" s="14" t="s">
        <v>115</v>
      </c>
      <c r="HJ92" s="14" t="s">
        <v>131</v>
      </c>
      <c r="HK92" s="14" t="str">
        <f t="shared" si="30"/>
        <v>Pisces - Water</v>
      </c>
    </row>
    <row r="93" spans="1:219" x14ac:dyDescent="0.3">
      <c r="A93" s="13" t="s">
        <v>94</v>
      </c>
      <c r="B93" s="71" t="s">
        <v>186</v>
      </c>
      <c r="C93" s="28" t="str">
        <f>MID($B93,COLUMNS($B$13:B$13),1)</f>
        <v>A</v>
      </c>
      <c r="D93" s="28" t="str">
        <f>MID($B93,COLUMNS($B$13:C$13),1)</f>
        <v>n</v>
      </c>
      <c r="E93" s="28" t="str">
        <f>MID($B93,COLUMNS($B$13:D$13),1)</f>
        <v>g</v>
      </c>
      <c r="F93" s="28" t="str">
        <f>MID($B93,COLUMNS($B$13:E$13),1)</f>
        <v>e</v>
      </c>
      <c r="G93" s="28" t="str">
        <f>MID($B93,COLUMNS($B$13:F$13),1)</f>
        <v>l</v>
      </c>
      <c r="H93" s="28" t="str">
        <f>MID($B93,COLUMNS($B$13:G$13),1)</f>
        <v>i</v>
      </c>
      <c r="I93" s="28" t="str">
        <f>MID($B93,COLUMNS($B$13:H$13),1)</f>
        <v>c</v>
      </c>
      <c r="J93" s="28" t="str">
        <f>MID($B93,COLUMNS($B$13:I$13),1)</f>
        <v xml:space="preserve"> </v>
      </c>
      <c r="K93" s="28" t="str">
        <f>MID($B93,COLUMNS($B$13:J$13),1)</f>
        <v>w</v>
      </c>
      <c r="L93" s="28" t="str">
        <f>MID($B93,COLUMNS($B$13:K$13),1)</f>
        <v>h</v>
      </c>
      <c r="M93" s="28" t="str">
        <f>MID($B93,COLUMNS($B$13:L$13),1)</f>
        <v>i</v>
      </c>
      <c r="N93" s="28" t="str">
        <f>MID($B93,COLUMNS($B$13:M$13),1)</f>
        <v>t</v>
      </c>
      <c r="O93" s="28" t="str">
        <f>MID($B93,COLUMNS($B$13:N$13),1)</f>
        <v>e</v>
      </c>
      <c r="P93" s="28" t="str">
        <f>MID($B93,COLUMNS($B$13:O$13),1)</f>
        <v xml:space="preserve"> </v>
      </c>
      <c r="Q93" s="28" t="str">
        <f>MID($B93,COLUMNS($B$13:P$13),1)</f>
        <v>w</v>
      </c>
      <c r="R93" s="28" t="str">
        <f>MID($B93,COLUMNS($B$13:Q$13),1)</f>
        <v>i</v>
      </c>
      <c r="S93" s="28" t="str">
        <f>MID($B93,COLUMNS($B$13:R$13),1)</f>
        <v>n</v>
      </c>
      <c r="T93" s="28" t="str">
        <f>MID($B93,COLUMNS($B$13:S$13),1)</f>
        <v>g</v>
      </c>
      <c r="U93" s="28" t="str">
        <f>MID($B93,COLUMNS($B$13:T$13),1)</f>
        <v>s</v>
      </c>
      <c r="V93" s="28" t="str">
        <f>MID($B93,COLUMNS($B$13:U$13),1)</f>
        <v/>
      </c>
      <c r="W93" s="28" t="str">
        <f>MID($B93,COLUMNS($B$13:V$13),1)</f>
        <v/>
      </c>
      <c r="X93" s="28" t="str">
        <f>MID($B93,COLUMNS($B$13:W$13),1)</f>
        <v/>
      </c>
      <c r="Y93" s="28" t="str">
        <f>MID($B93,COLUMNS($B$13:X$13),1)</f>
        <v/>
      </c>
      <c r="Z93" s="28" t="str">
        <f>MID($B93,COLUMNS($B$13:Y$13),1)</f>
        <v/>
      </c>
      <c r="AA93" s="28" t="str">
        <f>MID($B93,COLUMNS($B$13:Z$13),1)</f>
        <v/>
      </c>
      <c r="AB93" s="28" t="str">
        <f>MID($B93,COLUMNS($B$13:AA$13),1)</f>
        <v/>
      </c>
      <c r="AC93" s="35"/>
      <c r="AD93" s="23"/>
      <c r="HG93" s="25">
        <v>43911</v>
      </c>
      <c r="HH93" s="14" t="str">
        <f t="shared" si="31"/>
        <v>21-Mar</v>
      </c>
      <c r="HI93" s="14" t="s">
        <v>116</v>
      </c>
      <c r="HJ93" s="14" t="s">
        <v>129</v>
      </c>
      <c r="HK93" s="14" t="str">
        <f t="shared" si="30"/>
        <v>Aries - Fire</v>
      </c>
    </row>
    <row r="94" spans="1:219" x14ac:dyDescent="0.3">
      <c r="C94" s="23">
        <f t="shared" ref="C94:AB94" si="33">IFERROR(VLOOKUP(C93,$GR:$GS,2,0),0)</f>
        <v>1</v>
      </c>
      <c r="D94" s="23">
        <f t="shared" si="33"/>
        <v>5</v>
      </c>
      <c r="E94" s="23">
        <f t="shared" si="33"/>
        <v>3</v>
      </c>
      <c r="F94" s="23">
        <f t="shared" si="33"/>
        <v>5</v>
      </c>
      <c r="G94" s="23">
        <f t="shared" si="33"/>
        <v>3</v>
      </c>
      <c r="H94" s="23">
        <f t="shared" si="33"/>
        <v>1</v>
      </c>
      <c r="I94" s="23">
        <f t="shared" si="33"/>
        <v>3</v>
      </c>
      <c r="J94" s="23">
        <f t="shared" si="33"/>
        <v>0</v>
      </c>
      <c r="K94" s="23">
        <f t="shared" si="33"/>
        <v>6</v>
      </c>
      <c r="L94" s="23">
        <f t="shared" si="33"/>
        <v>5</v>
      </c>
      <c r="M94" s="23">
        <f t="shared" si="33"/>
        <v>1</v>
      </c>
      <c r="N94" s="23">
        <f t="shared" si="33"/>
        <v>4</v>
      </c>
      <c r="O94" s="23">
        <f t="shared" si="33"/>
        <v>5</v>
      </c>
      <c r="P94" s="23">
        <f t="shared" si="33"/>
        <v>0</v>
      </c>
      <c r="Q94" s="23">
        <f t="shared" si="33"/>
        <v>6</v>
      </c>
      <c r="R94" s="23">
        <f t="shared" si="33"/>
        <v>1</v>
      </c>
      <c r="S94" s="23">
        <f t="shared" si="33"/>
        <v>5</v>
      </c>
      <c r="T94" s="23">
        <f t="shared" si="33"/>
        <v>3</v>
      </c>
      <c r="U94" s="23">
        <f t="shared" si="33"/>
        <v>3</v>
      </c>
      <c r="V94" s="23">
        <f t="shared" si="33"/>
        <v>0</v>
      </c>
      <c r="W94" s="23">
        <f t="shared" si="33"/>
        <v>0</v>
      </c>
      <c r="X94" s="23">
        <f t="shared" si="33"/>
        <v>0</v>
      </c>
      <c r="Y94" s="23">
        <f t="shared" si="33"/>
        <v>0</v>
      </c>
      <c r="Z94" s="23">
        <f t="shared" si="33"/>
        <v>0</v>
      </c>
      <c r="AA94" s="23">
        <f t="shared" si="33"/>
        <v>0</v>
      </c>
      <c r="AB94" s="23">
        <f t="shared" si="33"/>
        <v>0</v>
      </c>
      <c r="AC94" s="72">
        <f>SUM(C94:AB94)</f>
        <v>60</v>
      </c>
      <c r="AD94" s="200">
        <f>MOD(AC94-1,9)+1</f>
        <v>6</v>
      </c>
      <c r="HG94" s="25">
        <v>43912</v>
      </c>
      <c r="HH94" s="14" t="str">
        <f t="shared" si="31"/>
        <v>22-Mar</v>
      </c>
      <c r="HI94" s="14" t="s">
        <v>116</v>
      </c>
      <c r="HJ94" s="14" t="s">
        <v>129</v>
      </c>
      <c r="HK94" s="14" t="str">
        <f t="shared" si="30"/>
        <v>Aries - Fire</v>
      </c>
    </row>
    <row r="95" spans="1:219" x14ac:dyDescent="0.3">
      <c r="AC95" s="18"/>
      <c r="HG95" s="25">
        <v>43913</v>
      </c>
      <c r="HH95" s="14" t="str">
        <f t="shared" si="31"/>
        <v>23-Mar</v>
      </c>
      <c r="HI95" s="14" t="s">
        <v>116</v>
      </c>
      <c r="HJ95" s="14" t="s">
        <v>129</v>
      </c>
      <c r="HK95" s="14" t="str">
        <f t="shared" si="30"/>
        <v>Aries - Fire</v>
      </c>
    </row>
    <row r="96" spans="1:219" x14ac:dyDescent="0.3">
      <c r="AC96" s="13" t="s">
        <v>18</v>
      </c>
      <c r="AD96" s="13">
        <f>AA21</f>
        <v>6</v>
      </c>
      <c r="AE96" s="13" t="str">
        <f>IF(AD96=AD94,"Very Good","Not Good")</f>
        <v>Very Good</v>
      </c>
      <c r="HG96" s="25">
        <v>43914</v>
      </c>
      <c r="HH96" s="14" t="str">
        <f t="shared" si="31"/>
        <v>24-Mar</v>
      </c>
      <c r="HI96" s="14" t="s">
        <v>116</v>
      </c>
      <c r="HJ96" s="14" t="s">
        <v>129</v>
      </c>
      <c r="HK96" s="14" t="str">
        <f t="shared" si="30"/>
        <v>Aries - Fire</v>
      </c>
    </row>
    <row r="97" spans="3:219" x14ac:dyDescent="0.3">
      <c r="AC97" s="13" t="s">
        <v>25</v>
      </c>
      <c r="AD97" s="13">
        <f ca="1">AA22</f>
        <v>4</v>
      </c>
      <c r="AE97" s="13" t="str">
        <f ca="1">IF(AD97=AD94,"Very Good","Not Good")</f>
        <v>Not Good</v>
      </c>
      <c r="HG97" s="25">
        <v>43915</v>
      </c>
      <c r="HH97" s="14" t="str">
        <f t="shared" si="31"/>
        <v>25-Mar</v>
      </c>
      <c r="HI97" s="14" t="s">
        <v>116</v>
      </c>
      <c r="HJ97" s="14" t="s">
        <v>129</v>
      </c>
      <c r="HK97" s="14" t="str">
        <f t="shared" si="30"/>
        <v>Aries - Fire</v>
      </c>
    </row>
    <row r="98" spans="3:219" x14ac:dyDescent="0.3">
      <c r="HG98" s="25">
        <v>43916</v>
      </c>
      <c r="HH98" s="14" t="str">
        <f t="shared" si="31"/>
        <v>26-Mar</v>
      </c>
      <c r="HI98" s="14" t="s">
        <v>116</v>
      </c>
      <c r="HJ98" s="14" t="s">
        <v>129</v>
      </c>
      <c r="HK98" s="14" t="str">
        <f t="shared" si="30"/>
        <v>Aries - Fire</v>
      </c>
    </row>
    <row r="99" spans="3:219" x14ac:dyDescent="0.3">
      <c r="C99" s="23"/>
      <c r="D99" s="23"/>
      <c r="E99" s="23"/>
      <c r="F99" s="52"/>
      <c r="G99" s="23"/>
      <c r="U99" s="52"/>
      <c r="HG99" s="25">
        <v>43917</v>
      </c>
      <c r="HH99" s="14" t="str">
        <f t="shared" si="31"/>
        <v>27-Mar</v>
      </c>
      <c r="HI99" s="14" t="s">
        <v>116</v>
      </c>
      <c r="HJ99" s="14" t="s">
        <v>129</v>
      </c>
      <c r="HK99" s="14" t="str">
        <f t="shared" si="30"/>
        <v>Aries - Fire</v>
      </c>
    </row>
    <row r="100" spans="3:219" x14ac:dyDescent="0.3">
      <c r="C100" s="23"/>
      <c r="D100" s="23"/>
      <c r="E100" s="23"/>
      <c r="F100" s="52"/>
      <c r="G100" s="23"/>
      <c r="U100" s="52"/>
      <c r="HG100" s="25">
        <v>43918</v>
      </c>
      <c r="HH100" s="14" t="str">
        <f t="shared" si="31"/>
        <v>28-Mar</v>
      </c>
      <c r="HI100" s="14" t="s">
        <v>116</v>
      </c>
      <c r="HJ100" s="14" t="s">
        <v>129</v>
      </c>
      <c r="HK100" s="14" t="str">
        <f t="shared" si="30"/>
        <v>Aries - Fire</v>
      </c>
    </row>
    <row r="101" spans="3:219" x14ac:dyDescent="0.3">
      <c r="C101" s="23"/>
      <c r="D101" s="23"/>
      <c r="E101" s="23"/>
      <c r="F101" s="52"/>
      <c r="G101" s="23"/>
      <c r="U101" s="52"/>
      <c r="HG101" s="25">
        <v>43919</v>
      </c>
      <c r="HH101" s="14" t="str">
        <f t="shared" si="31"/>
        <v>29-Mar</v>
      </c>
      <c r="HI101" s="14" t="s">
        <v>116</v>
      </c>
      <c r="HJ101" s="14" t="s">
        <v>129</v>
      </c>
      <c r="HK101" s="14" t="str">
        <f t="shared" si="30"/>
        <v>Aries - Fire</v>
      </c>
    </row>
    <row r="102" spans="3:219" x14ac:dyDescent="0.3">
      <c r="C102" s="23"/>
      <c r="D102" s="23"/>
      <c r="E102" s="23"/>
      <c r="F102" s="52"/>
      <c r="G102" s="23"/>
      <c r="U102" s="52"/>
      <c r="HG102" s="25">
        <v>43920</v>
      </c>
      <c r="HH102" s="14" t="str">
        <f t="shared" si="31"/>
        <v>30-Mar</v>
      </c>
      <c r="HI102" s="14" t="s">
        <v>116</v>
      </c>
      <c r="HJ102" s="14" t="s">
        <v>129</v>
      </c>
      <c r="HK102" s="14" t="str">
        <f t="shared" si="30"/>
        <v>Aries - Fire</v>
      </c>
    </row>
    <row r="103" spans="3:219" x14ac:dyDescent="0.3">
      <c r="C103" s="23"/>
      <c r="D103" s="23"/>
      <c r="E103" s="23"/>
      <c r="F103" s="52"/>
      <c r="G103" s="23"/>
      <c r="U103" s="52"/>
      <c r="HG103" s="25">
        <v>43921</v>
      </c>
      <c r="HH103" s="14" t="str">
        <f t="shared" si="31"/>
        <v>31-Mar</v>
      </c>
      <c r="HI103" s="14" t="s">
        <v>116</v>
      </c>
      <c r="HJ103" s="14" t="s">
        <v>129</v>
      </c>
      <c r="HK103" s="14" t="str">
        <f t="shared" si="30"/>
        <v>Aries - Fire</v>
      </c>
    </row>
    <row r="104" spans="3:219" x14ac:dyDescent="0.3">
      <c r="C104" s="23"/>
      <c r="D104" s="23"/>
      <c r="E104" s="23"/>
      <c r="F104" s="52"/>
      <c r="G104" s="23"/>
      <c r="U104" s="52"/>
      <c r="HG104" s="25">
        <v>43922</v>
      </c>
      <c r="HH104" s="14" t="str">
        <f t="shared" si="31"/>
        <v>01-Apr</v>
      </c>
      <c r="HI104" s="14" t="s">
        <v>116</v>
      </c>
      <c r="HJ104" s="14" t="s">
        <v>129</v>
      </c>
      <c r="HK104" s="14" t="str">
        <f t="shared" si="30"/>
        <v>Aries - Fire</v>
      </c>
    </row>
    <row r="105" spans="3:219" x14ac:dyDescent="0.3">
      <c r="C105" s="23"/>
      <c r="D105" s="23"/>
      <c r="E105" s="23"/>
      <c r="F105" s="52"/>
      <c r="G105" s="23"/>
      <c r="U105" s="52"/>
      <c r="HG105" s="25">
        <v>43923</v>
      </c>
      <c r="HH105" s="14" t="str">
        <f t="shared" si="31"/>
        <v>02-Apr</v>
      </c>
      <c r="HI105" s="14" t="s">
        <v>116</v>
      </c>
      <c r="HJ105" s="14" t="s">
        <v>129</v>
      </c>
      <c r="HK105" s="14" t="str">
        <f t="shared" si="30"/>
        <v>Aries - Fire</v>
      </c>
    </row>
    <row r="106" spans="3:219" x14ac:dyDescent="0.3">
      <c r="C106" s="23"/>
      <c r="D106" s="23"/>
      <c r="E106" s="23"/>
      <c r="F106" s="52"/>
      <c r="G106" s="23"/>
      <c r="U106" s="52"/>
      <c r="HG106" s="25">
        <v>43924</v>
      </c>
      <c r="HH106" s="14" t="str">
        <f t="shared" si="31"/>
        <v>03-Apr</v>
      </c>
      <c r="HI106" s="14" t="s">
        <v>116</v>
      </c>
      <c r="HJ106" s="14" t="s">
        <v>129</v>
      </c>
      <c r="HK106" s="14" t="str">
        <f t="shared" si="30"/>
        <v>Aries - Fire</v>
      </c>
    </row>
    <row r="107" spans="3:219" x14ac:dyDescent="0.3">
      <c r="C107" s="23"/>
      <c r="D107" s="23"/>
      <c r="E107" s="23"/>
      <c r="F107" s="52"/>
      <c r="G107" s="23"/>
      <c r="U107" s="52"/>
      <c r="HG107" s="25">
        <v>43925</v>
      </c>
      <c r="HH107" s="14" t="str">
        <f t="shared" si="31"/>
        <v>04-Apr</v>
      </c>
      <c r="HI107" s="14" t="s">
        <v>116</v>
      </c>
      <c r="HJ107" s="14" t="s">
        <v>129</v>
      </c>
      <c r="HK107" s="14" t="str">
        <f t="shared" si="30"/>
        <v>Aries - Fire</v>
      </c>
    </row>
    <row r="108" spans="3:219" x14ac:dyDescent="0.3">
      <c r="C108" s="23"/>
      <c r="D108" s="23"/>
      <c r="E108" s="23"/>
      <c r="F108" s="52"/>
      <c r="G108" s="23"/>
      <c r="U108" s="52"/>
      <c r="HG108" s="25">
        <v>43926</v>
      </c>
      <c r="HH108" s="14" t="str">
        <f t="shared" si="31"/>
        <v>05-Apr</v>
      </c>
      <c r="HI108" s="14" t="s">
        <v>116</v>
      </c>
      <c r="HJ108" s="14" t="s">
        <v>129</v>
      </c>
      <c r="HK108" s="14" t="str">
        <f t="shared" si="30"/>
        <v>Aries - Fire</v>
      </c>
    </row>
    <row r="109" spans="3:219" x14ac:dyDescent="0.3">
      <c r="C109" s="23"/>
      <c r="D109" s="23"/>
      <c r="E109" s="23"/>
      <c r="F109" s="52"/>
      <c r="G109" s="23"/>
      <c r="U109" s="52"/>
      <c r="HG109" s="25">
        <v>43927</v>
      </c>
      <c r="HH109" s="14" t="str">
        <f t="shared" si="31"/>
        <v>06-Apr</v>
      </c>
      <c r="HI109" s="14" t="s">
        <v>116</v>
      </c>
      <c r="HJ109" s="14" t="s">
        <v>129</v>
      </c>
      <c r="HK109" s="14" t="str">
        <f t="shared" si="30"/>
        <v>Aries - Fire</v>
      </c>
    </row>
    <row r="110" spans="3:219" x14ac:dyDescent="0.3">
      <c r="C110" s="23"/>
      <c r="D110" s="23"/>
      <c r="E110" s="23"/>
      <c r="F110" s="52"/>
      <c r="G110" s="23"/>
      <c r="U110" s="52"/>
      <c r="HG110" s="25">
        <v>43928</v>
      </c>
      <c r="HH110" s="14" t="str">
        <f t="shared" si="31"/>
        <v>07-Apr</v>
      </c>
      <c r="HI110" s="14" t="s">
        <v>116</v>
      </c>
      <c r="HJ110" s="14" t="s">
        <v>129</v>
      </c>
      <c r="HK110" s="14" t="str">
        <f t="shared" si="30"/>
        <v>Aries - Fire</v>
      </c>
    </row>
    <row r="111" spans="3:219" x14ac:dyDescent="0.3">
      <c r="C111" s="23"/>
      <c r="D111" s="23"/>
      <c r="E111" s="23"/>
      <c r="F111" s="52"/>
      <c r="G111" s="23"/>
      <c r="U111" s="52"/>
      <c r="HG111" s="25">
        <v>43929</v>
      </c>
      <c r="HH111" s="14" t="str">
        <f t="shared" si="31"/>
        <v>08-Apr</v>
      </c>
      <c r="HI111" s="14" t="s">
        <v>116</v>
      </c>
      <c r="HJ111" s="14" t="s">
        <v>129</v>
      </c>
      <c r="HK111" s="14" t="str">
        <f t="shared" si="30"/>
        <v>Aries - Fire</v>
      </c>
    </row>
    <row r="112" spans="3:219" x14ac:dyDescent="0.3">
      <c r="C112" s="23"/>
      <c r="D112" s="23"/>
      <c r="E112" s="23"/>
      <c r="F112" s="52"/>
      <c r="G112" s="23"/>
      <c r="U112" s="52"/>
      <c r="HG112" s="25">
        <v>43930</v>
      </c>
      <c r="HH112" s="14" t="str">
        <f t="shared" si="31"/>
        <v>09-Apr</v>
      </c>
      <c r="HI112" s="14" t="s">
        <v>116</v>
      </c>
      <c r="HJ112" s="14" t="s">
        <v>129</v>
      </c>
      <c r="HK112" s="14" t="str">
        <f t="shared" si="30"/>
        <v>Aries - Fire</v>
      </c>
    </row>
    <row r="113" spans="3:219" x14ac:dyDescent="0.3">
      <c r="C113" s="23"/>
      <c r="D113" s="23"/>
      <c r="E113" s="23"/>
      <c r="F113" s="52"/>
      <c r="G113" s="23"/>
      <c r="U113" s="52"/>
      <c r="HG113" s="25">
        <v>43931</v>
      </c>
      <c r="HH113" s="14" t="str">
        <f t="shared" si="31"/>
        <v>10-Apr</v>
      </c>
      <c r="HI113" s="14" t="s">
        <v>116</v>
      </c>
      <c r="HJ113" s="14" t="s">
        <v>129</v>
      </c>
      <c r="HK113" s="14" t="str">
        <f t="shared" si="30"/>
        <v>Aries - Fire</v>
      </c>
    </row>
    <row r="114" spans="3:219" x14ac:dyDescent="0.3">
      <c r="C114" s="23"/>
      <c r="D114" s="23"/>
      <c r="E114" s="23"/>
      <c r="F114" s="52"/>
      <c r="G114" s="23"/>
      <c r="U114" s="52"/>
      <c r="HG114" s="25">
        <v>43932</v>
      </c>
      <c r="HH114" s="14" t="str">
        <f t="shared" si="31"/>
        <v>11-Apr</v>
      </c>
      <c r="HI114" s="14" t="s">
        <v>116</v>
      </c>
      <c r="HJ114" s="14" t="s">
        <v>129</v>
      </c>
      <c r="HK114" s="14" t="str">
        <f t="shared" si="30"/>
        <v>Aries - Fire</v>
      </c>
    </row>
    <row r="115" spans="3:219" x14ac:dyDescent="0.3">
      <c r="C115" s="23"/>
      <c r="D115" s="23"/>
      <c r="E115" s="23"/>
      <c r="F115" s="52"/>
      <c r="G115" s="23"/>
      <c r="U115" s="52"/>
      <c r="HG115" s="25">
        <v>43933</v>
      </c>
      <c r="HH115" s="14" t="str">
        <f t="shared" si="31"/>
        <v>12-Apr</v>
      </c>
      <c r="HI115" s="14" t="s">
        <v>116</v>
      </c>
      <c r="HJ115" s="14" t="s">
        <v>129</v>
      </c>
      <c r="HK115" s="14" t="str">
        <f t="shared" si="30"/>
        <v>Aries - Fire</v>
      </c>
    </row>
    <row r="116" spans="3:219" x14ac:dyDescent="0.3">
      <c r="HG116" s="25">
        <v>43934</v>
      </c>
      <c r="HH116" s="14" t="str">
        <f t="shared" si="31"/>
        <v>13-Apr</v>
      </c>
      <c r="HI116" s="14" t="s">
        <v>116</v>
      </c>
      <c r="HJ116" s="14" t="s">
        <v>129</v>
      </c>
      <c r="HK116" s="14" t="str">
        <f t="shared" si="30"/>
        <v>Aries - Fire</v>
      </c>
    </row>
    <row r="117" spans="3:219" x14ac:dyDescent="0.3">
      <c r="HG117" s="25">
        <v>43935</v>
      </c>
      <c r="HH117" s="14" t="str">
        <f t="shared" si="31"/>
        <v>14-Apr</v>
      </c>
      <c r="HI117" s="14" t="s">
        <v>116</v>
      </c>
      <c r="HJ117" s="14" t="s">
        <v>129</v>
      </c>
      <c r="HK117" s="14" t="str">
        <f t="shared" si="30"/>
        <v>Aries - Fire</v>
      </c>
    </row>
    <row r="118" spans="3:219" x14ac:dyDescent="0.3">
      <c r="HG118" s="25">
        <v>43936</v>
      </c>
      <c r="HH118" s="14" t="str">
        <f t="shared" si="31"/>
        <v>15-Apr</v>
      </c>
      <c r="HI118" s="14" t="s">
        <v>116</v>
      </c>
      <c r="HJ118" s="14" t="s">
        <v>129</v>
      </c>
      <c r="HK118" s="14" t="str">
        <f t="shared" si="30"/>
        <v>Aries - Fire</v>
      </c>
    </row>
    <row r="119" spans="3:219" x14ac:dyDescent="0.3">
      <c r="HG119" s="25">
        <v>43937</v>
      </c>
      <c r="HH119" s="14" t="str">
        <f t="shared" si="31"/>
        <v>16-Apr</v>
      </c>
      <c r="HI119" s="14" t="s">
        <v>116</v>
      </c>
      <c r="HJ119" s="14" t="s">
        <v>129</v>
      </c>
      <c r="HK119" s="14" t="str">
        <f t="shared" si="30"/>
        <v>Aries - Fire</v>
      </c>
    </row>
    <row r="120" spans="3:219" x14ac:dyDescent="0.3">
      <c r="HG120" s="25">
        <v>43938</v>
      </c>
      <c r="HH120" s="14" t="str">
        <f t="shared" si="31"/>
        <v>17-Apr</v>
      </c>
      <c r="HI120" s="14" t="s">
        <v>116</v>
      </c>
      <c r="HJ120" s="14" t="s">
        <v>129</v>
      </c>
      <c r="HK120" s="14" t="str">
        <f t="shared" si="30"/>
        <v>Aries - Fire</v>
      </c>
    </row>
    <row r="121" spans="3:219" x14ac:dyDescent="0.3">
      <c r="HG121" s="25">
        <v>43939</v>
      </c>
      <c r="HH121" s="14" t="str">
        <f t="shared" si="31"/>
        <v>18-Apr</v>
      </c>
      <c r="HI121" s="14" t="s">
        <v>116</v>
      </c>
      <c r="HJ121" s="14" t="s">
        <v>129</v>
      </c>
      <c r="HK121" s="14" t="str">
        <f t="shared" si="30"/>
        <v>Aries - Fire</v>
      </c>
    </row>
    <row r="122" spans="3:219" x14ac:dyDescent="0.3">
      <c r="HG122" s="25">
        <v>43940</v>
      </c>
      <c r="HH122" s="14" t="str">
        <f t="shared" si="31"/>
        <v>19-Apr</v>
      </c>
      <c r="HI122" s="14" t="s">
        <v>116</v>
      </c>
      <c r="HJ122" s="14" t="s">
        <v>129</v>
      </c>
      <c r="HK122" s="14" t="str">
        <f t="shared" si="30"/>
        <v>Aries - Fire</v>
      </c>
    </row>
    <row r="123" spans="3:219" x14ac:dyDescent="0.3">
      <c r="HG123" s="25">
        <v>43941</v>
      </c>
      <c r="HH123" s="14" t="str">
        <f t="shared" si="31"/>
        <v>20-Apr</v>
      </c>
      <c r="HI123" s="14" t="s">
        <v>117</v>
      </c>
      <c r="HJ123" s="14" t="s">
        <v>130</v>
      </c>
      <c r="HK123" s="14" t="str">
        <f t="shared" si="30"/>
        <v>Taurus - Earth</v>
      </c>
    </row>
    <row r="124" spans="3:219" x14ac:dyDescent="0.3">
      <c r="HG124" s="25">
        <v>43942</v>
      </c>
      <c r="HH124" s="14" t="str">
        <f t="shared" si="31"/>
        <v>21-Apr</v>
      </c>
      <c r="HI124" s="14" t="s">
        <v>117</v>
      </c>
      <c r="HJ124" s="14" t="s">
        <v>130</v>
      </c>
      <c r="HK124" s="14" t="str">
        <f t="shared" si="30"/>
        <v>Taurus - Earth</v>
      </c>
    </row>
    <row r="125" spans="3:219" x14ac:dyDescent="0.3">
      <c r="HG125" s="25">
        <v>43943</v>
      </c>
      <c r="HH125" s="14" t="str">
        <f t="shared" si="31"/>
        <v>22-Apr</v>
      </c>
      <c r="HI125" s="14" t="s">
        <v>117</v>
      </c>
      <c r="HJ125" s="14" t="s">
        <v>130</v>
      </c>
      <c r="HK125" s="14" t="str">
        <f t="shared" si="30"/>
        <v>Taurus - Earth</v>
      </c>
    </row>
    <row r="126" spans="3:219" x14ac:dyDescent="0.3">
      <c r="HG126" s="25">
        <v>43944</v>
      </c>
      <c r="HH126" s="14" t="str">
        <f t="shared" si="31"/>
        <v>23-Apr</v>
      </c>
      <c r="HI126" s="14" t="s">
        <v>117</v>
      </c>
      <c r="HJ126" s="14" t="s">
        <v>130</v>
      </c>
      <c r="HK126" s="14" t="str">
        <f t="shared" si="30"/>
        <v>Taurus - Earth</v>
      </c>
    </row>
    <row r="127" spans="3:219" x14ac:dyDescent="0.3">
      <c r="HG127" s="25">
        <v>43945</v>
      </c>
      <c r="HH127" s="14" t="str">
        <f t="shared" si="31"/>
        <v>24-Apr</v>
      </c>
      <c r="HI127" s="14" t="s">
        <v>117</v>
      </c>
      <c r="HJ127" s="14" t="s">
        <v>130</v>
      </c>
      <c r="HK127" s="14" t="str">
        <f t="shared" si="30"/>
        <v>Taurus - Earth</v>
      </c>
    </row>
    <row r="128" spans="3:219" x14ac:dyDescent="0.3">
      <c r="HG128" s="25">
        <v>43946</v>
      </c>
      <c r="HH128" s="14" t="str">
        <f t="shared" si="31"/>
        <v>25-Apr</v>
      </c>
      <c r="HI128" s="14" t="s">
        <v>117</v>
      </c>
      <c r="HJ128" s="14" t="s">
        <v>130</v>
      </c>
      <c r="HK128" s="14" t="str">
        <f t="shared" si="30"/>
        <v>Taurus - Earth</v>
      </c>
    </row>
    <row r="129" spans="215:219" x14ac:dyDescent="0.3">
      <c r="HG129" s="25">
        <v>43947</v>
      </c>
      <c r="HH129" s="14" t="str">
        <f t="shared" si="31"/>
        <v>26-Apr</v>
      </c>
      <c r="HI129" s="14" t="s">
        <v>117</v>
      </c>
      <c r="HJ129" s="14" t="s">
        <v>130</v>
      </c>
      <c r="HK129" s="14" t="str">
        <f t="shared" si="30"/>
        <v>Taurus - Earth</v>
      </c>
    </row>
    <row r="130" spans="215:219" x14ac:dyDescent="0.3">
      <c r="HG130" s="25">
        <v>43948</v>
      </c>
      <c r="HH130" s="14" t="str">
        <f t="shared" si="31"/>
        <v>27-Apr</v>
      </c>
      <c r="HI130" s="14" t="s">
        <v>117</v>
      </c>
      <c r="HJ130" s="14" t="s">
        <v>130</v>
      </c>
      <c r="HK130" s="14" t="str">
        <f t="shared" si="30"/>
        <v>Taurus - Earth</v>
      </c>
    </row>
    <row r="131" spans="215:219" x14ac:dyDescent="0.3">
      <c r="HG131" s="25">
        <v>43949</v>
      </c>
      <c r="HH131" s="14" t="str">
        <f t="shared" si="31"/>
        <v>28-Apr</v>
      </c>
      <c r="HI131" s="14" t="s">
        <v>117</v>
      </c>
      <c r="HJ131" s="14" t="s">
        <v>130</v>
      </c>
      <c r="HK131" s="14" t="str">
        <f t="shared" si="30"/>
        <v>Taurus - Earth</v>
      </c>
    </row>
    <row r="132" spans="215:219" x14ac:dyDescent="0.3">
      <c r="HG132" s="25">
        <v>43950</v>
      </c>
      <c r="HH132" s="14" t="str">
        <f t="shared" si="31"/>
        <v>29-Apr</v>
      </c>
      <c r="HI132" s="14" t="s">
        <v>117</v>
      </c>
      <c r="HJ132" s="14" t="s">
        <v>130</v>
      </c>
      <c r="HK132" s="14" t="str">
        <f t="shared" si="30"/>
        <v>Taurus - Earth</v>
      </c>
    </row>
    <row r="133" spans="215:219" x14ac:dyDescent="0.3">
      <c r="HG133" s="25">
        <v>43951</v>
      </c>
      <c r="HH133" s="14" t="str">
        <f t="shared" si="31"/>
        <v>30-Apr</v>
      </c>
      <c r="HI133" s="14" t="s">
        <v>117</v>
      </c>
      <c r="HJ133" s="14" t="s">
        <v>130</v>
      </c>
      <c r="HK133" s="14" t="str">
        <f t="shared" si="30"/>
        <v>Taurus - Earth</v>
      </c>
    </row>
    <row r="134" spans="215:219" x14ac:dyDescent="0.3">
      <c r="HG134" s="25">
        <v>43952</v>
      </c>
      <c r="HH134" s="14" t="str">
        <f t="shared" si="31"/>
        <v>01-May</v>
      </c>
      <c r="HI134" s="14" t="s">
        <v>117</v>
      </c>
      <c r="HJ134" s="14" t="s">
        <v>130</v>
      </c>
      <c r="HK134" s="14" t="str">
        <f t="shared" si="30"/>
        <v>Taurus - Earth</v>
      </c>
    </row>
    <row r="135" spans="215:219" x14ac:dyDescent="0.3">
      <c r="HG135" s="25">
        <v>43953</v>
      </c>
      <c r="HH135" s="14" t="str">
        <f t="shared" si="31"/>
        <v>02-May</v>
      </c>
      <c r="HI135" s="14" t="s">
        <v>117</v>
      </c>
      <c r="HJ135" s="14" t="s">
        <v>130</v>
      </c>
      <c r="HK135" s="14" t="str">
        <f t="shared" si="30"/>
        <v>Taurus - Earth</v>
      </c>
    </row>
    <row r="136" spans="215:219" x14ac:dyDescent="0.3">
      <c r="HG136" s="25">
        <v>43954</v>
      </c>
      <c r="HH136" s="14" t="str">
        <f t="shared" si="31"/>
        <v>03-May</v>
      </c>
      <c r="HI136" s="14" t="s">
        <v>117</v>
      </c>
      <c r="HJ136" s="14" t="s">
        <v>130</v>
      </c>
      <c r="HK136" s="14" t="str">
        <f t="shared" si="30"/>
        <v>Taurus - Earth</v>
      </c>
    </row>
    <row r="137" spans="215:219" x14ac:dyDescent="0.3">
      <c r="HG137" s="25">
        <v>43955</v>
      </c>
      <c r="HH137" s="14" t="str">
        <f t="shared" si="31"/>
        <v>04-May</v>
      </c>
      <c r="HI137" s="14" t="s">
        <v>117</v>
      </c>
      <c r="HJ137" s="14" t="s">
        <v>130</v>
      </c>
      <c r="HK137" s="14" t="str">
        <f t="shared" si="30"/>
        <v>Taurus - Earth</v>
      </c>
    </row>
    <row r="138" spans="215:219" x14ac:dyDescent="0.3">
      <c r="HG138" s="25">
        <v>43956</v>
      </c>
      <c r="HH138" s="14" t="str">
        <f t="shared" si="31"/>
        <v>05-May</v>
      </c>
      <c r="HI138" s="14" t="s">
        <v>117</v>
      </c>
      <c r="HJ138" s="14" t="s">
        <v>130</v>
      </c>
      <c r="HK138" s="14" t="str">
        <f t="shared" si="30"/>
        <v>Taurus - Earth</v>
      </c>
    </row>
    <row r="139" spans="215:219" x14ac:dyDescent="0.3">
      <c r="HG139" s="25">
        <v>43957</v>
      </c>
      <c r="HH139" s="14" t="str">
        <f t="shared" si="31"/>
        <v>06-May</v>
      </c>
      <c r="HI139" s="14" t="s">
        <v>117</v>
      </c>
      <c r="HJ139" s="14" t="s">
        <v>130</v>
      </c>
      <c r="HK139" s="14" t="str">
        <f t="shared" si="30"/>
        <v>Taurus - Earth</v>
      </c>
    </row>
    <row r="140" spans="215:219" x14ac:dyDescent="0.3">
      <c r="HG140" s="25">
        <v>43958</v>
      </c>
      <c r="HH140" s="14" t="str">
        <f t="shared" si="31"/>
        <v>07-May</v>
      </c>
      <c r="HI140" s="14" t="s">
        <v>117</v>
      </c>
      <c r="HJ140" s="14" t="s">
        <v>130</v>
      </c>
      <c r="HK140" s="14" t="str">
        <f t="shared" si="30"/>
        <v>Taurus - Earth</v>
      </c>
    </row>
    <row r="141" spans="215:219" x14ac:dyDescent="0.3">
      <c r="HG141" s="25">
        <v>43959</v>
      </c>
      <c r="HH141" s="14" t="str">
        <f t="shared" si="31"/>
        <v>08-May</v>
      </c>
      <c r="HI141" s="14" t="s">
        <v>117</v>
      </c>
      <c r="HJ141" s="14" t="s">
        <v>130</v>
      </c>
      <c r="HK141" s="14" t="str">
        <f t="shared" ref="HK141:HK204" si="34">HI141&amp;" - "&amp;HJ141</f>
        <v>Taurus - Earth</v>
      </c>
    </row>
    <row r="142" spans="215:219" x14ac:dyDescent="0.3">
      <c r="HG142" s="25">
        <v>43960</v>
      </c>
      <c r="HH142" s="14" t="str">
        <f t="shared" ref="HH142:HH205" si="35">TEXT(HG142,"DD-MMM")</f>
        <v>09-May</v>
      </c>
      <c r="HI142" s="14" t="s">
        <v>117</v>
      </c>
      <c r="HJ142" s="14" t="s">
        <v>130</v>
      </c>
      <c r="HK142" s="14" t="str">
        <f t="shared" si="34"/>
        <v>Taurus - Earth</v>
      </c>
    </row>
    <row r="143" spans="215:219" x14ac:dyDescent="0.3">
      <c r="HG143" s="25">
        <v>43961</v>
      </c>
      <c r="HH143" s="14" t="str">
        <f t="shared" si="35"/>
        <v>10-May</v>
      </c>
      <c r="HI143" s="14" t="s">
        <v>117</v>
      </c>
      <c r="HJ143" s="14" t="s">
        <v>130</v>
      </c>
      <c r="HK143" s="14" t="str">
        <f t="shared" si="34"/>
        <v>Taurus - Earth</v>
      </c>
    </row>
    <row r="144" spans="215:219" x14ac:dyDescent="0.3">
      <c r="HG144" s="25">
        <v>43962</v>
      </c>
      <c r="HH144" s="14" t="str">
        <f t="shared" si="35"/>
        <v>11-May</v>
      </c>
      <c r="HI144" s="14" t="s">
        <v>117</v>
      </c>
      <c r="HJ144" s="14" t="s">
        <v>130</v>
      </c>
      <c r="HK144" s="14" t="str">
        <f t="shared" si="34"/>
        <v>Taurus - Earth</v>
      </c>
    </row>
    <row r="145" spans="215:219" x14ac:dyDescent="0.3">
      <c r="HG145" s="25">
        <v>43963</v>
      </c>
      <c r="HH145" s="14" t="str">
        <f t="shared" si="35"/>
        <v>12-May</v>
      </c>
      <c r="HI145" s="14" t="s">
        <v>117</v>
      </c>
      <c r="HJ145" s="14" t="s">
        <v>130</v>
      </c>
      <c r="HK145" s="14" t="str">
        <f t="shared" si="34"/>
        <v>Taurus - Earth</v>
      </c>
    </row>
    <row r="146" spans="215:219" x14ac:dyDescent="0.3">
      <c r="HG146" s="25">
        <v>43964</v>
      </c>
      <c r="HH146" s="14" t="str">
        <f t="shared" si="35"/>
        <v>13-May</v>
      </c>
      <c r="HI146" s="14" t="s">
        <v>117</v>
      </c>
      <c r="HJ146" s="14" t="s">
        <v>130</v>
      </c>
      <c r="HK146" s="14" t="str">
        <f t="shared" si="34"/>
        <v>Taurus - Earth</v>
      </c>
    </row>
    <row r="147" spans="215:219" x14ac:dyDescent="0.3">
      <c r="HG147" s="25">
        <v>43965</v>
      </c>
      <c r="HH147" s="14" t="str">
        <f t="shared" si="35"/>
        <v>14-May</v>
      </c>
      <c r="HI147" s="14" t="s">
        <v>117</v>
      </c>
      <c r="HJ147" s="14" t="s">
        <v>130</v>
      </c>
      <c r="HK147" s="14" t="str">
        <f t="shared" si="34"/>
        <v>Taurus - Earth</v>
      </c>
    </row>
    <row r="148" spans="215:219" x14ac:dyDescent="0.3">
      <c r="HG148" s="25">
        <v>43966</v>
      </c>
      <c r="HH148" s="14" t="str">
        <f t="shared" si="35"/>
        <v>15-May</v>
      </c>
      <c r="HI148" s="14" t="s">
        <v>117</v>
      </c>
      <c r="HJ148" s="14" t="s">
        <v>130</v>
      </c>
      <c r="HK148" s="14" t="str">
        <f t="shared" si="34"/>
        <v>Taurus - Earth</v>
      </c>
    </row>
    <row r="149" spans="215:219" x14ac:dyDescent="0.3">
      <c r="HG149" s="25">
        <v>43967</v>
      </c>
      <c r="HH149" s="14" t="str">
        <f t="shared" si="35"/>
        <v>16-May</v>
      </c>
      <c r="HI149" s="14" t="s">
        <v>117</v>
      </c>
      <c r="HJ149" s="14" t="s">
        <v>130</v>
      </c>
      <c r="HK149" s="14" t="str">
        <f t="shared" si="34"/>
        <v>Taurus - Earth</v>
      </c>
    </row>
    <row r="150" spans="215:219" x14ac:dyDescent="0.3">
      <c r="HG150" s="25">
        <v>43968</v>
      </c>
      <c r="HH150" s="14" t="str">
        <f t="shared" si="35"/>
        <v>17-May</v>
      </c>
      <c r="HI150" s="14" t="s">
        <v>117</v>
      </c>
      <c r="HJ150" s="14" t="s">
        <v>130</v>
      </c>
      <c r="HK150" s="14" t="str">
        <f t="shared" si="34"/>
        <v>Taurus - Earth</v>
      </c>
    </row>
    <row r="151" spans="215:219" x14ac:dyDescent="0.3">
      <c r="HG151" s="25">
        <v>43969</v>
      </c>
      <c r="HH151" s="14" t="str">
        <f t="shared" si="35"/>
        <v>18-May</v>
      </c>
      <c r="HI151" s="14" t="s">
        <v>117</v>
      </c>
      <c r="HJ151" s="14" t="s">
        <v>130</v>
      </c>
      <c r="HK151" s="14" t="str">
        <f t="shared" si="34"/>
        <v>Taurus - Earth</v>
      </c>
    </row>
    <row r="152" spans="215:219" x14ac:dyDescent="0.3">
      <c r="HG152" s="25">
        <v>43970</v>
      </c>
      <c r="HH152" s="14" t="str">
        <f t="shared" si="35"/>
        <v>19-May</v>
      </c>
      <c r="HI152" s="14" t="s">
        <v>117</v>
      </c>
      <c r="HJ152" s="14" t="s">
        <v>130</v>
      </c>
      <c r="HK152" s="14" t="str">
        <f t="shared" si="34"/>
        <v>Taurus - Earth</v>
      </c>
    </row>
    <row r="153" spans="215:219" x14ac:dyDescent="0.3">
      <c r="HG153" s="25">
        <v>43971</v>
      </c>
      <c r="HH153" s="14" t="str">
        <f t="shared" si="35"/>
        <v>20-May</v>
      </c>
      <c r="HI153" s="14" t="s">
        <v>117</v>
      </c>
      <c r="HJ153" s="14" t="s">
        <v>130</v>
      </c>
      <c r="HK153" s="14" t="str">
        <f t="shared" si="34"/>
        <v>Taurus - Earth</v>
      </c>
    </row>
    <row r="154" spans="215:219" x14ac:dyDescent="0.3">
      <c r="HG154" s="25">
        <v>43972</v>
      </c>
      <c r="HH154" s="14" t="str">
        <f t="shared" si="35"/>
        <v>21-May</v>
      </c>
      <c r="HI154" s="14" t="s">
        <v>118</v>
      </c>
      <c r="HJ154" s="14" t="s">
        <v>132</v>
      </c>
      <c r="HK154" s="14" t="str">
        <f t="shared" si="34"/>
        <v>Gemini - Air</v>
      </c>
    </row>
    <row r="155" spans="215:219" x14ac:dyDescent="0.3">
      <c r="HG155" s="25">
        <v>43973</v>
      </c>
      <c r="HH155" s="14" t="str">
        <f t="shared" si="35"/>
        <v>22-May</v>
      </c>
      <c r="HI155" s="14" t="s">
        <v>118</v>
      </c>
      <c r="HJ155" s="14" t="s">
        <v>132</v>
      </c>
      <c r="HK155" s="14" t="str">
        <f t="shared" si="34"/>
        <v>Gemini - Air</v>
      </c>
    </row>
    <row r="156" spans="215:219" x14ac:dyDescent="0.3">
      <c r="HG156" s="25">
        <v>43974</v>
      </c>
      <c r="HH156" s="14" t="str">
        <f t="shared" si="35"/>
        <v>23-May</v>
      </c>
      <c r="HI156" s="14" t="s">
        <v>118</v>
      </c>
      <c r="HJ156" s="14" t="s">
        <v>132</v>
      </c>
      <c r="HK156" s="14" t="str">
        <f t="shared" si="34"/>
        <v>Gemini - Air</v>
      </c>
    </row>
    <row r="157" spans="215:219" x14ac:dyDescent="0.3">
      <c r="HG157" s="25">
        <v>43975</v>
      </c>
      <c r="HH157" s="14" t="str">
        <f t="shared" si="35"/>
        <v>24-May</v>
      </c>
      <c r="HI157" s="14" t="s">
        <v>118</v>
      </c>
      <c r="HJ157" s="14" t="s">
        <v>132</v>
      </c>
      <c r="HK157" s="14" t="str">
        <f t="shared" si="34"/>
        <v>Gemini - Air</v>
      </c>
    </row>
    <row r="158" spans="215:219" x14ac:dyDescent="0.3">
      <c r="HG158" s="25">
        <v>43976</v>
      </c>
      <c r="HH158" s="14" t="str">
        <f t="shared" si="35"/>
        <v>25-May</v>
      </c>
      <c r="HI158" s="14" t="s">
        <v>118</v>
      </c>
      <c r="HJ158" s="14" t="s">
        <v>132</v>
      </c>
      <c r="HK158" s="14" t="str">
        <f t="shared" si="34"/>
        <v>Gemini - Air</v>
      </c>
    </row>
    <row r="159" spans="215:219" x14ac:dyDescent="0.3">
      <c r="HG159" s="25">
        <v>43977</v>
      </c>
      <c r="HH159" s="14" t="str">
        <f t="shared" si="35"/>
        <v>26-May</v>
      </c>
      <c r="HI159" s="14" t="s">
        <v>118</v>
      </c>
      <c r="HJ159" s="14" t="s">
        <v>132</v>
      </c>
      <c r="HK159" s="14" t="str">
        <f t="shared" si="34"/>
        <v>Gemini - Air</v>
      </c>
    </row>
    <row r="160" spans="215:219" x14ac:dyDescent="0.3">
      <c r="HG160" s="25">
        <v>43978</v>
      </c>
      <c r="HH160" s="14" t="str">
        <f t="shared" si="35"/>
        <v>27-May</v>
      </c>
      <c r="HI160" s="14" t="s">
        <v>118</v>
      </c>
      <c r="HJ160" s="14" t="s">
        <v>132</v>
      </c>
      <c r="HK160" s="14" t="str">
        <f t="shared" si="34"/>
        <v>Gemini - Air</v>
      </c>
    </row>
    <row r="161" spans="215:219" x14ac:dyDescent="0.3">
      <c r="HG161" s="25">
        <v>43979</v>
      </c>
      <c r="HH161" s="14" t="str">
        <f t="shared" si="35"/>
        <v>28-May</v>
      </c>
      <c r="HI161" s="14" t="s">
        <v>118</v>
      </c>
      <c r="HJ161" s="14" t="s">
        <v>132</v>
      </c>
      <c r="HK161" s="14" t="str">
        <f t="shared" si="34"/>
        <v>Gemini - Air</v>
      </c>
    </row>
    <row r="162" spans="215:219" x14ac:dyDescent="0.3">
      <c r="HG162" s="25">
        <v>43980</v>
      </c>
      <c r="HH162" s="14" t="str">
        <f t="shared" si="35"/>
        <v>29-May</v>
      </c>
      <c r="HI162" s="14" t="s">
        <v>118</v>
      </c>
      <c r="HJ162" s="14" t="s">
        <v>132</v>
      </c>
      <c r="HK162" s="14" t="str">
        <f t="shared" si="34"/>
        <v>Gemini - Air</v>
      </c>
    </row>
    <row r="163" spans="215:219" x14ac:dyDescent="0.3">
      <c r="HG163" s="25">
        <v>43981</v>
      </c>
      <c r="HH163" s="14" t="str">
        <f t="shared" si="35"/>
        <v>30-May</v>
      </c>
      <c r="HI163" s="14" t="s">
        <v>118</v>
      </c>
      <c r="HJ163" s="14" t="s">
        <v>132</v>
      </c>
      <c r="HK163" s="14" t="str">
        <f t="shared" si="34"/>
        <v>Gemini - Air</v>
      </c>
    </row>
    <row r="164" spans="215:219" x14ac:dyDescent="0.3">
      <c r="HG164" s="25">
        <v>43982</v>
      </c>
      <c r="HH164" s="14" t="str">
        <f t="shared" si="35"/>
        <v>31-May</v>
      </c>
      <c r="HI164" s="14" t="s">
        <v>118</v>
      </c>
      <c r="HJ164" s="14" t="s">
        <v>132</v>
      </c>
      <c r="HK164" s="14" t="str">
        <f t="shared" si="34"/>
        <v>Gemini - Air</v>
      </c>
    </row>
    <row r="165" spans="215:219" x14ac:dyDescent="0.3">
      <c r="HG165" s="25">
        <v>43983</v>
      </c>
      <c r="HH165" s="14" t="str">
        <f t="shared" si="35"/>
        <v>01-Jun</v>
      </c>
      <c r="HI165" s="14" t="s">
        <v>118</v>
      </c>
      <c r="HJ165" s="14" t="s">
        <v>132</v>
      </c>
      <c r="HK165" s="14" t="str">
        <f t="shared" si="34"/>
        <v>Gemini - Air</v>
      </c>
    </row>
    <row r="166" spans="215:219" x14ac:dyDescent="0.3">
      <c r="HG166" s="25">
        <v>43984</v>
      </c>
      <c r="HH166" s="14" t="str">
        <f t="shared" si="35"/>
        <v>02-Jun</v>
      </c>
      <c r="HI166" s="14" t="s">
        <v>118</v>
      </c>
      <c r="HJ166" s="14" t="s">
        <v>132</v>
      </c>
      <c r="HK166" s="14" t="str">
        <f t="shared" si="34"/>
        <v>Gemini - Air</v>
      </c>
    </row>
    <row r="167" spans="215:219" x14ac:dyDescent="0.3">
      <c r="HG167" s="25">
        <v>43985</v>
      </c>
      <c r="HH167" s="14" t="str">
        <f t="shared" si="35"/>
        <v>03-Jun</v>
      </c>
      <c r="HI167" s="14" t="s">
        <v>118</v>
      </c>
      <c r="HJ167" s="14" t="s">
        <v>132</v>
      </c>
      <c r="HK167" s="14" t="str">
        <f t="shared" si="34"/>
        <v>Gemini - Air</v>
      </c>
    </row>
    <row r="168" spans="215:219" x14ac:dyDescent="0.3">
      <c r="HG168" s="25">
        <v>43986</v>
      </c>
      <c r="HH168" s="14" t="str">
        <f t="shared" si="35"/>
        <v>04-Jun</v>
      </c>
      <c r="HI168" s="14" t="s">
        <v>118</v>
      </c>
      <c r="HJ168" s="14" t="s">
        <v>132</v>
      </c>
      <c r="HK168" s="14" t="str">
        <f t="shared" si="34"/>
        <v>Gemini - Air</v>
      </c>
    </row>
    <row r="169" spans="215:219" x14ac:dyDescent="0.3">
      <c r="HG169" s="25">
        <v>43987</v>
      </c>
      <c r="HH169" s="14" t="str">
        <f t="shared" si="35"/>
        <v>05-Jun</v>
      </c>
      <c r="HI169" s="14" t="s">
        <v>118</v>
      </c>
      <c r="HJ169" s="14" t="s">
        <v>132</v>
      </c>
      <c r="HK169" s="14" t="str">
        <f t="shared" si="34"/>
        <v>Gemini - Air</v>
      </c>
    </row>
    <row r="170" spans="215:219" x14ac:dyDescent="0.3">
      <c r="HG170" s="25">
        <v>43988</v>
      </c>
      <c r="HH170" s="14" t="str">
        <f t="shared" si="35"/>
        <v>06-Jun</v>
      </c>
      <c r="HI170" s="14" t="s">
        <v>118</v>
      </c>
      <c r="HJ170" s="14" t="s">
        <v>132</v>
      </c>
      <c r="HK170" s="14" t="str">
        <f t="shared" si="34"/>
        <v>Gemini - Air</v>
      </c>
    </row>
    <row r="171" spans="215:219" x14ac:dyDescent="0.3">
      <c r="HG171" s="25">
        <v>43989</v>
      </c>
      <c r="HH171" s="14" t="str">
        <f t="shared" si="35"/>
        <v>07-Jun</v>
      </c>
      <c r="HI171" s="14" t="s">
        <v>118</v>
      </c>
      <c r="HJ171" s="14" t="s">
        <v>132</v>
      </c>
      <c r="HK171" s="14" t="str">
        <f t="shared" si="34"/>
        <v>Gemini - Air</v>
      </c>
    </row>
    <row r="172" spans="215:219" x14ac:dyDescent="0.3">
      <c r="HG172" s="25">
        <v>43990</v>
      </c>
      <c r="HH172" s="14" t="str">
        <f t="shared" si="35"/>
        <v>08-Jun</v>
      </c>
      <c r="HI172" s="14" t="s">
        <v>118</v>
      </c>
      <c r="HJ172" s="14" t="s">
        <v>132</v>
      </c>
      <c r="HK172" s="14" t="str">
        <f t="shared" si="34"/>
        <v>Gemini - Air</v>
      </c>
    </row>
    <row r="173" spans="215:219" x14ac:dyDescent="0.3">
      <c r="HG173" s="25">
        <v>43991</v>
      </c>
      <c r="HH173" s="14" t="str">
        <f t="shared" si="35"/>
        <v>09-Jun</v>
      </c>
      <c r="HI173" s="14" t="s">
        <v>118</v>
      </c>
      <c r="HJ173" s="14" t="s">
        <v>132</v>
      </c>
      <c r="HK173" s="14" t="str">
        <f t="shared" si="34"/>
        <v>Gemini - Air</v>
      </c>
    </row>
    <row r="174" spans="215:219" x14ac:dyDescent="0.3">
      <c r="HG174" s="25">
        <v>43992</v>
      </c>
      <c r="HH174" s="14" t="str">
        <f t="shared" si="35"/>
        <v>10-Jun</v>
      </c>
      <c r="HI174" s="14" t="s">
        <v>118</v>
      </c>
      <c r="HJ174" s="14" t="s">
        <v>132</v>
      </c>
      <c r="HK174" s="14" t="str">
        <f t="shared" si="34"/>
        <v>Gemini - Air</v>
      </c>
    </row>
    <row r="175" spans="215:219" x14ac:dyDescent="0.3">
      <c r="HG175" s="25">
        <v>43993</v>
      </c>
      <c r="HH175" s="14" t="str">
        <f t="shared" si="35"/>
        <v>11-Jun</v>
      </c>
      <c r="HI175" s="14" t="s">
        <v>118</v>
      </c>
      <c r="HJ175" s="14" t="s">
        <v>132</v>
      </c>
      <c r="HK175" s="14" t="str">
        <f t="shared" si="34"/>
        <v>Gemini - Air</v>
      </c>
    </row>
    <row r="176" spans="215:219" x14ac:dyDescent="0.3">
      <c r="HG176" s="25">
        <v>43994</v>
      </c>
      <c r="HH176" s="14" t="str">
        <f t="shared" si="35"/>
        <v>12-Jun</v>
      </c>
      <c r="HI176" s="14" t="s">
        <v>118</v>
      </c>
      <c r="HJ176" s="14" t="s">
        <v>132</v>
      </c>
      <c r="HK176" s="14" t="str">
        <f t="shared" si="34"/>
        <v>Gemini - Air</v>
      </c>
    </row>
    <row r="177" spans="215:219" x14ac:dyDescent="0.3">
      <c r="HG177" s="25">
        <v>43995</v>
      </c>
      <c r="HH177" s="14" t="str">
        <f t="shared" si="35"/>
        <v>13-Jun</v>
      </c>
      <c r="HI177" s="14" t="s">
        <v>118</v>
      </c>
      <c r="HJ177" s="14" t="s">
        <v>132</v>
      </c>
      <c r="HK177" s="14" t="str">
        <f t="shared" si="34"/>
        <v>Gemini - Air</v>
      </c>
    </row>
    <row r="178" spans="215:219" x14ac:dyDescent="0.3">
      <c r="HG178" s="25">
        <v>43996</v>
      </c>
      <c r="HH178" s="14" t="str">
        <f t="shared" si="35"/>
        <v>14-Jun</v>
      </c>
      <c r="HI178" s="14" t="s">
        <v>118</v>
      </c>
      <c r="HJ178" s="14" t="s">
        <v>132</v>
      </c>
      <c r="HK178" s="14" t="str">
        <f t="shared" si="34"/>
        <v>Gemini - Air</v>
      </c>
    </row>
    <row r="179" spans="215:219" x14ac:dyDescent="0.3">
      <c r="HG179" s="25">
        <v>43997</v>
      </c>
      <c r="HH179" s="14" t="str">
        <f t="shared" si="35"/>
        <v>15-Jun</v>
      </c>
      <c r="HI179" s="14" t="s">
        <v>118</v>
      </c>
      <c r="HJ179" s="14" t="s">
        <v>132</v>
      </c>
      <c r="HK179" s="14" t="str">
        <f t="shared" si="34"/>
        <v>Gemini - Air</v>
      </c>
    </row>
    <row r="180" spans="215:219" x14ac:dyDescent="0.3">
      <c r="HG180" s="25">
        <v>43998</v>
      </c>
      <c r="HH180" s="14" t="str">
        <f t="shared" si="35"/>
        <v>16-Jun</v>
      </c>
      <c r="HI180" s="14" t="s">
        <v>118</v>
      </c>
      <c r="HJ180" s="14" t="s">
        <v>132</v>
      </c>
      <c r="HK180" s="14" t="str">
        <f t="shared" si="34"/>
        <v>Gemini - Air</v>
      </c>
    </row>
    <row r="181" spans="215:219" x14ac:dyDescent="0.3">
      <c r="HG181" s="25">
        <v>43999</v>
      </c>
      <c r="HH181" s="14" t="str">
        <f t="shared" si="35"/>
        <v>17-Jun</v>
      </c>
      <c r="HI181" s="14" t="s">
        <v>118</v>
      </c>
      <c r="HJ181" s="14" t="s">
        <v>132</v>
      </c>
      <c r="HK181" s="14" t="str">
        <f t="shared" si="34"/>
        <v>Gemini - Air</v>
      </c>
    </row>
    <row r="182" spans="215:219" x14ac:dyDescent="0.3">
      <c r="HG182" s="25">
        <v>44000</v>
      </c>
      <c r="HH182" s="14" t="str">
        <f t="shared" si="35"/>
        <v>18-Jun</v>
      </c>
      <c r="HI182" s="14" t="s">
        <v>118</v>
      </c>
      <c r="HJ182" s="14" t="s">
        <v>132</v>
      </c>
      <c r="HK182" s="14" t="str">
        <f t="shared" si="34"/>
        <v>Gemini - Air</v>
      </c>
    </row>
    <row r="183" spans="215:219" x14ac:dyDescent="0.3">
      <c r="HG183" s="25">
        <v>44001</v>
      </c>
      <c r="HH183" s="14" t="str">
        <f t="shared" si="35"/>
        <v>19-Jun</v>
      </c>
      <c r="HI183" s="14" t="s">
        <v>118</v>
      </c>
      <c r="HJ183" s="14" t="s">
        <v>132</v>
      </c>
      <c r="HK183" s="14" t="str">
        <f t="shared" si="34"/>
        <v>Gemini - Air</v>
      </c>
    </row>
    <row r="184" spans="215:219" x14ac:dyDescent="0.3">
      <c r="HG184" s="25">
        <v>44002</v>
      </c>
      <c r="HH184" s="14" t="str">
        <f t="shared" si="35"/>
        <v>20-Jun</v>
      </c>
      <c r="HI184" s="14" t="s">
        <v>118</v>
      </c>
      <c r="HJ184" s="14" t="s">
        <v>132</v>
      </c>
      <c r="HK184" s="14" t="str">
        <f t="shared" si="34"/>
        <v>Gemini - Air</v>
      </c>
    </row>
    <row r="185" spans="215:219" x14ac:dyDescent="0.3">
      <c r="HG185" s="25">
        <v>44003</v>
      </c>
      <c r="HH185" s="14" t="str">
        <f t="shared" si="35"/>
        <v>21-Jun</v>
      </c>
      <c r="HI185" s="14" t="s">
        <v>119</v>
      </c>
      <c r="HJ185" s="14" t="s">
        <v>131</v>
      </c>
      <c r="HK185" s="14" t="str">
        <f t="shared" si="34"/>
        <v>Cancer - Water</v>
      </c>
    </row>
    <row r="186" spans="215:219" x14ac:dyDescent="0.3">
      <c r="HG186" s="25">
        <v>44004</v>
      </c>
      <c r="HH186" s="14" t="str">
        <f t="shared" si="35"/>
        <v>22-Jun</v>
      </c>
      <c r="HI186" s="14" t="s">
        <v>119</v>
      </c>
      <c r="HJ186" s="14" t="s">
        <v>131</v>
      </c>
      <c r="HK186" s="14" t="str">
        <f t="shared" si="34"/>
        <v>Cancer - Water</v>
      </c>
    </row>
    <row r="187" spans="215:219" x14ac:dyDescent="0.3">
      <c r="HG187" s="25">
        <v>44005</v>
      </c>
      <c r="HH187" s="14" t="str">
        <f t="shared" si="35"/>
        <v>23-Jun</v>
      </c>
      <c r="HI187" s="14" t="s">
        <v>119</v>
      </c>
      <c r="HJ187" s="14" t="s">
        <v>131</v>
      </c>
      <c r="HK187" s="14" t="str">
        <f t="shared" si="34"/>
        <v>Cancer - Water</v>
      </c>
    </row>
    <row r="188" spans="215:219" x14ac:dyDescent="0.3">
      <c r="HG188" s="25">
        <v>44006</v>
      </c>
      <c r="HH188" s="14" t="str">
        <f t="shared" si="35"/>
        <v>24-Jun</v>
      </c>
      <c r="HI188" s="14" t="s">
        <v>119</v>
      </c>
      <c r="HJ188" s="14" t="s">
        <v>131</v>
      </c>
      <c r="HK188" s="14" t="str">
        <f t="shared" si="34"/>
        <v>Cancer - Water</v>
      </c>
    </row>
    <row r="189" spans="215:219" x14ac:dyDescent="0.3">
      <c r="HG189" s="25">
        <v>44007</v>
      </c>
      <c r="HH189" s="14" t="str">
        <f t="shared" si="35"/>
        <v>25-Jun</v>
      </c>
      <c r="HI189" s="14" t="s">
        <v>119</v>
      </c>
      <c r="HJ189" s="14" t="s">
        <v>131</v>
      </c>
      <c r="HK189" s="14" t="str">
        <f t="shared" si="34"/>
        <v>Cancer - Water</v>
      </c>
    </row>
    <row r="190" spans="215:219" x14ac:dyDescent="0.3">
      <c r="HG190" s="25">
        <v>44008</v>
      </c>
      <c r="HH190" s="14" t="str">
        <f t="shared" si="35"/>
        <v>26-Jun</v>
      </c>
      <c r="HI190" s="14" t="s">
        <v>119</v>
      </c>
      <c r="HJ190" s="14" t="s">
        <v>131</v>
      </c>
      <c r="HK190" s="14" t="str">
        <f t="shared" si="34"/>
        <v>Cancer - Water</v>
      </c>
    </row>
    <row r="191" spans="215:219" x14ac:dyDescent="0.3">
      <c r="HG191" s="25">
        <v>44009</v>
      </c>
      <c r="HH191" s="14" t="str">
        <f t="shared" si="35"/>
        <v>27-Jun</v>
      </c>
      <c r="HI191" s="14" t="s">
        <v>119</v>
      </c>
      <c r="HJ191" s="14" t="s">
        <v>131</v>
      </c>
      <c r="HK191" s="14" t="str">
        <f t="shared" si="34"/>
        <v>Cancer - Water</v>
      </c>
    </row>
    <row r="192" spans="215:219" x14ac:dyDescent="0.3">
      <c r="HG192" s="25">
        <v>44010</v>
      </c>
      <c r="HH192" s="14" t="str">
        <f t="shared" si="35"/>
        <v>28-Jun</v>
      </c>
      <c r="HI192" s="14" t="s">
        <v>119</v>
      </c>
      <c r="HJ192" s="14" t="s">
        <v>131</v>
      </c>
      <c r="HK192" s="14" t="str">
        <f t="shared" si="34"/>
        <v>Cancer - Water</v>
      </c>
    </row>
    <row r="193" spans="215:219" x14ac:dyDescent="0.3">
      <c r="HG193" s="25">
        <v>44011</v>
      </c>
      <c r="HH193" s="14" t="str">
        <f t="shared" si="35"/>
        <v>29-Jun</v>
      </c>
      <c r="HI193" s="14" t="s">
        <v>119</v>
      </c>
      <c r="HJ193" s="14" t="s">
        <v>131</v>
      </c>
      <c r="HK193" s="14" t="str">
        <f t="shared" si="34"/>
        <v>Cancer - Water</v>
      </c>
    </row>
    <row r="194" spans="215:219" x14ac:dyDescent="0.3">
      <c r="HG194" s="25">
        <v>44012</v>
      </c>
      <c r="HH194" s="14" t="str">
        <f t="shared" si="35"/>
        <v>30-Jun</v>
      </c>
      <c r="HI194" s="14" t="s">
        <v>119</v>
      </c>
      <c r="HJ194" s="14" t="s">
        <v>131</v>
      </c>
      <c r="HK194" s="14" t="str">
        <f t="shared" si="34"/>
        <v>Cancer - Water</v>
      </c>
    </row>
    <row r="195" spans="215:219" x14ac:dyDescent="0.3">
      <c r="HG195" s="25">
        <v>44013</v>
      </c>
      <c r="HH195" s="14" t="str">
        <f t="shared" si="35"/>
        <v>01-Jul</v>
      </c>
      <c r="HI195" s="14" t="s">
        <v>119</v>
      </c>
      <c r="HJ195" s="14" t="s">
        <v>131</v>
      </c>
      <c r="HK195" s="14" t="str">
        <f t="shared" si="34"/>
        <v>Cancer - Water</v>
      </c>
    </row>
    <row r="196" spans="215:219" x14ac:dyDescent="0.3">
      <c r="HG196" s="25">
        <v>44014</v>
      </c>
      <c r="HH196" s="14" t="str">
        <f t="shared" si="35"/>
        <v>02-Jul</v>
      </c>
      <c r="HI196" s="14" t="s">
        <v>119</v>
      </c>
      <c r="HJ196" s="14" t="s">
        <v>131</v>
      </c>
      <c r="HK196" s="14" t="str">
        <f t="shared" si="34"/>
        <v>Cancer - Water</v>
      </c>
    </row>
    <row r="197" spans="215:219" x14ac:dyDescent="0.3">
      <c r="HG197" s="25">
        <v>44015</v>
      </c>
      <c r="HH197" s="14" t="str">
        <f t="shared" si="35"/>
        <v>03-Jul</v>
      </c>
      <c r="HI197" s="14" t="s">
        <v>119</v>
      </c>
      <c r="HJ197" s="14" t="s">
        <v>131</v>
      </c>
      <c r="HK197" s="14" t="str">
        <f t="shared" si="34"/>
        <v>Cancer - Water</v>
      </c>
    </row>
    <row r="198" spans="215:219" x14ac:dyDescent="0.3">
      <c r="HG198" s="25">
        <v>44016</v>
      </c>
      <c r="HH198" s="14" t="str">
        <f t="shared" si="35"/>
        <v>04-Jul</v>
      </c>
      <c r="HI198" s="14" t="s">
        <v>119</v>
      </c>
      <c r="HJ198" s="14" t="s">
        <v>131</v>
      </c>
      <c r="HK198" s="14" t="str">
        <f t="shared" si="34"/>
        <v>Cancer - Water</v>
      </c>
    </row>
    <row r="199" spans="215:219" x14ac:dyDescent="0.3">
      <c r="HG199" s="25">
        <v>44017</v>
      </c>
      <c r="HH199" s="14" t="str">
        <f t="shared" si="35"/>
        <v>05-Jul</v>
      </c>
      <c r="HI199" s="14" t="s">
        <v>119</v>
      </c>
      <c r="HJ199" s="14" t="s">
        <v>131</v>
      </c>
      <c r="HK199" s="14" t="str">
        <f t="shared" si="34"/>
        <v>Cancer - Water</v>
      </c>
    </row>
    <row r="200" spans="215:219" x14ac:dyDescent="0.3">
      <c r="HG200" s="25">
        <v>44018</v>
      </c>
      <c r="HH200" s="14" t="str">
        <f t="shared" si="35"/>
        <v>06-Jul</v>
      </c>
      <c r="HI200" s="14" t="s">
        <v>119</v>
      </c>
      <c r="HJ200" s="14" t="s">
        <v>131</v>
      </c>
      <c r="HK200" s="14" t="str">
        <f t="shared" si="34"/>
        <v>Cancer - Water</v>
      </c>
    </row>
    <row r="201" spans="215:219" x14ac:dyDescent="0.3">
      <c r="HG201" s="25">
        <v>44019</v>
      </c>
      <c r="HH201" s="14" t="str">
        <f t="shared" si="35"/>
        <v>07-Jul</v>
      </c>
      <c r="HI201" s="14" t="s">
        <v>119</v>
      </c>
      <c r="HJ201" s="14" t="s">
        <v>131</v>
      </c>
      <c r="HK201" s="14" t="str">
        <f t="shared" si="34"/>
        <v>Cancer - Water</v>
      </c>
    </row>
    <row r="202" spans="215:219" x14ac:dyDescent="0.3">
      <c r="HG202" s="25">
        <v>44020</v>
      </c>
      <c r="HH202" s="14" t="str">
        <f t="shared" si="35"/>
        <v>08-Jul</v>
      </c>
      <c r="HI202" s="14" t="s">
        <v>119</v>
      </c>
      <c r="HJ202" s="14" t="s">
        <v>131</v>
      </c>
      <c r="HK202" s="14" t="str">
        <f t="shared" si="34"/>
        <v>Cancer - Water</v>
      </c>
    </row>
    <row r="203" spans="215:219" x14ac:dyDescent="0.3">
      <c r="HG203" s="25">
        <v>44021</v>
      </c>
      <c r="HH203" s="14" t="str">
        <f t="shared" si="35"/>
        <v>09-Jul</v>
      </c>
      <c r="HI203" s="14" t="s">
        <v>119</v>
      </c>
      <c r="HJ203" s="14" t="s">
        <v>131</v>
      </c>
      <c r="HK203" s="14" t="str">
        <f t="shared" si="34"/>
        <v>Cancer - Water</v>
      </c>
    </row>
    <row r="204" spans="215:219" x14ac:dyDescent="0.3">
      <c r="HG204" s="25">
        <v>44022</v>
      </c>
      <c r="HH204" s="14" t="str">
        <f t="shared" si="35"/>
        <v>10-Jul</v>
      </c>
      <c r="HI204" s="14" t="s">
        <v>119</v>
      </c>
      <c r="HJ204" s="14" t="s">
        <v>131</v>
      </c>
      <c r="HK204" s="14" t="str">
        <f t="shared" si="34"/>
        <v>Cancer - Water</v>
      </c>
    </row>
    <row r="205" spans="215:219" x14ac:dyDescent="0.3">
      <c r="HG205" s="25">
        <v>44023</v>
      </c>
      <c r="HH205" s="14" t="str">
        <f t="shared" si="35"/>
        <v>11-Jul</v>
      </c>
      <c r="HI205" s="14" t="s">
        <v>119</v>
      </c>
      <c r="HJ205" s="14" t="s">
        <v>131</v>
      </c>
      <c r="HK205" s="14" t="str">
        <f t="shared" ref="HK205:HK268" si="36">HI205&amp;" - "&amp;HJ205</f>
        <v>Cancer - Water</v>
      </c>
    </row>
    <row r="206" spans="215:219" x14ac:dyDescent="0.3">
      <c r="HG206" s="25">
        <v>44024</v>
      </c>
      <c r="HH206" s="14" t="str">
        <f t="shared" ref="HH206:HH269" si="37">TEXT(HG206,"DD-MMM")</f>
        <v>12-Jul</v>
      </c>
      <c r="HI206" s="14" t="s">
        <v>119</v>
      </c>
      <c r="HJ206" s="14" t="s">
        <v>131</v>
      </c>
      <c r="HK206" s="14" t="str">
        <f t="shared" si="36"/>
        <v>Cancer - Water</v>
      </c>
    </row>
    <row r="207" spans="215:219" x14ac:dyDescent="0.3">
      <c r="HG207" s="25">
        <v>44025</v>
      </c>
      <c r="HH207" s="14" t="str">
        <f t="shared" si="37"/>
        <v>13-Jul</v>
      </c>
      <c r="HI207" s="14" t="s">
        <v>119</v>
      </c>
      <c r="HJ207" s="14" t="s">
        <v>131</v>
      </c>
      <c r="HK207" s="14" t="str">
        <f t="shared" si="36"/>
        <v>Cancer - Water</v>
      </c>
    </row>
    <row r="208" spans="215:219" x14ac:dyDescent="0.3">
      <c r="HG208" s="25">
        <v>44026</v>
      </c>
      <c r="HH208" s="14" t="str">
        <f t="shared" si="37"/>
        <v>14-Jul</v>
      </c>
      <c r="HI208" s="14" t="s">
        <v>119</v>
      </c>
      <c r="HJ208" s="14" t="s">
        <v>131</v>
      </c>
      <c r="HK208" s="14" t="str">
        <f t="shared" si="36"/>
        <v>Cancer - Water</v>
      </c>
    </row>
    <row r="209" spans="215:219" x14ac:dyDescent="0.3">
      <c r="HG209" s="25">
        <v>44027</v>
      </c>
      <c r="HH209" s="14" t="str">
        <f t="shared" si="37"/>
        <v>15-Jul</v>
      </c>
      <c r="HI209" s="14" t="s">
        <v>119</v>
      </c>
      <c r="HJ209" s="14" t="s">
        <v>131</v>
      </c>
      <c r="HK209" s="14" t="str">
        <f t="shared" si="36"/>
        <v>Cancer - Water</v>
      </c>
    </row>
    <row r="210" spans="215:219" x14ac:dyDescent="0.3">
      <c r="HG210" s="25">
        <v>44028</v>
      </c>
      <c r="HH210" s="14" t="str">
        <f t="shared" si="37"/>
        <v>16-Jul</v>
      </c>
      <c r="HI210" s="14" t="s">
        <v>119</v>
      </c>
      <c r="HJ210" s="14" t="s">
        <v>131</v>
      </c>
      <c r="HK210" s="14" t="str">
        <f t="shared" si="36"/>
        <v>Cancer - Water</v>
      </c>
    </row>
    <row r="211" spans="215:219" x14ac:dyDescent="0.3">
      <c r="HG211" s="25">
        <v>44029</v>
      </c>
      <c r="HH211" s="14" t="str">
        <f t="shared" si="37"/>
        <v>17-Jul</v>
      </c>
      <c r="HI211" s="14" t="s">
        <v>119</v>
      </c>
      <c r="HJ211" s="14" t="s">
        <v>131</v>
      </c>
      <c r="HK211" s="14" t="str">
        <f t="shared" si="36"/>
        <v>Cancer - Water</v>
      </c>
    </row>
    <row r="212" spans="215:219" x14ac:dyDescent="0.3">
      <c r="HG212" s="25">
        <v>44030</v>
      </c>
      <c r="HH212" s="14" t="str">
        <f t="shared" si="37"/>
        <v>18-Jul</v>
      </c>
      <c r="HI212" s="14" t="s">
        <v>119</v>
      </c>
      <c r="HJ212" s="14" t="s">
        <v>131</v>
      </c>
      <c r="HK212" s="14" t="str">
        <f t="shared" si="36"/>
        <v>Cancer - Water</v>
      </c>
    </row>
    <row r="213" spans="215:219" x14ac:dyDescent="0.3">
      <c r="HG213" s="25">
        <v>44031</v>
      </c>
      <c r="HH213" s="14" t="str">
        <f t="shared" si="37"/>
        <v>19-Jul</v>
      </c>
      <c r="HI213" s="14" t="s">
        <v>119</v>
      </c>
      <c r="HJ213" s="14" t="s">
        <v>131</v>
      </c>
      <c r="HK213" s="14" t="str">
        <f t="shared" si="36"/>
        <v>Cancer - Water</v>
      </c>
    </row>
    <row r="214" spans="215:219" x14ac:dyDescent="0.3">
      <c r="HG214" s="25">
        <v>44032</v>
      </c>
      <c r="HH214" s="14" t="str">
        <f t="shared" si="37"/>
        <v>20-Jul</v>
      </c>
      <c r="HI214" s="14" t="s">
        <v>119</v>
      </c>
      <c r="HJ214" s="14" t="s">
        <v>131</v>
      </c>
      <c r="HK214" s="14" t="str">
        <f t="shared" si="36"/>
        <v>Cancer - Water</v>
      </c>
    </row>
    <row r="215" spans="215:219" x14ac:dyDescent="0.3">
      <c r="HG215" s="25">
        <v>44033</v>
      </c>
      <c r="HH215" s="14" t="str">
        <f t="shared" si="37"/>
        <v>21-Jul</v>
      </c>
      <c r="HI215" s="14" t="s">
        <v>119</v>
      </c>
      <c r="HJ215" s="14" t="s">
        <v>131</v>
      </c>
      <c r="HK215" s="14" t="str">
        <f t="shared" si="36"/>
        <v>Cancer - Water</v>
      </c>
    </row>
    <row r="216" spans="215:219" x14ac:dyDescent="0.3">
      <c r="HG216" s="25">
        <v>44034</v>
      </c>
      <c r="HH216" s="14" t="str">
        <f t="shared" si="37"/>
        <v>22-Jul</v>
      </c>
      <c r="HI216" s="14" t="s">
        <v>119</v>
      </c>
      <c r="HJ216" s="14" t="s">
        <v>131</v>
      </c>
      <c r="HK216" s="14" t="str">
        <f t="shared" si="36"/>
        <v>Cancer - Water</v>
      </c>
    </row>
    <row r="217" spans="215:219" x14ac:dyDescent="0.3">
      <c r="HG217" s="25">
        <v>44035</v>
      </c>
      <c r="HH217" s="14" t="str">
        <f t="shared" si="37"/>
        <v>23-Jul</v>
      </c>
      <c r="HI217" s="14" t="s">
        <v>120</v>
      </c>
      <c r="HJ217" s="14" t="s">
        <v>129</v>
      </c>
      <c r="HK217" s="14" t="str">
        <f t="shared" si="36"/>
        <v>Leo - Fire</v>
      </c>
    </row>
    <row r="218" spans="215:219" x14ac:dyDescent="0.3">
      <c r="HG218" s="25">
        <v>44036</v>
      </c>
      <c r="HH218" s="14" t="str">
        <f t="shared" si="37"/>
        <v>24-Jul</v>
      </c>
      <c r="HI218" s="14" t="s">
        <v>120</v>
      </c>
      <c r="HJ218" s="14" t="s">
        <v>129</v>
      </c>
      <c r="HK218" s="14" t="str">
        <f t="shared" si="36"/>
        <v>Leo - Fire</v>
      </c>
    </row>
    <row r="219" spans="215:219" x14ac:dyDescent="0.3">
      <c r="HG219" s="25">
        <v>44037</v>
      </c>
      <c r="HH219" s="14" t="str">
        <f t="shared" si="37"/>
        <v>25-Jul</v>
      </c>
      <c r="HI219" s="14" t="s">
        <v>120</v>
      </c>
      <c r="HJ219" s="14" t="s">
        <v>129</v>
      </c>
      <c r="HK219" s="14" t="str">
        <f t="shared" si="36"/>
        <v>Leo - Fire</v>
      </c>
    </row>
    <row r="220" spans="215:219" x14ac:dyDescent="0.3">
      <c r="HG220" s="25">
        <v>44038</v>
      </c>
      <c r="HH220" s="14" t="str">
        <f t="shared" si="37"/>
        <v>26-Jul</v>
      </c>
      <c r="HI220" s="14" t="s">
        <v>120</v>
      </c>
      <c r="HJ220" s="14" t="s">
        <v>129</v>
      </c>
      <c r="HK220" s="14" t="str">
        <f t="shared" si="36"/>
        <v>Leo - Fire</v>
      </c>
    </row>
    <row r="221" spans="215:219" x14ac:dyDescent="0.3">
      <c r="HG221" s="25">
        <v>44039</v>
      </c>
      <c r="HH221" s="14" t="str">
        <f t="shared" si="37"/>
        <v>27-Jul</v>
      </c>
      <c r="HI221" s="14" t="s">
        <v>120</v>
      </c>
      <c r="HJ221" s="14" t="s">
        <v>129</v>
      </c>
      <c r="HK221" s="14" t="str">
        <f t="shared" si="36"/>
        <v>Leo - Fire</v>
      </c>
    </row>
    <row r="222" spans="215:219" x14ac:dyDescent="0.3">
      <c r="HG222" s="25">
        <v>44040</v>
      </c>
      <c r="HH222" s="14" t="str">
        <f t="shared" si="37"/>
        <v>28-Jul</v>
      </c>
      <c r="HI222" s="14" t="s">
        <v>120</v>
      </c>
      <c r="HJ222" s="14" t="s">
        <v>129</v>
      </c>
      <c r="HK222" s="14" t="str">
        <f t="shared" si="36"/>
        <v>Leo - Fire</v>
      </c>
    </row>
    <row r="223" spans="215:219" x14ac:dyDescent="0.3">
      <c r="HG223" s="25">
        <v>44041</v>
      </c>
      <c r="HH223" s="14" t="str">
        <f t="shared" si="37"/>
        <v>29-Jul</v>
      </c>
      <c r="HI223" s="14" t="s">
        <v>120</v>
      </c>
      <c r="HJ223" s="14" t="s">
        <v>129</v>
      </c>
      <c r="HK223" s="14" t="str">
        <f t="shared" si="36"/>
        <v>Leo - Fire</v>
      </c>
    </row>
    <row r="224" spans="215:219" x14ac:dyDescent="0.3">
      <c r="HG224" s="25">
        <v>44042</v>
      </c>
      <c r="HH224" s="14" t="str">
        <f t="shared" si="37"/>
        <v>30-Jul</v>
      </c>
      <c r="HI224" s="14" t="s">
        <v>120</v>
      </c>
      <c r="HJ224" s="14" t="s">
        <v>129</v>
      </c>
      <c r="HK224" s="14" t="str">
        <f t="shared" si="36"/>
        <v>Leo - Fire</v>
      </c>
    </row>
    <row r="225" spans="215:219" x14ac:dyDescent="0.3">
      <c r="HG225" s="25">
        <v>44043</v>
      </c>
      <c r="HH225" s="14" t="str">
        <f t="shared" si="37"/>
        <v>31-Jul</v>
      </c>
      <c r="HI225" s="14" t="s">
        <v>120</v>
      </c>
      <c r="HJ225" s="14" t="s">
        <v>129</v>
      </c>
      <c r="HK225" s="14" t="str">
        <f t="shared" si="36"/>
        <v>Leo - Fire</v>
      </c>
    </row>
    <row r="226" spans="215:219" x14ac:dyDescent="0.3">
      <c r="HG226" s="25">
        <v>44044</v>
      </c>
      <c r="HH226" s="14" t="str">
        <f t="shared" si="37"/>
        <v>01-Aug</v>
      </c>
      <c r="HI226" s="14" t="s">
        <v>120</v>
      </c>
      <c r="HJ226" s="14" t="s">
        <v>129</v>
      </c>
      <c r="HK226" s="14" t="str">
        <f t="shared" si="36"/>
        <v>Leo - Fire</v>
      </c>
    </row>
    <row r="227" spans="215:219" x14ac:dyDescent="0.3">
      <c r="HG227" s="25">
        <v>44045</v>
      </c>
      <c r="HH227" s="14" t="str">
        <f t="shared" si="37"/>
        <v>02-Aug</v>
      </c>
      <c r="HI227" s="14" t="s">
        <v>120</v>
      </c>
      <c r="HJ227" s="14" t="s">
        <v>129</v>
      </c>
      <c r="HK227" s="14" t="str">
        <f t="shared" si="36"/>
        <v>Leo - Fire</v>
      </c>
    </row>
    <row r="228" spans="215:219" x14ac:dyDescent="0.3">
      <c r="HG228" s="25">
        <v>44046</v>
      </c>
      <c r="HH228" s="14" t="str">
        <f t="shared" si="37"/>
        <v>03-Aug</v>
      </c>
      <c r="HI228" s="14" t="s">
        <v>120</v>
      </c>
      <c r="HJ228" s="14" t="s">
        <v>129</v>
      </c>
      <c r="HK228" s="14" t="str">
        <f t="shared" si="36"/>
        <v>Leo - Fire</v>
      </c>
    </row>
    <row r="229" spans="215:219" x14ac:dyDescent="0.3">
      <c r="HG229" s="25">
        <v>44047</v>
      </c>
      <c r="HH229" s="14" t="str">
        <f t="shared" si="37"/>
        <v>04-Aug</v>
      </c>
      <c r="HI229" s="14" t="s">
        <v>120</v>
      </c>
      <c r="HJ229" s="14" t="s">
        <v>129</v>
      </c>
      <c r="HK229" s="14" t="str">
        <f t="shared" si="36"/>
        <v>Leo - Fire</v>
      </c>
    </row>
    <row r="230" spans="215:219" x14ac:dyDescent="0.3">
      <c r="HG230" s="25">
        <v>44048</v>
      </c>
      <c r="HH230" s="14" t="str">
        <f t="shared" si="37"/>
        <v>05-Aug</v>
      </c>
      <c r="HI230" s="14" t="s">
        <v>120</v>
      </c>
      <c r="HJ230" s="14" t="s">
        <v>129</v>
      </c>
      <c r="HK230" s="14" t="str">
        <f t="shared" si="36"/>
        <v>Leo - Fire</v>
      </c>
    </row>
    <row r="231" spans="215:219" x14ac:dyDescent="0.3">
      <c r="HG231" s="25">
        <v>44049</v>
      </c>
      <c r="HH231" s="14" t="str">
        <f t="shared" si="37"/>
        <v>06-Aug</v>
      </c>
      <c r="HI231" s="14" t="s">
        <v>120</v>
      </c>
      <c r="HJ231" s="14" t="s">
        <v>129</v>
      </c>
      <c r="HK231" s="14" t="str">
        <f t="shared" si="36"/>
        <v>Leo - Fire</v>
      </c>
    </row>
    <row r="232" spans="215:219" x14ac:dyDescent="0.3">
      <c r="HG232" s="25">
        <v>44050</v>
      </c>
      <c r="HH232" s="14" t="str">
        <f t="shared" si="37"/>
        <v>07-Aug</v>
      </c>
      <c r="HI232" s="14" t="s">
        <v>120</v>
      </c>
      <c r="HJ232" s="14" t="s">
        <v>129</v>
      </c>
      <c r="HK232" s="14" t="str">
        <f t="shared" si="36"/>
        <v>Leo - Fire</v>
      </c>
    </row>
    <row r="233" spans="215:219" x14ac:dyDescent="0.3">
      <c r="HG233" s="25">
        <v>44051</v>
      </c>
      <c r="HH233" s="14" t="str">
        <f t="shared" si="37"/>
        <v>08-Aug</v>
      </c>
      <c r="HI233" s="14" t="s">
        <v>120</v>
      </c>
      <c r="HJ233" s="14" t="s">
        <v>129</v>
      </c>
      <c r="HK233" s="14" t="str">
        <f t="shared" si="36"/>
        <v>Leo - Fire</v>
      </c>
    </row>
    <row r="234" spans="215:219" x14ac:dyDescent="0.3">
      <c r="HG234" s="25">
        <v>44052</v>
      </c>
      <c r="HH234" s="14" t="str">
        <f t="shared" si="37"/>
        <v>09-Aug</v>
      </c>
      <c r="HI234" s="14" t="s">
        <v>120</v>
      </c>
      <c r="HJ234" s="14" t="s">
        <v>129</v>
      </c>
      <c r="HK234" s="14" t="str">
        <f t="shared" si="36"/>
        <v>Leo - Fire</v>
      </c>
    </row>
    <row r="235" spans="215:219" x14ac:dyDescent="0.3">
      <c r="HG235" s="25">
        <v>44053</v>
      </c>
      <c r="HH235" s="14" t="str">
        <f t="shared" si="37"/>
        <v>10-Aug</v>
      </c>
      <c r="HI235" s="14" t="s">
        <v>120</v>
      </c>
      <c r="HJ235" s="14" t="s">
        <v>129</v>
      </c>
      <c r="HK235" s="14" t="str">
        <f t="shared" si="36"/>
        <v>Leo - Fire</v>
      </c>
    </row>
    <row r="236" spans="215:219" x14ac:dyDescent="0.3">
      <c r="HG236" s="25">
        <v>44054</v>
      </c>
      <c r="HH236" s="14" t="str">
        <f t="shared" si="37"/>
        <v>11-Aug</v>
      </c>
      <c r="HI236" s="14" t="s">
        <v>120</v>
      </c>
      <c r="HJ236" s="14" t="s">
        <v>129</v>
      </c>
      <c r="HK236" s="14" t="str">
        <f t="shared" si="36"/>
        <v>Leo - Fire</v>
      </c>
    </row>
    <row r="237" spans="215:219" x14ac:dyDescent="0.3">
      <c r="HG237" s="25">
        <v>44055</v>
      </c>
      <c r="HH237" s="14" t="str">
        <f t="shared" si="37"/>
        <v>12-Aug</v>
      </c>
      <c r="HI237" s="14" t="s">
        <v>120</v>
      </c>
      <c r="HJ237" s="14" t="s">
        <v>129</v>
      </c>
      <c r="HK237" s="14" t="str">
        <f t="shared" si="36"/>
        <v>Leo - Fire</v>
      </c>
    </row>
    <row r="238" spans="215:219" x14ac:dyDescent="0.3">
      <c r="HG238" s="25">
        <v>44056</v>
      </c>
      <c r="HH238" s="14" t="str">
        <f t="shared" si="37"/>
        <v>13-Aug</v>
      </c>
      <c r="HI238" s="14" t="s">
        <v>120</v>
      </c>
      <c r="HJ238" s="14" t="s">
        <v>129</v>
      </c>
      <c r="HK238" s="14" t="str">
        <f t="shared" si="36"/>
        <v>Leo - Fire</v>
      </c>
    </row>
    <row r="239" spans="215:219" x14ac:dyDescent="0.3">
      <c r="HG239" s="25">
        <v>44057</v>
      </c>
      <c r="HH239" s="14" t="str">
        <f t="shared" si="37"/>
        <v>14-Aug</v>
      </c>
      <c r="HI239" s="14" t="s">
        <v>120</v>
      </c>
      <c r="HJ239" s="14" t="s">
        <v>129</v>
      </c>
      <c r="HK239" s="14" t="str">
        <f t="shared" si="36"/>
        <v>Leo - Fire</v>
      </c>
    </row>
    <row r="240" spans="215:219" x14ac:dyDescent="0.3">
      <c r="HG240" s="25">
        <v>44058</v>
      </c>
      <c r="HH240" s="14" t="str">
        <f t="shared" si="37"/>
        <v>15-Aug</v>
      </c>
      <c r="HI240" s="14" t="s">
        <v>120</v>
      </c>
      <c r="HJ240" s="14" t="s">
        <v>129</v>
      </c>
      <c r="HK240" s="14" t="str">
        <f t="shared" si="36"/>
        <v>Leo - Fire</v>
      </c>
    </row>
    <row r="241" spans="215:219" x14ac:dyDescent="0.3">
      <c r="HG241" s="25">
        <v>44059</v>
      </c>
      <c r="HH241" s="14" t="str">
        <f t="shared" si="37"/>
        <v>16-Aug</v>
      </c>
      <c r="HI241" s="14" t="s">
        <v>120</v>
      </c>
      <c r="HJ241" s="14" t="s">
        <v>129</v>
      </c>
      <c r="HK241" s="14" t="str">
        <f t="shared" si="36"/>
        <v>Leo - Fire</v>
      </c>
    </row>
    <row r="242" spans="215:219" x14ac:dyDescent="0.3">
      <c r="HG242" s="25">
        <v>44060</v>
      </c>
      <c r="HH242" s="14" t="str">
        <f t="shared" si="37"/>
        <v>17-Aug</v>
      </c>
      <c r="HI242" s="14" t="s">
        <v>120</v>
      </c>
      <c r="HJ242" s="14" t="s">
        <v>129</v>
      </c>
      <c r="HK242" s="14" t="str">
        <f t="shared" si="36"/>
        <v>Leo - Fire</v>
      </c>
    </row>
    <row r="243" spans="215:219" x14ac:dyDescent="0.3">
      <c r="HG243" s="25">
        <v>44061</v>
      </c>
      <c r="HH243" s="14" t="str">
        <f t="shared" si="37"/>
        <v>18-Aug</v>
      </c>
      <c r="HI243" s="14" t="s">
        <v>120</v>
      </c>
      <c r="HJ243" s="14" t="s">
        <v>129</v>
      </c>
      <c r="HK243" s="14" t="str">
        <f t="shared" si="36"/>
        <v>Leo - Fire</v>
      </c>
    </row>
    <row r="244" spans="215:219" x14ac:dyDescent="0.3">
      <c r="HG244" s="25">
        <v>44062</v>
      </c>
      <c r="HH244" s="14" t="str">
        <f t="shared" si="37"/>
        <v>19-Aug</v>
      </c>
      <c r="HI244" s="14" t="s">
        <v>120</v>
      </c>
      <c r="HJ244" s="14" t="s">
        <v>129</v>
      </c>
      <c r="HK244" s="14" t="str">
        <f t="shared" si="36"/>
        <v>Leo - Fire</v>
      </c>
    </row>
    <row r="245" spans="215:219" x14ac:dyDescent="0.3">
      <c r="HG245" s="25">
        <v>44063</v>
      </c>
      <c r="HH245" s="14" t="str">
        <f t="shared" si="37"/>
        <v>20-Aug</v>
      </c>
      <c r="HI245" s="14" t="s">
        <v>120</v>
      </c>
      <c r="HJ245" s="14" t="s">
        <v>129</v>
      </c>
      <c r="HK245" s="14" t="str">
        <f t="shared" si="36"/>
        <v>Leo - Fire</v>
      </c>
    </row>
    <row r="246" spans="215:219" x14ac:dyDescent="0.3">
      <c r="HG246" s="25">
        <v>44064</v>
      </c>
      <c r="HH246" s="14" t="str">
        <f t="shared" si="37"/>
        <v>21-Aug</v>
      </c>
      <c r="HI246" s="14" t="s">
        <v>120</v>
      </c>
      <c r="HJ246" s="14" t="s">
        <v>129</v>
      </c>
      <c r="HK246" s="14" t="str">
        <f t="shared" si="36"/>
        <v>Leo - Fire</v>
      </c>
    </row>
    <row r="247" spans="215:219" x14ac:dyDescent="0.3">
      <c r="HG247" s="25">
        <v>44065</v>
      </c>
      <c r="HH247" s="14" t="str">
        <f t="shared" si="37"/>
        <v>22-Aug</v>
      </c>
      <c r="HI247" s="14" t="s">
        <v>120</v>
      </c>
      <c r="HJ247" s="14" t="s">
        <v>129</v>
      </c>
      <c r="HK247" s="14" t="str">
        <f t="shared" si="36"/>
        <v>Leo - Fire</v>
      </c>
    </row>
    <row r="248" spans="215:219" x14ac:dyDescent="0.3">
      <c r="HG248" s="25">
        <v>44066</v>
      </c>
      <c r="HH248" s="14" t="str">
        <f t="shared" si="37"/>
        <v>23-Aug</v>
      </c>
      <c r="HI248" s="14" t="s">
        <v>121</v>
      </c>
      <c r="HJ248" s="14" t="s">
        <v>130</v>
      </c>
      <c r="HK248" s="14" t="str">
        <f t="shared" si="36"/>
        <v>Virgo - Earth</v>
      </c>
    </row>
    <row r="249" spans="215:219" x14ac:dyDescent="0.3">
      <c r="HG249" s="25">
        <v>44067</v>
      </c>
      <c r="HH249" s="14" t="str">
        <f t="shared" si="37"/>
        <v>24-Aug</v>
      </c>
      <c r="HI249" s="14" t="s">
        <v>121</v>
      </c>
      <c r="HJ249" s="14" t="s">
        <v>130</v>
      </c>
      <c r="HK249" s="14" t="str">
        <f t="shared" si="36"/>
        <v>Virgo - Earth</v>
      </c>
    </row>
    <row r="250" spans="215:219" x14ac:dyDescent="0.3">
      <c r="HG250" s="25">
        <v>44068</v>
      </c>
      <c r="HH250" s="14" t="str">
        <f t="shared" si="37"/>
        <v>25-Aug</v>
      </c>
      <c r="HI250" s="14" t="s">
        <v>121</v>
      </c>
      <c r="HJ250" s="14" t="s">
        <v>130</v>
      </c>
      <c r="HK250" s="14" t="str">
        <f t="shared" si="36"/>
        <v>Virgo - Earth</v>
      </c>
    </row>
    <row r="251" spans="215:219" x14ac:dyDescent="0.3">
      <c r="HG251" s="25">
        <v>44069</v>
      </c>
      <c r="HH251" s="14" t="str">
        <f t="shared" si="37"/>
        <v>26-Aug</v>
      </c>
      <c r="HI251" s="14" t="s">
        <v>121</v>
      </c>
      <c r="HJ251" s="14" t="s">
        <v>130</v>
      </c>
      <c r="HK251" s="14" t="str">
        <f t="shared" si="36"/>
        <v>Virgo - Earth</v>
      </c>
    </row>
    <row r="252" spans="215:219" x14ac:dyDescent="0.3">
      <c r="HG252" s="25">
        <v>44070</v>
      </c>
      <c r="HH252" s="14" t="str">
        <f t="shared" si="37"/>
        <v>27-Aug</v>
      </c>
      <c r="HI252" s="14" t="s">
        <v>121</v>
      </c>
      <c r="HJ252" s="14" t="s">
        <v>130</v>
      </c>
      <c r="HK252" s="14" t="str">
        <f t="shared" si="36"/>
        <v>Virgo - Earth</v>
      </c>
    </row>
    <row r="253" spans="215:219" x14ac:dyDescent="0.3">
      <c r="HG253" s="25">
        <v>44071</v>
      </c>
      <c r="HH253" s="14" t="str">
        <f t="shared" si="37"/>
        <v>28-Aug</v>
      </c>
      <c r="HI253" s="14" t="s">
        <v>121</v>
      </c>
      <c r="HJ253" s="14" t="s">
        <v>130</v>
      </c>
      <c r="HK253" s="14" t="str">
        <f t="shared" si="36"/>
        <v>Virgo - Earth</v>
      </c>
    </row>
    <row r="254" spans="215:219" x14ac:dyDescent="0.3">
      <c r="HG254" s="25">
        <v>44072</v>
      </c>
      <c r="HH254" s="14" t="str">
        <f t="shared" si="37"/>
        <v>29-Aug</v>
      </c>
      <c r="HI254" s="14" t="s">
        <v>121</v>
      </c>
      <c r="HJ254" s="14" t="s">
        <v>130</v>
      </c>
      <c r="HK254" s="14" t="str">
        <f t="shared" si="36"/>
        <v>Virgo - Earth</v>
      </c>
    </row>
    <row r="255" spans="215:219" x14ac:dyDescent="0.3">
      <c r="HG255" s="25">
        <v>44073</v>
      </c>
      <c r="HH255" s="14" t="str">
        <f t="shared" si="37"/>
        <v>30-Aug</v>
      </c>
      <c r="HI255" s="14" t="s">
        <v>121</v>
      </c>
      <c r="HJ255" s="14" t="s">
        <v>130</v>
      </c>
      <c r="HK255" s="14" t="str">
        <f t="shared" si="36"/>
        <v>Virgo - Earth</v>
      </c>
    </row>
    <row r="256" spans="215:219" x14ac:dyDescent="0.3">
      <c r="HG256" s="25">
        <v>44074</v>
      </c>
      <c r="HH256" s="14" t="str">
        <f t="shared" si="37"/>
        <v>31-Aug</v>
      </c>
      <c r="HI256" s="14" t="s">
        <v>121</v>
      </c>
      <c r="HJ256" s="14" t="s">
        <v>130</v>
      </c>
      <c r="HK256" s="14" t="str">
        <f t="shared" si="36"/>
        <v>Virgo - Earth</v>
      </c>
    </row>
    <row r="257" spans="215:219" x14ac:dyDescent="0.3">
      <c r="HG257" s="25">
        <v>44075</v>
      </c>
      <c r="HH257" s="14" t="str">
        <f t="shared" si="37"/>
        <v>01-Sep</v>
      </c>
      <c r="HI257" s="14" t="s">
        <v>121</v>
      </c>
      <c r="HJ257" s="14" t="s">
        <v>130</v>
      </c>
      <c r="HK257" s="14" t="str">
        <f t="shared" si="36"/>
        <v>Virgo - Earth</v>
      </c>
    </row>
    <row r="258" spans="215:219" x14ac:dyDescent="0.3">
      <c r="HG258" s="25">
        <v>44076</v>
      </c>
      <c r="HH258" s="14" t="str">
        <f t="shared" si="37"/>
        <v>02-Sep</v>
      </c>
      <c r="HI258" s="14" t="s">
        <v>121</v>
      </c>
      <c r="HJ258" s="14" t="s">
        <v>130</v>
      </c>
      <c r="HK258" s="14" t="str">
        <f t="shared" si="36"/>
        <v>Virgo - Earth</v>
      </c>
    </row>
    <row r="259" spans="215:219" x14ac:dyDescent="0.3">
      <c r="HG259" s="25">
        <v>44077</v>
      </c>
      <c r="HH259" s="14" t="str">
        <f t="shared" si="37"/>
        <v>03-Sep</v>
      </c>
      <c r="HI259" s="14" t="s">
        <v>121</v>
      </c>
      <c r="HJ259" s="14" t="s">
        <v>130</v>
      </c>
      <c r="HK259" s="14" t="str">
        <f t="shared" si="36"/>
        <v>Virgo - Earth</v>
      </c>
    </row>
    <row r="260" spans="215:219" x14ac:dyDescent="0.3">
      <c r="HG260" s="25">
        <v>44078</v>
      </c>
      <c r="HH260" s="14" t="str">
        <f t="shared" si="37"/>
        <v>04-Sep</v>
      </c>
      <c r="HI260" s="14" t="s">
        <v>121</v>
      </c>
      <c r="HJ260" s="14" t="s">
        <v>130</v>
      </c>
      <c r="HK260" s="14" t="str">
        <f t="shared" si="36"/>
        <v>Virgo - Earth</v>
      </c>
    </row>
    <row r="261" spans="215:219" x14ac:dyDescent="0.3">
      <c r="HG261" s="25">
        <v>44079</v>
      </c>
      <c r="HH261" s="14" t="str">
        <f t="shared" si="37"/>
        <v>05-Sep</v>
      </c>
      <c r="HI261" s="14" t="s">
        <v>121</v>
      </c>
      <c r="HJ261" s="14" t="s">
        <v>130</v>
      </c>
      <c r="HK261" s="14" t="str">
        <f t="shared" si="36"/>
        <v>Virgo - Earth</v>
      </c>
    </row>
    <row r="262" spans="215:219" x14ac:dyDescent="0.3">
      <c r="HG262" s="25">
        <v>44080</v>
      </c>
      <c r="HH262" s="14" t="str">
        <f t="shared" si="37"/>
        <v>06-Sep</v>
      </c>
      <c r="HI262" s="14" t="s">
        <v>121</v>
      </c>
      <c r="HJ262" s="14" t="s">
        <v>130</v>
      </c>
      <c r="HK262" s="14" t="str">
        <f t="shared" si="36"/>
        <v>Virgo - Earth</v>
      </c>
    </row>
    <row r="263" spans="215:219" x14ac:dyDescent="0.3">
      <c r="HG263" s="25">
        <v>44081</v>
      </c>
      <c r="HH263" s="14" t="str">
        <f t="shared" si="37"/>
        <v>07-Sep</v>
      </c>
      <c r="HI263" s="14" t="s">
        <v>121</v>
      </c>
      <c r="HJ263" s="14" t="s">
        <v>130</v>
      </c>
      <c r="HK263" s="14" t="str">
        <f t="shared" si="36"/>
        <v>Virgo - Earth</v>
      </c>
    </row>
    <row r="264" spans="215:219" x14ac:dyDescent="0.3">
      <c r="HG264" s="25">
        <v>44082</v>
      </c>
      <c r="HH264" s="14" t="str">
        <f t="shared" si="37"/>
        <v>08-Sep</v>
      </c>
      <c r="HI264" s="14" t="s">
        <v>121</v>
      </c>
      <c r="HJ264" s="14" t="s">
        <v>130</v>
      </c>
      <c r="HK264" s="14" t="str">
        <f t="shared" si="36"/>
        <v>Virgo - Earth</v>
      </c>
    </row>
    <row r="265" spans="215:219" x14ac:dyDescent="0.3">
      <c r="HG265" s="25">
        <v>44083</v>
      </c>
      <c r="HH265" s="14" t="str">
        <f t="shared" si="37"/>
        <v>09-Sep</v>
      </c>
      <c r="HI265" s="14" t="s">
        <v>121</v>
      </c>
      <c r="HJ265" s="14" t="s">
        <v>130</v>
      </c>
      <c r="HK265" s="14" t="str">
        <f t="shared" si="36"/>
        <v>Virgo - Earth</v>
      </c>
    </row>
    <row r="266" spans="215:219" x14ac:dyDescent="0.3">
      <c r="HG266" s="25">
        <v>44084</v>
      </c>
      <c r="HH266" s="14" t="str">
        <f t="shared" si="37"/>
        <v>10-Sep</v>
      </c>
      <c r="HI266" s="14" t="s">
        <v>121</v>
      </c>
      <c r="HJ266" s="14" t="s">
        <v>130</v>
      </c>
      <c r="HK266" s="14" t="str">
        <f t="shared" si="36"/>
        <v>Virgo - Earth</v>
      </c>
    </row>
    <row r="267" spans="215:219" x14ac:dyDescent="0.3">
      <c r="HG267" s="25">
        <v>44085</v>
      </c>
      <c r="HH267" s="14" t="str">
        <f t="shared" si="37"/>
        <v>11-Sep</v>
      </c>
      <c r="HI267" s="14" t="s">
        <v>121</v>
      </c>
      <c r="HJ267" s="14" t="s">
        <v>130</v>
      </c>
      <c r="HK267" s="14" t="str">
        <f t="shared" si="36"/>
        <v>Virgo - Earth</v>
      </c>
    </row>
    <row r="268" spans="215:219" x14ac:dyDescent="0.3">
      <c r="HG268" s="25">
        <v>44086</v>
      </c>
      <c r="HH268" s="14" t="str">
        <f t="shared" si="37"/>
        <v>12-Sep</v>
      </c>
      <c r="HI268" s="14" t="s">
        <v>121</v>
      </c>
      <c r="HJ268" s="14" t="s">
        <v>130</v>
      </c>
      <c r="HK268" s="14" t="str">
        <f t="shared" si="36"/>
        <v>Virgo - Earth</v>
      </c>
    </row>
    <row r="269" spans="215:219" x14ac:dyDescent="0.3">
      <c r="HG269" s="25">
        <v>44087</v>
      </c>
      <c r="HH269" s="14" t="str">
        <f t="shared" si="37"/>
        <v>13-Sep</v>
      </c>
      <c r="HI269" s="14" t="s">
        <v>121</v>
      </c>
      <c r="HJ269" s="14" t="s">
        <v>130</v>
      </c>
      <c r="HK269" s="14" t="str">
        <f t="shared" ref="HK269:HK332" si="38">HI269&amp;" - "&amp;HJ269</f>
        <v>Virgo - Earth</v>
      </c>
    </row>
    <row r="270" spans="215:219" x14ac:dyDescent="0.3">
      <c r="HG270" s="25">
        <v>44088</v>
      </c>
      <c r="HH270" s="14" t="str">
        <f t="shared" ref="HH270:HH333" si="39">TEXT(HG270,"DD-MMM")</f>
        <v>14-Sep</v>
      </c>
      <c r="HI270" s="14" t="s">
        <v>121</v>
      </c>
      <c r="HJ270" s="14" t="s">
        <v>130</v>
      </c>
      <c r="HK270" s="14" t="str">
        <f t="shared" si="38"/>
        <v>Virgo - Earth</v>
      </c>
    </row>
    <row r="271" spans="215:219" x14ac:dyDescent="0.3">
      <c r="HG271" s="25">
        <v>44089</v>
      </c>
      <c r="HH271" s="14" t="str">
        <f t="shared" si="39"/>
        <v>15-Sep</v>
      </c>
      <c r="HI271" s="14" t="s">
        <v>121</v>
      </c>
      <c r="HJ271" s="14" t="s">
        <v>130</v>
      </c>
      <c r="HK271" s="14" t="str">
        <f t="shared" si="38"/>
        <v>Virgo - Earth</v>
      </c>
    </row>
    <row r="272" spans="215:219" x14ac:dyDescent="0.3">
      <c r="HG272" s="25">
        <v>44090</v>
      </c>
      <c r="HH272" s="14" t="str">
        <f t="shared" si="39"/>
        <v>16-Sep</v>
      </c>
      <c r="HI272" s="14" t="s">
        <v>121</v>
      </c>
      <c r="HJ272" s="14" t="s">
        <v>130</v>
      </c>
      <c r="HK272" s="14" t="str">
        <f t="shared" si="38"/>
        <v>Virgo - Earth</v>
      </c>
    </row>
    <row r="273" spans="215:219" x14ac:dyDescent="0.3">
      <c r="HG273" s="25">
        <v>44091</v>
      </c>
      <c r="HH273" s="14" t="str">
        <f t="shared" si="39"/>
        <v>17-Sep</v>
      </c>
      <c r="HI273" s="14" t="s">
        <v>121</v>
      </c>
      <c r="HJ273" s="14" t="s">
        <v>130</v>
      </c>
      <c r="HK273" s="14" t="str">
        <f t="shared" si="38"/>
        <v>Virgo - Earth</v>
      </c>
    </row>
    <row r="274" spans="215:219" x14ac:dyDescent="0.3">
      <c r="HG274" s="25">
        <v>44092</v>
      </c>
      <c r="HH274" s="14" t="str">
        <f t="shared" si="39"/>
        <v>18-Sep</v>
      </c>
      <c r="HI274" s="14" t="s">
        <v>121</v>
      </c>
      <c r="HJ274" s="14" t="s">
        <v>130</v>
      </c>
      <c r="HK274" s="14" t="str">
        <f t="shared" si="38"/>
        <v>Virgo - Earth</v>
      </c>
    </row>
    <row r="275" spans="215:219" x14ac:dyDescent="0.3">
      <c r="HG275" s="25">
        <v>44093</v>
      </c>
      <c r="HH275" s="14" t="str">
        <f t="shared" si="39"/>
        <v>19-Sep</v>
      </c>
      <c r="HI275" s="14" t="s">
        <v>121</v>
      </c>
      <c r="HJ275" s="14" t="s">
        <v>130</v>
      </c>
      <c r="HK275" s="14" t="str">
        <f t="shared" si="38"/>
        <v>Virgo - Earth</v>
      </c>
    </row>
    <row r="276" spans="215:219" x14ac:dyDescent="0.3">
      <c r="HG276" s="25">
        <v>44094</v>
      </c>
      <c r="HH276" s="14" t="str">
        <f t="shared" si="39"/>
        <v>20-Sep</v>
      </c>
      <c r="HI276" s="14" t="s">
        <v>121</v>
      </c>
      <c r="HJ276" s="14" t="s">
        <v>130</v>
      </c>
      <c r="HK276" s="14" t="str">
        <f t="shared" si="38"/>
        <v>Virgo - Earth</v>
      </c>
    </row>
    <row r="277" spans="215:219" x14ac:dyDescent="0.3">
      <c r="HG277" s="25">
        <v>44095</v>
      </c>
      <c r="HH277" s="14" t="str">
        <f t="shared" si="39"/>
        <v>21-Sep</v>
      </c>
      <c r="HI277" s="14" t="s">
        <v>121</v>
      </c>
      <c r="HJ277" s="14" t="s">
        <v>130</v>
      </c>
      <c r="HK277" s="14" t="str">
        <f t="shared" si="38"/>
        <v>Virgo - Earth</v>
      </c>
    </row>
    <row r="278" spans="215:219" x14ac:dyDescent="0.3">
      <c r="HG278" s="25">
        <v>44096</v>
      </c>
      <c r="HH278" s="14" t="str">
        <f t="shared" si="39"/>
        <v>22-Sep</v>
      </c>
      <c r="HI278" s="14" t="s">
        <v>121</v>
      </c>
      <c r="HJ278" s="14" t="s">
        <v>130</v>
      </c>
      <c r="HK278" s="14" t="str">
        <f t="shared" si="38"/>
        <v>Virgo - Earth</v>
      </c>
    </row>
    <row r="279" spans="215:219" x14ac:dyDescent="0.3">
      <c r="HG279" s="25">
        <v>44097</v>
      </c>
      <c r="HH279" s="14" t="str">
        <f t="shared" si="39"/>
        <v>23-Sep</v>
      </c>
      <c r="HI279" s="14" t="s">
        <v>122</v>
      </c>
      <c r="HJ279" s="14" t="s">
        <v>132</v>
      </c>
      <c r="HK279" s="14" t="str">
        <f t="shared" si="38"/>
        <v>Libra - Air</v>
      </c>
    </row>
    <row r="280" spans="215:219" x14ac:dyDescent="0.3">
      <c r="HG280" s="25">
        <v>44098</v>
      </c>
      <c r="HH280" s="14" t="str">
        <f t="shared" si="39"/>
        <v>24-Sep</v>
      </c>
      <c r="HI280" s="14" t="s">
        <v>122</v>
      </c>
      <c r="HJ280" s="14" t="s">
        <v>132</v>
      </c>
      <c r="HK280" s="14" t="str">
        <f t="shared" si="38"/>
        <v>Libra - Air</v>
      </c>
    </row>
    <row r="281" spans="215:219" x14ac:dyDescent="0.3">
      <c r="HG281" s="25">
        <v>44099</v>
      </c>
      <c r="HH281" s="14" t="str">
        <f t="shared" si="39"/>
        <v>25-Sep</v>
      </c>
      <c r="HI281" s="14" t="s">
        <v>122</v>
      </c>
      <c r="HJ281" s="14" t="s">
        <v>132</v>
      </c>
      <c r="HK281" s="14" t="str">
        <f t="shared" si="38"/>
        <v>Libra - Air</v>
      </c>
    </row>
    <row r="282" spans="215:219" x14ac:dyDescent="0.3">
      <c r="HG282" s="25">
        <v>44100</v>
      </c>
      <c r="HH282" s="14" t="str">
        <f t="shared" si="39"/>
        <v>26-Sep</v>
      </c>
      <c r="HI282" s="14" t="s">
        <v>122</v>
      </c>
      <c r="HJ282" s="14" t="s">
        <v>132</v>
      </c>
      <c r="HK282" s="14" t="str">
        <f t="shared" si="38"/>
        <v>Libra - Air</v>
      </c>
    </row>
    <row r="283" spans="215:219" x14ac:dyDescent="0.3">
      <c r="HG283" s="25">
        <v>44101</v>
      </c>
      <c r="HH283" s="14" t="str">
        <f t="shared" si="39"/>
        <v>27-Sep</v>
      </c>
      <c r="HI283" s="14" t="s">
        <v>122</v>
      </c>
      <c r="HJ283" s="14" t="s">
        <v>132</v>
      </c>
      <c r="HK283" s="14" t="str">
        <f t="shared" si="38"/>
        <v>Libra - Air</v>
      </c>
    </row>
    <row r="284" spans="215:219" x14ac:dyDescent="0.3">
      <c r="HG284" s="25">
        <v>44102</v>
      </c>
      <c r="HH284" s="14" t="str">
        <f t="shared" si="39"/>
        <v>28-Sep</v>
      </c>
      <c r="HI284" s="14" t="s">
        <v>122</v>
      </c>
      <c r="HJ284" s="14" t="s">
        <v>132</v>
      </c>
      <c r="HK284" s="14" t="str">
        <f t="shared" si="38"/>
        <v>Libra - Air</v>
      </c>
    </row>
    <row r="285" spans="215:219" x14ac:dyDescent="0.3">
      <c r="HG285" s="25">
        <v>44103</v>
      </c>
      <c r="HH285" s="14" t="str">
        <f t="shared" si="39"/>
        <v>29-Sep</v>
      </c>
      <c r="HI285" s="14" t="s">
        <v>122</v>
      </c>
      <c r="HJ285" s="14" t="s">
        <v>132</v>
      </c>
      <c r="HK285" s="14" t="str">
        <f t="shared" si="38"/>
        <v>Libra - Air</v>
      </c>
    </row>
    <row r="286" spans="215:219" x14ac:dyDescent="0.3">
      <c r="HG286" s="25">
        <v>44104</v>
      </c>
      <c r="HH286" s="14" t="str">
        <f t="shared" si="39"/>
        <v>30-Sep</v>
      </c>
      <c r="HI286" s="14" t="s">
        <v>122</v>
      </c>
      <c r="HJ286" s="14" t="s">
        <v>132</v>
      </c>
      <c r="HK286" s="14" t="str">
        <f t="shared" si="38"/>
        <v>Libra - Air</v>
      </c>
    </row>
    <row r="287" spans="215:219" x14ac:dyDescent="0.3">
      <c r="HG287" s="25">
        <v>44105</v>
      </c>
      <c r="HH287" s="14" t="str">
        <f t="shared" si="39"/>
        <v>01-Oct</v>
      </c>
      <c r="HI287" s="14" t="s">
        <v>122</v>
      </c>
      <c r="HJ287" s="14" t="s">
        <v>132</v>
      </c>
      <c r="HK287" s="14" t="str">
        <f t="shared" si="38"/>
        <v>Libra - Air</v>
      </c>
    </row>
    <row r="288" spans="215:219" x14ac:dyDescent="0.3">
      <c r="HG288" s="25">
        <v>44106</v>
      </c>
      <c r="HH288" s="14" t="str">
        <f t="shared" si="39"/>
        <v>02-Oct</v>
      </c>
      <c r="HI288" s="14" t="s">
        <v>122</v>
      </c>
      <c r="HJ288" s="14" t="s">
        <v>132</v>
      </c>
      <c r="HK288" s="14" t="str">
        <f t="shared" si="38"/>
        <v>Libra - Air</v>
      </c>
    </row>
    <row r="289" spans="215:219" x14ac:dyDescent="0.3">
      <c r="HG289" s="25">
        <v>44107</v>
      </c>
      <c r="HH289" s="14" t="str">
        <f t="shared" si="39"/>
        <v>03-Oct</v>
      </c>
      <c r="HI289" s="14" t="s">
        <v>122</v>
      </c>
      <c r="HJ289" s="14" t="s">
        <v>132</v>
      </c>
      <c r="HK289" s="14" t="str">
        <f t="shared" si="38"/>
        <v>Libra - Air</v>
      </c>
    </row>
    <row r="290" spans="215:219" x14ac:dyDescent="0.3">
      <c r="HG290" s="25">
        <v>44108</v>
      </c>
      <c r="HH290" s="14" t="str">
        <f t="shared" si="39"/>
        <v>04-Oct</v>
      </c>
      <c r="HI290" s="14" t="s">
        <v>122</v>
      </c>
      <c r="HJ290" s="14" t="s">
        <v>132</v>
      </c>
      <c r="HK290" s="14" t="str">
        <f t="shared" si="38"/>
        <v>Libra - Air</v>
      </c>
    </row>
    <row r="291" spans="215:219" x14ac:dyDescent="0.3">
      <c r="HG291" s="25">
        <v>44109</v>
      </c>
      <c r="HH291" s="14" t="str">
        <f t="shared" si="39"/>
        <v>05-Oct</v>
      </c>
      <c r="HI291" s="14" t="s">
        <v>122</v>
      </c>
      <c r="HJ291" s="14" t="s">
        <v>132</v>
      </c>
      <c r="HK291" s="14" t="str">
        <f t="shared" si="38"/>
        <v>Libra - Air</v>
      </c>
    </row>
    <row r="292" spans="215:219" x14ac:dyDescent="0.3">
      <c r="HG292" s="25">
        <v>44110</v>
      </c>
      <c r="HH292" s="14" t="str">
        <f t="shared" si="39"/>
        <v>06-Oct</v>
      </c>
      <c r="HI292" s="14" t="s">
        <v>122</v>
      </c>
      <c r="HJ292" s="14" t="s">
        <v>132</v>
      </c>
      <c r="HK292" s="14" t="str">
        <f t="shared" si="38"/>
        <v>Libra - Air</v>
      </c>
    </row>
    <row r="293" spans="215:219" x14ac:dyDescent="0.3">
      <c r="HG293" s="25">
        <v>44111</v>
      </c>
      <c r="HH293" s="14" t="str">
        <f t="shared" si="39"/>
        <v>07-Oct</v>
      </c>
      <c r="HI293" s="14" t="s">
        <v>122</v>
      </c>
      <c r="HJ293" s="14" t="s">
        <v>132</v>
      </c>
      <c r="HK293" s="14" t="str">
        <f t="shared" si="38"/>
        <v>Libra - Air</v>
      </c>
    </row>
    <row r="294" spans="215:219" x14ac:dyDescent="0.3">
      <c r="HG294" s="25">
        <v>44112</v>
      </c>
      <c r="HH294" s="14" t="str">
        <f t="shared" si="39"/>
        <v>08-Oct</v>
      </c>
      <c r="HI294" s="14" t="s">
        <v>122</v>
      </c>
      <c r="HJ294" s="14" t="s">
        <v>132</v>
      </c>
      <c r="HK294" s="14" t="str">
        <f t="shared" si="38"/>
        <v>Libra - Air</v>
      </c>
    </row>
    <row r="295" spans="215:219" x14ac:dyDescent="0.3">
      <c r="HG295" s="25">
        <v>44113</v>
      </c>
      <c r="HH295" s="14" t="str">
        <f t="shared" si="39"/>
        <v>09-Oct</v>
      </c>
      <c r="HI295" s="14" t="s">
        <v>122</v>
      </c>
      <c r="HJ295" s="14" t="s">
        <v>132</v>
      </c>
      <c r="HK295" s="14" t="str">
        <f t="shared" si="38"/>
        <v>Libra - Air</v>
      </c>
    </row>
    <row r="296" spans="215:219" x14ac:dyDescent="0.3">
      <c r="HG296" s="25">
        <v>44114</v>
      </c>
      <c r="HH296" s="14" t="str">
        <f t="shared" si="39"/>
        <v>10-Oct</v>
      </c>
      <c r="HI296" s="14" t="s">
        <v>122</v>
      </c>
      <c r="HJ296" s="14" t="s">
        <v>132</v>
      </c>
      <c r="HK296" s="14" t="str">
        <f t="shared" si="38"/>
        <v>Libra - Air</v>
      </c>
    </row>
    <row r="297" spans="215:219" x14ac:dyDescent="0.3">
      <c r="HG297" s="25">
        <v>44115</v>
      </c>
      <c r="HH297" s="14" t="str">
        <f t="shared" si="39"/>
        <v>11-Oct</v>
      </c>
      <c r="HI297" s="14" t="s">
        <v>122</v>
      </c>
      <c r="HJ297" s="14" t="s">
        <v>132</v>
      </c>
      <c r="HK297" s="14" t="str">
        <f t="shared" si="38"/>
        <v>Libra - Air</v>
      </c>
    </row>
    <row r="298" spans="215:219" x14ac:dyDescent="0.3">
      <c r="HG298" s="25">
        <v>44116</v>
      </c>
      <c r="HH298" s="14" t="str">
        <f t="shared" si="39"/>
        <v>12-Oct</v>
      </c>
      <c r="HI298" s="14" t="s">
        <v>122</v>
      </c>
      <c r="HJ298" s="14" t="s">
        <v>132</v>
      </c>
      <c r="HK298" s="14" t="str">
        <f t="shared" si="38"/>
        <v>Libra - Air</v>
      </c>
    </row>
    <row r="299" spans="215:219" x14ac:dyDescent="0.3">
      <c r="HG299" s="25">
        <v>44117</v>
      </c>
      <c r="HH299" s="14" t="str">
        <f t="shared" si="39"/>
        <v>13-Oct</v>
      </c>
      <c r="HI299" s="14" t="s">
        <v>122</v>
      </c>
      <c r="HJ299" s="14" t="s">
        <v>132</v>
      </c>
      <c r="HK299" s="14" t="str">
        <f t="shared" si="38"/>
        <v>Libra - Air</v>
      </c>
    </row>
    <row r="300" spans="215:219" x14ac:dyDescent="0.3">
      <c r="HG300" s="25">
        <v>44118</v>
      </c>
      <c r="HH300" s="14" t="str">
        <f t="shared" si="39"/>
        <v>14-Oct</v>
      </c>
      <c r="HI300" s="14" t="s">
        <v>122</v>
      </c>
      <c r="HJ300" s="14" t="s">
        <v>132</v>
      </c>
      <c r="HK300" s="14" t="str">
        <f t="shared" si="38"/>
        <v>Libra - Air</v>
      </c>
    </row>
    <row r="301" spans="215:219" x14ac:dyDescent="0.3">
      <c r="HG301" s="25">
        <v>44119</v>
      </c>
      <c r="HH301" s="14" t="str">
        <f t="shared" si="39"/>
        <v>15-Oct</v>
      </c>
      <c r="HI301" s="14" t="s">
        <v>122</v>
      </c>
      <c r="HJ301" s="14" t="s">
        <v>132</v>
      </c>
      <c r="HK301" s="14" t="str">
        <f t="shared" si="38"/>
        <v>Libra - Air</v>
      </c>
    </row>
    <row r="302" spans="215:219" x14ac:dyDescent="0.3">
      <c r="HG302" s="25">
        <v>44120</v>
      </c>
      <c r="HH302" s="14" t="str">
        <f t="shared" si="39"/>
        <v>16-Oct</v>
      </c>
      <c r="HI302" s="14" t="s">
        <v>122</v>
      </c>
      <c r="HJ302" s="14" t="s">
        <v>132</v>
      </c>
      <c r="HK302" s="14" t="str">
        <f t="shared" si="38"/>
        <v>Libra - Air</v>
      </c>
    </row>
    <row r="303" spans="215:219" x14ac:dyDescent="0.3">
      <c r="HG303" s="25">
        <v>44121</v>
      </c>
      <c r="HH303" s="14" t="str">
        <f t="shared" si="39"/>
        <v>17-Oct</v>
      </c>
      <c r="HI303" s="14" t="s">
        <v>122</v>
      </c>
      <c r="HJ303" s="14" t="s">
        <v>132</v>
      </c>
      <c r="HK303" s="14" t="str">
        <f t="shared" si="38"/>
        <v>Libra - Air</v>
      </c>
    </row>
    <row r="304" spans="215:219" x14ac:dyDescent="0.3">
      <c r="HG304" s="25">
        <v>44122</v>
      </c>
      <c r="HH304" s="14" t="str">
        <f t="shared" si="39"/>
        <v>18-Oct</v>
      </c>
      <c r="HI304" s="14" t="s">
        <v>122</v>
      </c>
      <c r="HJ304" s="14" t="s">
        <v>132</v>
      </c>
      <c r="HK304" s="14" t="str">
        <f t="shared" si="38"/>
        <v>Libra - Air</v>
      </c>
    </row>
    <row r="305" spans="215:219" x14ac:dyDescent="0.3">
      <c r="HG305" s="25">
        <v>44123</v>
      </c>
      <c r="HH305" s="14" t="str">
        <f t="shared" si="39"/>
        <v>19-Oct</v>
      </c>
      <c r="HI305" s="14" t="s">
        <v>122</v>
      </c>
      <c r="HJ305" s="14" t="s">
        <v>132</v>
      </c>
      <c r="HK305" s="14" t="str">
        <f t="shared" si="38"/>
        <v>Libra - Air</v>
      </c>
    </row>
    <row r="306" spans="215:219" x14ac:dyDescent="0.3">
      <c r="HG306" s="25">
        <v>44124</v>
      </c>
      <c r="HH306" s="14" t="str">
        <f t="shared" si="39"/>
        <v>20-Oct</v>
      </c>
      <c r="HI306" s="14" t="s">
        <v>122</v>
      </c>
      <c r="HJ306" s="14" t="s">
        <v>132</v>
      </c>
      <c r="HK306" s="14" t="str">
        <f t="shared" si="38"/>
        <v>Libra - Air</v>
      </c>
    </row>
    <row r="307" spans="215:219" x14ac:dyDescent="0.3">
      <c r="HG307" s="25">
        <v>44125</v>
      </c>
      <c r="HH307" s="14" t="str">
        <f t="shared" si="39"/>
        <v>21-Oct</v>
      </c>
      <c r="HI307" s="14" t="s">
        <v>122</v>
      </c>
      <c r="HJ307" s="14" t="s">
        <v>132</v>
      </c>
      <c r="HK307" s="14" t="str">
        <f t="shared" si="38"/>
        <v>Libra - Air</v>
      </c>
    </row>
    <row r="308" spans="215:219" x14ac:dyDescent="0.3">
      <c r="HG308" s="25">
        <v>44126</v>
      </c>
      <c r="HH308" s="14" t="str">
        <f t="shared" si="39"/>
        <v>22-Oct</v>
      </c>
      <c r="HI308" s="14" t="s">
        <v>122</v>
      </c>
      <c r="HJ308" s="14" t="s">
        <v>132</v>
      </c>
      <c r="HK308" s="14" t="str">
        <f t="shared" si="38"/>
        <v>Libra - Air</v>
      </c>
    </row>
    <row r="309" spans="215:219" x14ac:dyDescent="0.3">
      <c r="HG309" s="25">
        <v>44127</v>
      </c>
      <c r="HH309" s="14" t="str">
        <f t="shared" si="39"/>
        <v>23-Oct</v>
      </c>
      <c r="HI309" s="14" t="s">
        <v>123</v>
      </c>
      <c r="HJ309" s="14" t="s">
        <v>131</v>
      </c>
      <c r="HK309" s="14" t="str">
        <f t="shared" si="38"/>
        <v>Scorpio - Water</v>
      </c>
    </row>
    <row r="310" spans="215:219" x14ac:dyDescent="0.3">
      <c r="HG310" s="25">
        <v>44128</v>
      </c>
      <c r="HH310" s="14" t="str">
        <f t="shared" si="39"/>
        <v>24-Oct</v>
      </c>
      <c r="HI310" s="14" t="s">
        <v>123</v>
      </c>
      <c r="HJ310" s="14" t="s">
        <v>131</v>
      </c>
      <c r="HK310" s="14" t="str">
        <f t="shared" si="38"/>
        <v>Scorpio - Water</v>
      </c>
    </row>
    <row r="311" spans="215:219" x14ac:dyDescent="0.3">
      <c r="HG311" s="25">
        <v>44129</v>
      </c>
      <c r="HH311" s="14" t="str">
        <f t="shared" si="39"/>
        <v>25-Oct</v>
      </c>
      <c r="HI311" s="14" t="s">
        <v>123</v>
      </c>
      <c r="HJ311" s="14" t="s">
        <v>131</v>
      </c>
      <c r="HK311" s="14" t="str">
        <f t="shared" si="38"/>
        <v>Scorpio - Water</v>
      </c>
    </row>
    <row r="312" spans="215:219" x14ac:dyDescent="0.3">
      <c r="HG312" s="25">
        <v>44130</v>
      </c>
      <c r="HH312" s="14" t="str">
        <f t="shared" si="39"/>
        <v>26-Oct</v>
      </c>
      <c r="HI312" s="14" t="s">
        <v>123</v>
      </c>
      <c r="HJ312" s="14" t="s">
        <v>131</v>
      </c>
      <c r="HK312" s="14" t="str">
        <f t="shared" si="38"/>
        <v>Scorpio - Water</v>
      </c>
    </row>
    <row r="313" spans="215:219" x14ac:dyDescent="0.3">
      <c r="HG313" s="25">
        <v>44131</v>
      </c>
      <c r="HH313" s="14" t="str">
        <f t="shared" si="39"/>
        <v>27-Oct</v>
      </c>
      <c r="HI313" s="14" t="s">
        <v>123</v>
      </c>
      <c r="HJ313" s="14" t="s">
        <v>131</v>
      </c>
      <c r="HK313" s="14" t="str">
        <f t="shared" si="38"/>
        <v>Scorpio - Water</v>
      </c>
    </row>
    <row r="314" spans="215:219" x14ac:dyDescent="0.3">
      <c r="HG314" s="25">
        <v>44132</v>
      </c>
      <c r="HH314" s="14" t="str">
        <f t="shared" si="39"/>
        <v>28-Oct</v>
      </c>
      <c r="HI314" s="14" t="s">
        <v>123</v>
      </c>
      <c r="HJ314" s="14" t="s">
        <v>131</v>
      </c>
      <c r="HK314" s="14" t="str">
        <f t="shared" si="38"/>
        <v>Scorpio - Water</v>
      </c>
    </row>
    <row r="315" spans="215:219" x14ac:dyDescent="0.3">
      <c r="HG315" s="25">
        <v>44133</v>
      </c>
      <c r="HH315" s="14" t="str">
        <f t="shared" si="39"/>
        <v>29-Oct</v>
      </c>
      <c r="HI315" s="14" t="s">
        <v>123</v>
      </c>
      <c r="HJ315" s="14" t="s">
        <v>131</v>
      </c>
      <c r="HK315" s="14" t="str">
        <f t="shared" si="38"/>
        <v>Scorpio - Water</v>
      </c>
    </row>
    <row r="316" spans="215:219" x14ac:dyDescent="0.3">
      <c r="HG316" s="25">
        <v>44134</v>
      </c>
      <c r="HH316" s="14" t="str">
        <f t="shared" si="39"/>
        <v>30-Oct</v>
      </c>
      <c r="HI316" s="14" t="s">
        <v>123</v>
      </c>
      <c r="HJ316" s="14" t="s">
        <v>131</v>
      </c>
      <c r="HK316" s="14" t="str">
        <f t="shared" si="38"/>
        <v>Scorpio - Water</v>
      </c>
    </row>
    <row r="317" spans="215:219" x14ac:dyDescent="0.3">
      <c r="HG317" s="25">
        <v>44135</v>
      </c>
      <c r="HH317" s="14" t="str">
        <f t="shared" si="39"/>
        <v>31-Oct</v>
      </c>
      <c r="HI317" s="14" t="s">
        <v>123</v>
      </c>
      <c r="HJ317" s="14" t="s">
        <v>131</v>
      </c>
      <c r="HK317" s="14" t="str">
        <f t="shared" si="38"/>
        <v>Scorpio - Water</v>
      </c>
    </row>
    <row r="318" spans="215:219" x14ac:dyDescent="0.3">
      <c r="HG318" s="25">
        <v>44136</v>
      </c>
      <c r="HH318" s="14" t="str">
        <f t="shared" si="39"/>
        <v>01-Nov</v>
      </c>
      <c r="HI318" s="14" t="s">
        <v>123</v>
      </c>
      <c r="HJ318" s="14" t="s">
        <v>131</v>
      </c>
      <c r="HK318" s="14" t="str">
        <f t="shared" si="38"/>
        <v>Scorpio - Water</v>
      </c>
    </row>
    <row r="319" spans="215:219" x14ac:dyDescent="0.3">
      <c r="HG319" s="25">
        <v>44137</v>
      </c>
      <c r="HH319" s="14" t="str">
        <f t="shared" si="39"/>
        <v>02-Nov</v>
      </c>
      <c r="HI319" s="14" t="s">
        <v>123</v>
      </c>
      <c r="HJ319" s="14" t="s">
        <v>131</v>
      </c>
      <c r="HK319" s="14" t="str">
        <f t="shared" si="38"/>
        <v>Scorpio - Water</v>
      </c>
    </row>
    <row r="320" spans="215:219" x14ac:dyDescent="0.3">
      <c r="HG320" s="25">
        <v>44138</v>
      </c>
      <c r="HH320" s="14" t="str">
        <f t="shared" si="39"/>
        <v>03-Nov</v>
      </c>
      <c r="HI320" s="14" t="s">
        <v>123</v>
      </c>
      <c r="HJ320" s="14" t="s">
        <v>131</v>
      </c>
      <c r="HK320" s="14" t="str">
        <f t="shared" si="38"/>
        <v>Scorpio - Water</v>
      </c>
    </row>
    <row r="321" spans="215:219" x14ac:dyDescent="0.3">
      <c r="HG321" s="25">
        <v>44139</v>
      </c>
      <c r="HH321" s="14" t="str">
        <f t="shared" si="39"/>
        <v>04-Nov</v>
      </c>
      <c r="HI321" s="14" t="s">
        <v>123</v>
      </c>
      <c r="HJ321" s="14" t="s">
        <v>131</v>
      </c>
      <c r="HK321" s="14" t="str">
        <f t="shared" si="38"/>
        <v>Scorpio - Water</v>
      </c>
    </row>
    <row r="322" spans="215:219" x14ac:dyDescent="0.3">
      <c r="HG322" s="25">
        <v>44140</v>
      </c>
      <c r="HH322" s="14" t="str">
        <f t="shared" si="39"/>
        <v>05-Nov</v>
      </c>
      <c r="HI322" s="14" t="s">
        <v>123</v>
      </c>
      <c r="HJ322" s="14" t="s">
        <v>131</v>
      </c>
      <c r="HK322" s="14" t="str">
        <f t="shared" si="38"/>
        <v>Scorpio - Water</v>
      </c>
    </row>
    <row r="323" spans="215:219" x14ac:dyDescent="0.3">
      <c r="HG323" s="25">
        <v>44141</v>
      </c>
      <c r="HH323" s="14" t="str">
        <f t="shared" si="39"/>
        <v>06-Nov</v>
      </c>
      <c r="HI323" s="14" t="s">
        <v>123</v>
      </c>
      <c r="HJ323" s="14" t="s">
        <v>131</v>
      </c>
      <c r="HK323" s="14" t="str">
        <f t="shared" si="38"/>
        <v>Scorpio - Water</v>
      </c>
    </row>
    <row r="324" spans="215:219" x14ac:dyDescent="0.3">
      <c r="HG324" s="25">
        <v>44142</v>
      </c>
      <c r="HH324" s="14" t="str">
        <f t="shared" si="39"/>
        <v>07-Nov</v>
      </c>
      <c r="HI324" s="14" t="s">
        <v>123</v>
      </c>
      <c r="HJ324" s="14" t="s">
        <v>131</v>
      </c>
      <c r="HK324" s="14" t="str">
        <f t="shared" si="38"/>
        <v>Scorpio - Water</v>
      </c>
    </row>
    <row r="325" spans="215:219" x14ac:dyDescent="0.3">
      <c r="HG325" s="25">
        <v>44143</v>
      </c>
      <c r="HH325" s="14" t="str">
        <f t="shared" si="39"/>
        <v>08-Nov</v>
      </c>
      <c r="HI325" s="14" t="s">
        <v>123</v>
      </c>
      <c r="HJ325" s="14" t="s">
        <v>131</v>
      </c>
      <c r="HK325" s="14" t="str">
        <f t="shared" si="38"/>
        <v>Scorpio - Water</v>
      </c>
    </row>
    <row r="326" spans="215:219" x14ac:dyDescent="0.3">
      <c r="HG326" s="25">
        <v>44144</v>
      </c>
      <c r="HH326" s="14" t="str">
        <f t="shared" si="39"/>
        <v>09-Nov</v>
      </c>
      <c r="HI326" s="14" t="s">
        <v>123</v>
      </c>
      <c r="HJ326" s="14" t="s">
        <v>131</v>
      </c>
      <c r="HK326" s="14" t="str">
        <f t="shared" si="38"/>
        <v>Scorpio - Water</v>
      </c>
    </row>
    <row r="327" spans="215:219" x14ac:dyDescent="0.3">
      <c r="HG327" s="25">
        <v>44145</v>
      </c>
      <c r="HH327" s="14" t="str">
        <f t="shared" si="39"/>
        <v>10-Nov</v>
      </c>
      <c r="HI327" s="14" t="s">
        <v>123</v>
      </c>
      <c r="HJ327" s="14" t="s">
        <v>131</v>
      </c>
      <c r="HK327" s="14" t="str">
        <f t="shared" si="38"/>
        <v>Scorpio - Water</v>
      </c>
    </row>
    <row r="328" spans="215:219" x14ac:dyDescent="0.3">
      <c r="HG328" s="25">
        <v>44146</v>
      </c>
      <c r="HH328" s="14" t="str">
        <f t="shared" si="39"/>
        <v>11-Nov</v>
      </c>
      <c r="HI328" s="14" t="s">
        <v>123</v>
      </c>
      <c r="HJ328" s="14" t="s">
        <v>131</v>
      </c>
      <c r="HK328" s="14" t="str">
        <f t="shared" si="38"/>
        <v>Scorpio - Water</v>
      </c>
    </row>
    <row r="329" spans="215:219" x14ac:dyDescent="0.3">
      <c r="HG329" s="25">
        <v>44147</v>
      </c>
      <c r="HH329" s="14" t="str">
        <f t="shared" si="39"/>
        <v>12-Nov</v>
      </c>
      <c r="HI329" s="14" t="s">
        <v>123</v>
      </c>
      <c r="HJ329" s="14" t="s">
        <v>131</v>
      </c>
      <c r="HK329" s="14" t="str">
        <f t="shared" si="38"/>
        <v>Scorpio - Water</v>
      </c>
    </row>
    <row r="330" spans="215:219" x14ac:dyDescent="0.3">
      <c r="HG330" s="25">
        <v>44148</v>
      </c>
      <c r="HH330" s="14" t="str">
        <f t="shared" si="39"/>
        <v>13-Nov</v>
      </c>
      <c r="HI330" s="14" t="s">
        <v>123</v>
      </c>
      <c r="HJ330" s="14" t="s">
        <v>131</v>
      </c>
      <c r="HK330" s="14" t="str">
        <f t="shared" si="38"/>
        <v>Scorpio - Water</v>
      </c>
    </row>
    <row r="331" spans="215:219" x14ac:dyDescent="0.3">
      <c r="HG331" s="25">
        <v>44149</v>
      </c>
      <c r="HH331" s="14" t="str">
        <f t="shared" si="39"/>
        <v>14-Nov</v>
      </c>
      <c r="HI331" s="14" t="s">
        <v>123</v>
      </c>
      <c r="HJ331" s="14" t="s">
        <v>131</v>
      </c>
      <c r="HK331" s="14" t="str">
        <f t="shared" si="38"/>
        <v>Scorpio - Water</v>
      </c>
    </row>
    <row r="332" spans="215:219" x14ac:dyDescent="0.3">
      <c r="HG332" s="25">
        <v>44150</v>
      </c>
      <c r="HH332" s="14" t="str">
        <f t="shared" si="39"/>
        <v>15-Nov</v>
      </c>
      <c r="HI332" s="14" t="s">
        <v>123</v>
      </c>
      <c r="HJ332" s="14" t="s">
        <v>131</v>
      </c>
      <c r="HK332" s="14" t="str">
        <f t="shared" si="38"/>
        <v>Scorpio - Water</v>
      </c>
    </row>
    <row r="333" spans="215:219" x14ac:dyDescent="0.3">
      <c r="HG333" s="25">
        <v>44151</v>
      </c>
      <c r="HH333" s="14" t="str">
        <f t="shared" si="39"/>
        <v>16-Nov</v>
      </c>
      <c r="HI333" s="14" t="s">
        <v>123</v>
      </c>
      <c r="HJ333" s="14" t="s">
        <v>131</v>
      </c>
      <c r="HK333" s="14" t="str">
        <f t="shared" ref="HK333:HK378" si="40">HI333&amp;" - "&amp;HJ333</f>
        <v>Scorpio - Water</v>
      </c>
    </row>
    <row r="334" spans="215:219" x14ac:dyDescent="0.3">
      <c r="HG334" s="25">
        <v>44152</v>
      </c>
      <c r="HH334" s="14" t="str">
        <f t="shared" ref="HH334:HH378" si="41">TEXT(HG334,"DD-MMM")</f>
        <v>17-Nov</v>
      </c>
      <c r="HI334" s="14" t="s">
        <v>123</v>
      </c>
      <c r="HJ334" s="14" t="s">
        <v>131</v>
      </c>
      <c r="HK334" s="14" t="str">
        <f t="shared" si="40"/>
        <v>Scorpio - Water</v>
      </c>
    </row>
    <row r="335" spans="215:219" x14ac:dyDescent="0.3">
      <c r="HG335" s="25">
        <v>44153</v>
      </c>
      <c r="HH335" s="14" t="str">
        <f t="shared" si="41"/>
        <v>18-Nov</v>
      </c>
      <c r="HI335" s="14" t="s">
        <v>123</v>
      </c>
      <c r="HJ335" s="14" t="s">
        <v>131</v>
      </c>
      <c r="HK335" s="14" t="str">
        <f t="shared" si="40"/>
        <v>Scorpio - Water</v>
      </c>
    </row>
    <row r="336" spans="215:219" x14ac:dyDescent="0.3">
      <c r="HG336" s="25">
        <v>44154</v>
      </c>
      <c r="HH336" s="14" t="str">
        <f t="shared" si="41"/>
        <v>19-Nov</v>
      </c>
      <c r="HI336" s="14" t="s">
        <v>123</v>
      </c>
      <c r="HJ336" s="14" t="s">
        <v>131</v>
      </c>
      <c r="HK336" s="14" t="str">
        <f t="shared" si="40"/>
        <v>Scorpio - Water</v>
      </c>
    </row>
    <row r="337" spans="215:219" x14ac:dyDescent="0.3">
      <c r="HG337" s="25">
        <v>44155</v>
      </c>
      <c r="HH337" s="14" t="str">
        <f t="shared" si="41"/>
        <v>20-Nov</v>
      </c>
      <c r="HI337" s="14" t="s">
        <v>123</v>
      </c>
      <c r="HJ337" s="14" t="s">
        <v>131</v>
      </c>
      <c r="HK337" s="14" t="str">
        <f t="shared" si="40"/>
        <v>Scorpio - Water</v>
      </c>
    </row>
    <row r="338" spans="215:219" x14ac:dyDescent="0.3">
      <c r="HG338" s="25">
        <v>44156</v>
      </c>
      <c r="HH338" s="14" t="str">
        <f t="shared" si="41"/>
        <v>21-Nov</v>
      </c>
      <c r="HI338" s="14" t="s">
        <v>123</v>
      </c>
      <c r="HJ338" s="14" t="s">
        <v>131</v>
      </c>
      <c r="HK338" s="14" t="str">
        <f t="shared" si="40"/>
        <v>Scorpio - Water</v>
      </c>
    </row>
    <row r="339" spans="215:219" x14ac:dyDescent="0.3">
      <c r="HG339" s="25">
        <v>44157</v>
      </c>
      <c r="HH339" s="14" t="str">
        <f t="shared" si="41"/>
        <v>22-Nov</v>
      </c>
      <c r="HI339" s="14" t="s">
        <v>124</v>
      </c>
      <c r="HJ339" s="14" t="s">
        <v>129</v>
      </c>
      <c r="HK339" s="14" t="str">
        <f t="shared" si="40"/>
        <v>Sagittarius - Fire</v>
      </c>
    </row>
    <row r="340" spans="215:219" x14ac:dyDescent="0.3">
      <c r="HG340" s="25">
        <v>44158</v>
      </c>
      <c r="HH340" s="14" t="str">
        <f t="shared" si="41"/>
        <v>23-Nov</v>
      </c>
      <c r="HI340" s="14" t="s">
        <v>124</v>
      </c>
      <c r="HJ340" s="14" t="s">
        <v>129</v>
      </c>
      <c r="HK340" s="14" t="str">
        <f t="shared" si="40"/>
        <v>Sagittarius - Fire</v>
      </c>
    </row>
    <row r="341" spans="215:219" x14ac:dyDescent="0.3">
      <c r="HG341" s="25">
        <v>44159</v>
      </c>
      <c r="HH341" s="14" t="str">
        <f t="shared" si="41"/>
        <v>24-Nov</v>
      </c>
      <c r="HI341" s="14" t="s">
        <v>124</v>
      </c>
      <c r="HJ341" s="14" t="s">
        <v>129</v>
      </c>
      <c r="HK341" s="14" t="str">
        <f t="shared" si="40"/>
        <v>Sagittarius - Fire</v>
      </c>
    </row>
    <row r="342" spans="215:219" x14ac:dyDescent="0.3">
      <c r="HG342" s="25">
        <v>44160</v>
      </c>
      <c r="HH342" s="14" t="str">
        <f t="shared" si="41"/>
        <v>25-Nov</v>
      </c>
      <c r="HI342" s="14" t="s">
        <v>124</v>
      </c>
      <c r="HJ342" s="14" t="s">
        <v>129</v>
      </c>
      <c r="HK342" s="14" t="str">
        <f t="shared" si="40"/>
        <v>Sagittarius - Fire</v>
      </c>
    </row>
    <row r="343" spans="215:219" x14ac:dyDescent="0.3">
      <c r="HG343" s="25">
        <v>44161</v>
      </c>
      <c r="HH343" s="14" t="str">
        <f t="shared" si="41"/>
        <v>26-Nov</v>
      </c>
      <c r="HI343" s="14" t="s">
        <v>124</v>
      </c>
      <c r="HJ343" s="14" t="s">
        <v>129</v>
      </c>
      <c r="HK343" s="14" t="str">
        <f t="shared" si="40"/>
        <v>Sagittarius - Fire</v>
      </c>
    </row>
    <row r="344" spans="215:219" x14ac:dyDescent="0.3">
      <c r="HG344" s="25">
        <v>44162</v>
      </c>
      <c r="HH344" s="14" t="str">
        <f t="shared" si="41"/>
        <v>27-Nov</v>
      </c>
      <c r="HI344" s="14" t="s">
        <v>124</v>
      </c>
      <c r="HJ344" s="14" t="s">
        <v>129</v>
      </c>
      <c r="HK344" s="14" t="str">
        <f t="shared" si="40"/>
        <v>Sagittarius - Fire</v>
      </c>
    </row>
    <row r="345" spans="215:219" x14ac:dyDescent="0.3">
      <c r="HG345" s="25">
        <v>44163</v>
      </c>
      <c r="HH345" s="14" t="str">
        <f t="shared" si="41"/>
        <v>28-Nov</v>
      </c>
      <c r="HI345" s="14" t="s">
        <v>124</v>
      </c>
      <c r="HJ345" s="14" t="s">
        <v>129</v>
      </c>
      <c r="HK345" s="14" t="str">
        <f t="shared" si="40"/>
        <v>Sagittarius - Fire</v>
      </c>
    </row>
    <row r="346" spans="215:219" x14ac:dyDescent="0.3">
      <c r="HG346" s="25">
        <v>44164</v>
      </c>
      <c r="HH346" s="14" t="str">
        <f t="shared" si="41"/>
        <v>29-Nov</v>
      </c>
      <c r="HI346" s="14" t="s">
        <v>124</v>
      </c>
      <c r="HJ346" s="14" t="s">
        <v>129</v>
      </c>
      <c r="HK346" s="14" t="str">
        <f t="shared" si="40"/>
        <v>Sagittarius - Fire</v>
      </c>
    </row>
    <row r="347" spans="215:219" x14ac:dyDescent="0.3">
      <c r="HG347" s="25">
        <v>44165</v>
      </c>
      <c r="HH347" s="14" t="str">
        <f t="shared" si="41"/>
        <v>30-Nov</v>
      </c>
      <c r="HI347" s="14" t="s">
        <v>124</v>
      </c>
      <c r="HJ347" s="14" t="s">
        <v>129</v>
      </c>
      <c r="HK347" s="14" t="str">
        <f t="shared" si="40"/>
        <v>Sagittarius - Fire</v>
      </c>
    </row>
    <row r="348" spans="215:219" x14ac:dyDescent="0.3">
      <c r="HG348" s="25">
        <v>44166</v>
      </c>
      <c r="HH348" s="14" t="str">
        <f t="shared" si="41"/>
        <v>01-Dec</v>
      </c>
      <c r="HI348" s="14" t="s">
        <v>124</v>
      </c>
      <c r="HJ348" s="14" t="s">
        <v>129</v>
      </c>
      <c r="HK348" s="14" t="str">
        <f t="shared" si="40"/>
        <v>Sagittarius - Fire</v>
      </c>
    </row>
    <row r="349" spans="215:219" x14ac:dyDescent="0.3">
      <c r="HG349" s="25">
        <v>44167</v>
      </c>
      <c r="HH349" s="14" t="str">
        <f t="shared" si="41"/>
        <v>02-Dec</v>
      </c>
      <c r="HI349" s="14" t="s">
        <v>124</v>
      </c>
      <c r="HJ349" s="14" t="s">
        <v>129</v>
      </c>
      <c r="HK349" s="14" t="str">
        <f t="shared" si="40"/>
        <v>Sagittarius - Fire</v>
      </c>
    </row>
    <row r="350" spans="215:219" x14ac:dyDescent="0.3">
      <c r="HG350" s="25">
        <v>44168</v>
      </c>
      <c r="HH350" s="14" t="str">
        <f t="shared" si="41"/>
        <v>03-Dec</v>
      </c>
      <c r="HI350" s="14" t="s">
        <v>124</v>
      </c>
      <c r="HJ350" s="14" t="s">
        <v>129</v>
      </c>
      <c r="HK350" s="14" t="str">
        <f t="shared" si="40"/>
        <v>Sagittarius - Fire</v>
      </c>
    </row>
    <row r="351" spans="215:219" x14ac:dyDescent="0.3">
      <c r="HG351" s="25">
        <v>44169</v>
      </c>
      <c r="HH351" s="14" t="str">
        <f t="shared" si="41"/>
        <v>04-Dec</v>
      </c>
      <c r="HI351" s="14" t="s">
        <v>124</v>
      </c>
      <c r="HJ351" s="14" t="s">
        <v>129</v>
      </c>
      <c r="HK351" s="14" t="str">
        <f t="shared" si="40"/>
        <v>Sagittarius - Fire</v>
      </c>
    </row>
    <row r="352" spans="215:219" x14ac:dyDescent="0.3">
      <c r="HG352" s="25">
        <v>44170</v>
      </c>
      <c r="HH352" s="14" t="str">
        <f t="shared" si="41"/>
        <v>05-Dec</v>
      </c>
      <c r="HI352" s="14" t="s">
        <v>124</v>
      </c>
      <c r="HJ352" s="14" t="s">
        <v>129</v>
      </c>
      <c r="HK352" s="14" t="str">
        <f t="shared" si="40"/>
        <v>Sagittarius - Fire</v>
      </c>
    </row>
    <row r="353" spans="215:219" x14ac:dyDescent="0.3">
      <c r="HG353" s="25">
        <v>44171</v>
      </c>
      <c r="HH353" s="14" t="str">
        <f t="shared" si="41"/>
        <v>06-Dec</v>
      </c>
      <c r="HI353" s="14" t="s">
        <v>124</v>
      </c>
      <c r="HJ353" s="14" t="s">
        <v>129</v>
      </c>
      <c r="HK353" s="14" t="str">
        <f t="shared" si="40"/>
        <v>Sagittarius - Fire</v>
      </c>
    </row>
    <row r="354" spans="215:219" x14ac:dyDescent="0.3">
      <c r="HG354" s="25">
        <v>44172</v>
      </c>
      <c r="HH354" s="14" t="str">
        <f t="shared" si="41"/>
        <v>07-Dec</v>
      </c>
      <c r="HI354" s="14" t="s">
        <v>124</v>
      </c>
      <c r="HJ354" s="14" t="s">
        <v>129</v>
      </c>
      <c r="HK354" s="14" t="str">
        <f t="shared" si="40"/>
        <v>Sagittarius - Fire</v>
      </c>
    </row>
    <row r="355" spans="215:219" x14ac:dyDescent="0.3">
      <c r="HG355" s="25">
        <v>44173</v>
      </c>
      <c r="HH355" s="14" t="str">
        <f t="shared" si="41"/>
        <v>08-Dec</v>
      </c>
      <c r="HI355" s="14" t="s">
        <v>124</v>
      </c>
      <c r="HJ355" s="14" t="s">
        <v>129</v>
      </c>
      <c r="HK355" s="14" t="str">
        <f t="shared" si="40"/>
        <v>Sagittarius - Fire</v>
      </c>
    </row>
    <row r="356" spans="215:219" x14ac:dyDescent="0.3">
      <c r="HG356" s="25">
        <v>44174</v>
      </c>
      <c r="HH356" s="14" t="str">
        <f t="shared" si="41"/>
        <v>09-Dec</v>
      </c>
      <c r="HI356" s="14" t="s">
        <v>124</v>
      </c>
      <c r="HJ356" s="14" t="s">
        <v>129</v>
      </c>
      <c r="HK356" s="14" t="str">
        <f t="shared" si="40"/>
        <v>Sagittarius - Fire</v>
      </c>
    </row>
    <row r="357" spans="215:219" x14ac:dyDescent="0.3">
      <c r="HG357" s="25">
        <v>44175</v>
      </c>
      <c r="HH357" s="14" t="str">
        <f t="shared" si="41"/>
        <v>10-Dec</v>
      </c>
      <c r="HI357" s="14" t="s">
        <v>124</v>
      </c>
      <c r="HJ357" s="14" t="s">
        <v>129</v>
      </c>
      <c r="HK357" s="14" t="str">
        <f t="shared" si="40"/>
        <v>Sagittarius - Fire</v>
      </c>
    </row>
    <row r="358" spans="215:219" x14ac:dyDescent="0.3">
      <c r="HG358" s="25">
        <v>44176</v>
      </c>
      <c r="HH358" s="14" t="str">
        <f t="shared" si="41"/>
        <v>11-Dec</v>
      </c>
      <c r="HI358" s="14" t="s">
        <v>124</v>
      </c>
      <c r="HJ358" s="14" t="s">
        <v>129</v>
      </c>
      <c r="HK358" s="14" t="str">
        <f t="shared" si="40"/>
        <v>Sagittarius - Fire</v>
      </c>
    </row>
    <row r="359" spans="215:219" x14ac:dyDescent="0.3">
      <c r="HG359" s="25">
        <v>44177</v>
      </c>
      <c r="HH359" s="14" t="str">
        <f t="shared" si="41"/>
        <v>12-Dec</v>
      </c>
      <c r="HI359" s="14" t="s">
        <v>124</v>
      </c>
      <c r="HJ359" s="14" t="s">
        <v>129</v>
      </c>
      <c r="HK359" s="14" t="str">
        <f t="shared" si="40"/>
        <v>Sagittarius - Fire</v>
      </c>
    </row>
    <row r="360" spans="215:219" x14ac:dyDescent="0.3">
      <c r="HG360" s="25">
        <v>44178</v>
      </c>
      <c r="HH360" s="14" t="str">
        <f t="shared" si="41"/>
        <v>13-Dec</v>
      </c>
      <c r="HI360" s="14" t="s">
        <v>124</v>
      </c>
      <c r="HJ360" s="14" t="s">
        <v>129</v>
      </c>
      <c r="HK360" s="14" t="str">
        <f t="shared" si="40"/>
        <v>Sagittarius - Fire</v>
      </c>
    </row>
    <row r="361" spans="215:219" x14ac:dyDescent="0.3">
      <c r="HG361" s="25">
        <v>44179</v>
      </c>
      <c r="HH361" s="14" t="str">
        <f t="shared" si="41"/>
        <v>14-Dec</v>
      </c>
      <c r="HI361" s="14" t="s">
        <v>124</v>
      </c>
      <c r="HJ361" s="14" t="s">
        <v>129</v>
      </c>
      <c r="HK361" s="14" t="str">
        <f t="shared" si="40"/>
        <v>Sagittarius - Fire</v>
      </c>
    </row>
    <row r="362" spans="215:219" x14ac:dyDescent="0.3">
      <c r="HG362" s="25">
        <v>44180</v>
      </c>
      <c r="HH362" s="14" t="str">
        <f t="shared" si="41"/>
        <v>15-Dec</v>
      </c>
      <c r="HI362" s="14" t="s">
        <v>124</v>
      </c>
      <c r="HJ362" s="14" t="s">
        <v>129</v>
      </c>
      <c r="HK362" s="14" t="str">
        <f t="shared" si="40"/>
        <v>Sagittarius - Fire</v>
      </c>
    </row>
    <row r="363" spans="215:219" x14ac:dyDescent="0.3">
      <c r="HG363" s="25">
        <v>44181</v>
      </c>
      <c r="HH363" s="14" t="str">
        <f t="shared" si="41"/>
        <v>16-Dec</v>
      </c>
      <c r="HI363" s="14" t="s">
        <v>124</v>
      </c>
      <c r="HJ363" s="14" t="s">
        <v>129</v>
      </c>
      <c r="HK363" s="14" t="str">
        <f t="shared" si="40"/>
        <v>Sagittarius - Fire</v>
      </c>
    </row>
    <row r="364" spans="215:219" x14ac:dyDescent="0.3">
      <c r="HG364" s="25">
        <v>44182</v>
      </c>
      <c r="HH364" s="14" t="str">
        <f t="shared" si="41"/>
        <v>17-Dec</v>
      </c>
      <c r="HI364" s="14" t="s">
        <v>124</v>
      </c>
      <c r="HJ364" s="14" t="s">
        <v>129</v>
      </c>
      <c r="HK364" s="14" t="str">
        <f t="shared" si="40"/>
        <v>Sagittarius - Fire</v>
      </c>
    </row>
    <row r="365" spans="215:219" x14ac:dyDescent="0.3">
      <c r="HG365" s="25">
        <v>44183</v>
      </c>
      <c r="HH365" s="14" t="str">
        <f t="shared" si="41"/>
        <v>18-Dec</v>
      </c>
      <c r="HI365" s="14" t="s">
        <v>124</v>
      </c>
      <c r="HJ365" s="14" t="s">
        <v>129</v>
      </c>
      <c r="HK365" s="14" t="str">
        <f t="shared" si="40"/>
        <v>Sagittarius - Fire</v>
      </c>
    </row>
    <row r="366" spans="215:219" x14ac:dyDescent="0.3">
      <c r="HG366" s="25">
        <v>44184</v>
      </c>
      <c r="HH366" s="14" t="str">
        <f t="shared" si="41"/>
        <v>19-Dec</v>
      </c>
      <c r="HI366" s="14" t="s">
        <v>124</v>
      </c>
      <c r="HJ366" s="14" t="s">
        <v>129</v>
      </c>
      <c r="HK366" s="14" t="str">
        <f t="shared" si="40"/>
        <v>Sagittarius - Fire</v>
      </c>
    </row>
    <row r="367" spans="215:219" x14ac:dyDescent="0.3">
      <c r="HG367" s="25">
        <v>44185</v>
      </c>
      <c r="HH367" s="14" t="str">
        <f t="shared" si="41"/>
        <v>20-Dec</v>
      </c>
      <c r="HI367" s="14" t="s">
        <v>124</v>
      </c>
      <c r="HJ367" s="14" t="s">
        <v>129</v>
      </c>
      <c r="HK367" s="14" t="str">
        <f t="shared" si="40"/>
        <v>Sagittarius - Fire</v>
      </c>
    </row>
    <row r="368" spans="215:219" x14ac:dyDescent="0.3">
      <c r="HG368" s="25">
        <v>44186</v>
      </c>
      <c r="HH368" s="14" t="str">
        <f t="shared" si="41"/>
        <v>21-Dec</v>
      </c>
      <c r="HI368" s="14" t="s">
        <v>124</v>
      </c>
      <c r="HJ368" s="14" t="s">
        <v>129</v>
      </c>
      <c r="HK368" s="14" t="str">
        <f>HI368&amp;" - "&amp;HJ368</f>
        <v>Sagittarius - Fire</v>
      </c>
    </row>
    <row r="369" spans="215:219" x14ac:dyDescent="0.3">
      <c r="HG369" s="25">
        <v>44187</v>
      </c>
      <c r="HH369" s="14" t="str">
        <f t="shared" si="41"/>
        <v>22-Dec</v>
      </c>
      <c r="HI369" s="14" t="s">
        <v>113</v>
      </c>
      <c r="HJ369" s="14" t="s">
        <v>130</v>
      </c>
      <c r="HK369" s="14" t="str">
        <f t="shared" si="40"/>
        <v>Capricorn - Earth</v>
      </c>
    </row>
    <row r="370" spans="215:219" x14ac:dyDescent="0.3">
      <c r="HG370" s="25">
        <v>44188</v>
      </c>
      <c r="HH370" s="14" t="str">
        <f t="shared" si="41"/>
        <v>23-Dec</v>
      </c>
      <c r="HI370" s="14" t="s">
        <v>113</v>
      </c>
      <c r="HJ370" s="14" t="s">
        <v>130</v>
      </c>
      <c r="HK370" s="14" t="str">
        <f t="shared" si="40"/>
        <v>Capricorn - Earth</v>
      </c>
    </row>
    <row r="371" spans="215:219" x14ac:dyDescent="0.3">
      <c r="HG371" s="25">
        <v>44189</v>
      </c>
      <c r="HH371" s="14" t="str">
        <f t="shared" si="41"/>
        <v>24-Dec</v>
      </c>
      <c r="HI371" s="14" t="s">
        <v>113</v>
      </c>
      <c r="HJ371" s="14" t="s">
        <v>130</v>
      </c>
      <c r="HK371" s="14" t="str">
        <f t="shared" si="40"/>
        <v>Capricorn - Earth</v>
      </c>
    </row>
    <row r="372" spans="215:219" x14ac:dyDescent="0.3">
      <c r="HG372" s="25">
        <v>44190</v>
      </c>
      <c r="HH372" s="14" t="str">
        <f t="shared" si="41"/>
        <v>25-Dec</v>
      </c>
      <c r="HI372" s="14" t="s">
        <v>113</v>
      </c>
      <c r="HJ372" s="14" t="s">
        <v>130</v>
      </c>
      <c r="HK372" s="14" t="str">
        <f t="shared" si="40"/>
        <v>Capricorn - Earth</v>
      </c>
    </row>
    <row r="373" spans="215:219" x14ac:dyDescent="0.3">
      <c r="HG373" s="25">
        <v>44191</v>
      </c>
      <c r="HH373" s="14" t="str">
        <f t="shared" si="41"/>
        <v>26-Dec</v>
      </c>
      <c r="HI373" s="14" t="s">
        <v>113</v>
      </c>
      <c r="HJ373" s="14" t="s">
        <v>130</v>
      </c>
      <c r="HK373" s="14" t="str">
        <f t="shared" si="40"/>
        <v>Capricorn - Earth</v>
      </c>
    </row>
    <row r="374" spans="215:219" x14ac:dyDescent="0.3">
      <c r="HG374" s="25">
        <v>44192</v>
      </c>
      <c r="HH374" s="14" t="str">
        <f t="shared" si="41"/>
        <v>27-Dec</v>
      </c>
      <c r="HI374" s="14" t="s">
        <v>113</v>
      </c>
      <c r="HJ374" s="14" t="s">
        <v>130</v>
      </c>
      <c r="HK374" s="14" t="str">
        <f t="shared" si="40"/>
        <v>Capricorn - Earth</v>
      </c>
    </row>
    <row r="375" spans="215:219" x14ac:dyDescent="0.3">
      <c r="HG375" s="25">
        <v>44193</v>
      </c>
      <c r="HH375" s="14" t="str">
        <f t="shared" si="41"/>
        <v>28-Dec</v>
      </c>
      <c r="HI375" s="14" t="s">
        <v>113</v>
      </c>
      <c r="HJ375" s="14" t="s">
        <v>130</v>
      </c>
      <c r="HK375" s="14" t="str">
        <f t="shared" si="40"/>
        <v>Capricorn - Earth</v>
      </c>
    </row>
    <row r="376" spans="215:219" x14ac:dyDescent="0.3">
      <c r="HG376" s="25">
        <v>44194</v>
      </c>
      <c r="HH376" s="14" t="str">
        <f t="shared" si="41"/>
        <v>29-Dec</v>
      </c>
      <c r="HI376" s="14" t="s">
        <v>113</v>
      </c>
      <c r="HJ376" s="14" t="s">
        <v>130</v>
      </c>
      <c r="HK376" s="14" t="str">
        <f t="shared" si="40"/>
        <v>Capricorn - Earth</v>
      </c>
    </row>
    <row r="377" spans="215:219" x14ac:dyDescent="0.3">
      <c r="HG377" s="25">
        <v>44195</v>
      </c>
      <c r="HH377" s="14" t="str">
        <f t="shared" si="41"/>
        <v>30-Dec</v>
      </c>
      <c r="HI377" s="14" t="s">
        <v>113</v>
      </c>
      <c r="HJ377" s="14" t="s">
        <v>130</v>
      </c>
      <c r="HK377" s="14" t="str">
        <f t="shared" si="40"/>
        <v>Capricorn - Earth</v>
      </c>
    </row>
    <row r="378" spans="215:219" x14ac:dyDescent="0.3">
      <c r="HG378" s="25">
        <v>44196</v>
      </c>
      <c r="HH378" s="14" t="str">
        <f t="shared" si="41"/>
        <v>31-Dec</v>
      </c>
      <c r="HI378" s="14" t="s">
        <v>113</v>
      </c>
      <c r="HJ378" s="14" t="s">
        <v>130</v>
      </c>
      <c r="HK378" s="14" t="str">
        <f t="shared" si="40"/>
        <v>Capricorn - Earth</v>
      </c>
    </row>
  </sheetData>
  <mergeCells count="21">
    <mergeCell ref="GG12:GP12"/>
    <mergeCell ref="GU12:GV12"/>
    <mergeCell ref="A13:B13"/>
    <mergeCell ref="AE19:AL19"/>
    <mergeCell ref="AR20:BA20"/>
    <mergeCell ref="AS35:BA35"/>
    <mergeCell ref="AE40:AL40"/>
    <mergeCell ref="Y51:AB51"/>
    <mergeCell ref="C4:D4"/>
    <mergeCell ref="F4:G4"/>
    <mergeCell ref="I4:L4"/>
    <mergeCell ref="C5:D5"/>
    <mergeCell ref="F5:G5"/>
    <mergeCell ref="I5:L5"/>
    <mergeCell ref="AB12:AD12"/>
    <mergeCell ref="A85:B85"/>
    <mergeCell ref="A92:B92"/>
    <mergeCell ref="J22:K22"/>
    <mergeCell ref="L22:M22"/>
    <mergeCell ref="AB33:AD33"/>
    <mergeCell ref="A34:B34"/>
  </mergeCells>
  <conditionalFormatting sqref="AB16:AB19">
    <cfRule type="cellIs" dxfId="339" priority="200" operator="equal">
      <formula>"SA"</formula>
    </cfRule>
    <cfRule type="cellIs" dxfId="338" priority="204" operator="equal">
      <formula>"A"</formula>
    </cfRule>
  </conditionalFormatting>
  <conditionalFormatting sqref="AC16:AC19">
    <cfRule type="cellIs" dxfId="337" priority="199" operator="equal">
      <formula>"SA"</formula>
    </cfRule>
    <cfRule type="cellIs" dxfId="336" priority="203" operator="equal">
      <formula>"A"</formula>
    </cfRule>
  </conditionalFormatting>
  <conditionalFormatting sqref="AB37:AB38 AB40">
    <cfRule type="cellIs" dxfId="335" priority="202" operator="equal">
      <formula>"A"</formula>
    </cfRule>
  </conditionalFormatting>
  <conditionalFormatting sqref="AC37:AC40">
    <cfRule type="cellIs" dxfId="334" priority="197" operator="equal">
      <formula>"SA"</formula>
    </cfRule>
    <cfRule type="cellIs" dxfId="333" priority="198" operator="equal">
      <formula>"SA"</formula>
    </cfRule>
    <cfRule type="cellIs" dxfId="332" priority="201" operator="equal">
      <formula>"A"</formula>
    </cfRule>
  </conditionalFormatting>
  <conditionalFormatting sqref="AC42:AC49">
    <cfRule type="colorScale" priority="196">
      <colorScale>
        <cfvo type="min"/>
        <cfvo type="max"/>
        <color rgb="FFFF3399"/>
        <color theme="8" tint="0.79998168889431442"/>
      </colorScale>
    </cfRule>
  </conditionalFormatting>
  <conditionalFormatting sqref="AC21:AC28">
    <cfRule type="colorScale" priority="195">
      <colorScale>
        <cfvo type="min"/>
        <cfvo type="max"/>
        <color rgb="FFFF3399"/>
        <color theme="8" tint="0.79998168889431442"/>
      </colorScale>
    </cfRule>
  </conditionalFormatting>
  <conditionalFormatting sqref="AK21:AK32">
    <cfRule type="cellIs" dxfId="331" priority="194" operator="greaterThan">
      <formula>1</formula>
    </cfRule>
  </conditionalFormatting>
  <conditionalFormatting sqref="AL23:AO32 AL21:AM22">
    <cfRule type="cellIs" dxfId="330" priority="193" operator="greaterThan">
      <formula>1</formula>
    </cfRule>
  </conditionalFormatting>
  <conditionalFormatting sqref="AK42:AK50">
    <cfRule type="cellIs" dxfId="329" priority="192" operator="greaterThan">
      <formula>1</formula>
    </cfRule>
  </conditionalFormatting>
  <conditionalFormatting sqref="AL43:AO50 AL42">
    <cfRule type="cellIs" dxfId="328" priority="191" operator="greaterThan">
      <formula>1</formula>
    </cfRule>
  </conditionalFormatting>
  <conditionalFormatting sqref="AE21:AH29">
    <cfRule type="cellIs" dxfId="327" priority="190" operator="equal">
      <formula>0</formula>
    </cfRule>
  </conditionalFormatting>
  <conditionalFormatting sqref="AE42:AH50">
    <cfRule type="cellIs" dxfId="326" priority="189" operator="equal">
      <formula>0</formula>
    </cfRule>
  </conditionalFormatting>
  <conditionalFormatting sqref="AB14">
    <cfRule type="cellIs" dxfId="325" priority="188" operator="equal">
      <formula>"Active"</formula>
    </cfRule>
  </conditionalFormatting>
  <conditionalFormatting sqref="AC14">
    <cfRule type="cellIs" dxfId="324" priority="187" operator="equal">
      <formula>"Active"</formula>
    </cfRule>
  </conditionalFormatting>
  <conditionalFormatting sqref="AB35">
    <cfRule type="cellIs" dxfId="323" priority="186" operator="equal">
      <formula>"Active"</formula>
    </cfRule>
  </conditionalFormatting>
  <conditionalFormatting sqref="AC35">
    <cfRule type="cellIs" dxfId="322" priority="185" operator="equal">
      <formula>"Active"</formula>
    </cfRule>
  </conditionalFormatting>
  <conditionalFormatting sqref="AS31:BA32">
    <cfRule type="containsText" dxfId="321" priority="179" operator="containsText" text="SA">
      <formula>NOT(ISERROR(SEARCH("SA",AS31)))</formula>
    </cfRule>
    <cfRule type="containsText" dxfId="320" priority="180" operator="containsText" text="A">
      <formula>NOT(ISERROR(SEARCH("A",AS31)))</formula>
    </cfRule>
    <cfRule type="containsText" dxfId="319" priority="181" operator="containsText" text="VG">
      <formula>NOT(ISERROR(SEARCH("VG",AS31)))</formula>
    </cfRule>
    <cfRule type="containsText" dxfId="318" priority="182" operator="containsText" text="G">
      <formula>NOT(ISERROR(SEARCH("G",AS31)))</formula>
    </cfRule>
    <cfRule type="containsText" dxfId="317" priority="183" operator="containsText" text="VG">
      <formula>NOT(ISERROR(SEARCH("VG",AS31)))</formula>
    </cfRule>
    <cfRule type="containsText" dxfId="316" priority="184" operator="containsText" text="E">
      <formula>NOT(ISERROR(SEARCH("E",AS31)))</formula>
    </cfRule>
  </conditionalFormatting>
  <conditionalFormatting sqref="AB37:AB40">
    <cfRule type="cellIs" dxfId="315" priority="177" operator="equal">
      <formula>"SA"</formula>
    </cfRule>
    <cfRule type="cellIs" dxfId="314" priority="178" operator="equal">
      <formula>"A"</formula>
    </cfRule>
  </conditionalFormatting>
  <conditionalFormatting sqref="BF29">
    <cfRule type="cellIs" dxfId="313" priority="173" operator="equal">
      <formula>"SA"</formula>
    </cfRule>
    <cfRule type="cellIs" dxfId="312" priority="174" operator="equal">
      <formula>"A"</formula>
    </cfRule>
    <cfRule type="cellIs" dxfId="311" priority="175" operator="equal">
      <formula>"E"</formula>
    </cfRule>
    <cfRule type="cellIs" dxfId="310" priority="176" operator="equal">
      <formula>"G"</formula>
    </cfRule>
  </conditionalFormatting>
  <conditionalFormatting sqref="BF30:BF37">
    <cfRule type="cellIs" dxfId="309" priority="169" operator="equal">
      <formula>"SA"</formula>
    </cfRule>
    <cfRule type="cellIs" dxfId="308" priority="170" operator="equal">
      <formula>"A"</formula>
    </cfRule>
    <cfRule type="cellIs" dxfId="307" priority="171" operator="equal">
      <formula>"E"</formula>
    </cfRule>
    <cfRule type="cellIs" dxfId="306" priority="172" operator="equal">
      <formula>"G"</formula>
    </cfRule>
  </conditionalFormatting>
  <conditionalFormatting sqref="BG29">
    <cfRule type="cellIs" dxfId="305" priority="165" operator="equal">
      <formula>"SA"</formula>
    </cfRule>
    <cfRule type="cellIs" dxfId="304" priority="166" operator="equal">
      <formula>"A"</formula>
    </cfRule>
    <cfRule type="cellIs" dxfId="303" priority="167" operator="equal">
      <formula>"E"</formula>
    </cfRule>
    <cfRule type="cellIs" dxfId="302" priority="168" operator="equal">
      <formula>"G"</formula>
    </cfRule>
  </conditionalFormatting>
  <conditionalFormatting sqref="BG30:BG37">
    <cfRule type="cellIs" dxfId="301" priority="161" operator="equal">
      <formula>"SA"</formula>
    </cfRule>
    <cfRule type="cellIs" dxfId="300" priority="162" operator="equal">
      <formula>"A"</formula>
    </cfRule>
    <cfRule type="cellIs" dxfId="299" priority="163" operator="equal">
      <formula>"E"</formula>
    </cfRule>
    <cfRule type="cellIs" dxfId="298" priority="164" operator="equal">
      <formula>"G"</formula>
    </cfRule>
  </conditionalFormatting>
  <conditionalFormatting sqref="X41">
    <cfRule type="cellIs" dxfId="297" priority="156" operator="equal">
      <formula>"√"</formula>
    </cfRule>
    <cfRule type="cellIs" dxfId="296" priority="157" operator="equal">
      <formula>"*"</formula>
    </cfRule>
    <cfRule type="cellIs" dxfId="295" priority="158" operator="equal">
      <formula>"X"</formula>
    </cfRule>
  </conditionalFormatting>
  <conditionalFormatting sqref="X36">
    <cfRule type="cellIs" dxfId="294" priority="153" operator="equal">
      <formula>"√"</formula>
    </cfRule>
    <cfRule type="cellIs" dxfId="293" priority="154" operator="equal">
      <formula>"*"</formula>
    </cfRule>
    <cfRule type="cellIs" dxfId="292" priority="155" operator="equal">
      <formula>"X"</formula>
    </cfRule>
  </conditionalFormatting>
  <conditionalFormatting sqref="X15">
    <cfRule type="cellIs" dxfId="291" priority="150" operator="equal">
      <formula>"√"</formula>
    </cfRule>
    <cfRule type="cellIs" dxfId="290" priority="151" operator="equal">
      <formula>"*"</formula>
    </cfRule>
    <cfRule type="cellIs" dxfId="289" priority="152" operator="equal">
      <formula>"X"</formula>
    </cfRule>
  </conditionalFormatting>
  <conditionalFormatting sqref="X20">
    <cfRule type="cellIs" dxfId="288" priority="147" operator="equal">
      <formula>"√"</formula>
    </cfRule>
    <cfRule type="cellIs" dxfId="287" priority="148" operator="equal">
      <formula>"*"</formula>
    </cfRule>
    <cfRule type="cellIs" dxfId="286" priority="149" operator="equal">
      <formula>"X"</formula>
    </cfRule>
  </conditionalFormatting>
  <conditionalFormatting sqref="P2">
    <cfRule type="cellIs" dxfId="285" priority="143" operator="equal">
      <formula>"SA"</formula>
    </cfRule>
    <cfRule type="cellIs" dxfId="284" priority="144" operator="equal">
      <formula>"A"</formula>
    </cfRule>
    <cfRule type="cellIs" dxfId="283" priority="145" operator="equal">
      <formula>"E"</formula>
    </cfRule>
    <cfRule type="cellIs" dxfId="282" priority="146" operator="equal">
      <formula>"G"</formula>
    </cfRule>
  </conditionalFormatting>
  <conditionalFormatting sqref="Q2:X2">
    <cfRule type="cellIs" dxfId="281" priority="139" operator="equal">
      <formula>"SA"</formula>
    </cfRule>
    <cfRule type="cellIs" dxfId="280" priority="140" operator="equal">
      <formula>"A"</formula>
    </cfRule>
    <cfRule type="cellIs" dxfId="279" priority="141" operator="equal">
      <formula>"E"</formula>
    </cfRule>
    <cfRule type="cellIs" dxfId="278" priority="142" operator="equal">
      <formula>"G"</formula>
    </cfRule>
  </conditionalFormatting>
  <conditionalFormatting sqref="P3">
    <cfRule type="cellIs" dxfId="277" priority="135" operator="equal">
      <formula>"SA"</formula>
    </cfRule>
    <cfRule type="cellIs" dxfId="276" priority="136" operator="equal">
      <formula>"A"</formula>
    </cfRule>
    <cfRule type="cellIs" dxfId="275" priority="137" operator="equal">
      <formula>"E"</formula>
    </cfRule>
    <cfRule type="cellIs" dxfId="274" priority="138" operator="equal">
      <formula>"G"</formula>
    </cfRule>
  </conditionalFormatting>
  <conditionalFormatting sqref="Q3:X3">
    <cfRule type="cellIs" dxfId="273" priority="131" operator="equal">
      <formula>"SA"</formula>
    </cfRule>
    <cfRule type="cellIs" dxfId="272" priority="132" operator="equal">
      <formula>"A"</formula>
    </cfRule>
    <cfRule type="cellIs" dxfId="271" priority="133" operator="equal">
      <formula>"E"</formula>
    </cfRule>
    <cfRule type="cellIs" dxfId="270" priority="134" operator="equal">
      <formula>"G"</formula>
    </cfRule>
  </conditionalFormatting>
  <conditionalFormatting sqref="AE30:AH32">
    <cfRule type="cellIs" dxfId="269" priority="128" operator="greaterThan">
      <formula>1</formula>
    </cfRule>
  </conditionalFormatting>
  <conditionalFormatting sqref="J23">
    <cfRule type="cellIs" dxfId="268" priority="124" operator="equal">
      <formula>"SA"</formula>
    </cfRule>
    <cfRule type="cellIs" dxfId="267" priority="125" operator="equal">
      <formula>"A"</formula>
    </cfRule>
    <cfRule type="cellIs" dxfId="266" priority="126" operator="equal">
      <formula>"E"</formula>
    </cfRule>
    <cfRule type="cellIs" dxfId="265" priority="127" operator="equal">
      <formula>"G"</formula>
    </cfRule>
  </conditionalFormatting>
  <conditionalFormatting sqref="K23">
    <cfRule type="cellIs" dxfId="264" priority="90" operator="equal">
      <formula>"SA"</formula>
    </cfRule>
    <cfRule type="cellIs" dxfId="263" priority="91" operator="equal">
      <formula>"A"</formula>
    </cfRule>
    <cfRule type="cellIs" dxfId="262" priority="92" operator="equal">
      <formula>"E"</formula>
    </cfRule>
    <cfRule type="cellIs" dxfId="261" priority="93" operator="equal">
      <formula>"G"</formula>
    </cfRule>
  </conditionalFormatting>
  <conditionalFormatting sqref="L23">
    <cfRule type="cellIs" dxfId="260" priority="76" operator="equal">
      <formula>"SA"</formula>
    </cfRule>
    <cfRule type="cellIs" dxfId="259" priority="77" operator="equal">
      <formula>"A"</formula>
    </cfRule>
    <cfRule type="cellIs" dxfId="258" priority="78" operator="equal">
      <formula>"E"</formula>
    </cfRule>
    <cfRule type="cellIs" dxfId="257" priority="79" operator="equal">
      <formula>"G"</formula>
    </cfRule>
  </conditionalFormatting>
  <conditionalFormatting sqref="J23:K23">
    <cfRule type="cellIs" dxfId="256" priority="85" operator="equal">
      <formula>"VG"</formula>
    </cfRule>
  </conditionalFormatting>
  <conditionalFormatting sqref="O2:X3">
    <cfRule type="cellIs" dxfId="255" priority="84" operator="equal">
      <formula>"VG"</formula>
    </cfRule>
  </conditionalFormatting>
  <conditionalFormatting sqref="M23">
    <cfRule type="cellIs" dxfId="254" priority="66" operator="equal">
      <formula>"SA"</formula>
    </cfRule>
    <cfRule type="cellIs" dxfId="253" priority="67" operator="equal">
      <formula>"A"</formula>
    </cfRule>
    <cfRule type="cellIs" dxfId="252" priority="68" operator="equal">
      <formula>"E"</formula>
    </cfRule>
    <cfRule type="cellIs" dxfId="251" priority="69" operator="equal">
      <formula>"G"</formula>
    </cfRule>
  </conditionalFormatting>
  <conditionalFormatting sqref="L23:M23">
    <cfRule type="cellIs" dxfId="250" priority="61" operator="equal">
      <formula>"VG"</formula>
    </cfRule>
  </conditionalFormatting>
  <conditionalFormatting sqref="J24:J32">
    <cfRule type="cellIs" dxfId="249" priority="21" operator="equal">
      <formula>"SA"</formula>
    </cfRule>
    <cfRule type="cellIs" dxfId="248" priority="22" operator="equal">
      <formula>"A"</formula>
    </cfRule>
    <cfRule type="cellIs" dxfId="247" priority="23" operator="equal">
      <formula>"E"</formula>
    </cfRule>
    <cfRule type="cellIs" dxfId="246" priority="24" operator="equal">
      <formula>"G"</formula>
    </cfRule>
  </conditionalFormatting>
  <conditionalFormatting sqref="K24:K32">
    <cfRule type="cellIs" dxfId="245" priority="17" operator="equal">
      <formula>"SA"</formula>
    </cfRule>
    <cfRule type="cellIs" dxfId="244" priority="18" operator="equal">
      <formula>"A"</formula>
    </cfRule>
    <cfRule type="cellIs" dxfId="243" priority="19" operator="equal">
      <formula>"E"</formula>
    </cfRule>
    <cfRule type="cellIs" dxfId="242" priority="20" operator="equal">
      <formula>"G"</formula>
    </cfRule>
  </conditionalFormatting>
  <conditionalFormatting sqref="L24:L32">
    <cfRule type="cellIs" dxfId="241" priority="12" operator="equal">
      <formula>"SA"</formula>
    </cfRule>
    <cfRule type="cellIs" dxfId="240" priority="13" operator="equal">
      <formula>"A"</formula>
    </cfRule>
    <cfRule type="cellIs" dxfId="239" priority="14" operator="equal">
      <formula>"E"</formula>
    </cfRule>
    <cfRule type="cellIs" dxfId="238" priority="15" operator="equal">
      <formula>"G"</formula>
    </cfRule>
  </conditionalFormatting>
  <conditionalFormatting sqref="J24:K32">
    <cfRule type="cellIs" dxfId="237" priority="16" operator="equal">
      <formula>"VG"</formula>
    </cfRule>
  </conditionalFormatting>
  <conditionalFormatting sqref="M24:M32">
    <cfRule type="cellIs" dxfId="236" priority="8" operator="equal">
      <formula>"SA"</formula>
    </cfRule>
    <cfRule type="cellIs" dxfId="235" priority="9" operator="equal">
      <formula>"A"</formula>
    </cfRule>
    <cfRule type="cellIs" dxfId="234" priority="10" operator="equal">
      <formula>"E"</formula>
    </cfRule>
    <cfRule type="cellIs" dxfId="233" priority="11" operator="equal">
      <formula>"G"</formula>
    </cfRule>
  </conditionalFormatting>
  <conditionalFormatting sqref="L24:M32">
    <cfRule type="cellIs" dxfId="232" priority="7" operator="equal">
      <formula>"VG"</formula>
    </cfRule>
  </conditionalFormatting>
  <conditionalFormatting sqref="BF28 O2 J21 L21">
    <cfRule type="expression" dxfId="231" priority="205">
      <formula>$D$10&lt;35</formula>
    </cfRule>
  </conditionalFormatting>
  <conditionalFormatting sqref="BG28 O3 K21 M21">
    <cfRule type="expression" dxfId="230" priority="206">
      <formula>$D$10&gt;=35</formula>
    </cfRule>
  </conditionalFormatting>
  <conditionalFormatting sqref="AS22:BA30">
    <cfRule type="containsText" dxfId="229" priority="1" operator="containsText" text="SA">
      <formula>NOT(ISERROR(SEARCH("SA",AS22)))</formula>
    </cfRule>
    <cfRule type="containsText" dxfId="228" priority="2" operator="containsText" text="A">
      <formula>NOT(ISERROR(SEARCH("A",AS22)))</formula>
    </cfRule>
    <cfRule type="containsText" dxfId="227" priority="3" operator="containsText" text="VG">
      <formula>NOT(ISERROR(SEARCH("VG",AS22)))</formula>
    </cfRule>
    <cfRule type="containsText" dxfId="226" priority="4" operator="containsText" text="G">
      <formula>NOT(ISERROR(SEARCH("G",AS22)))</formula>
    </cfRule>
    <cfRule type="containsText" dxfId="225" priority="5" operator="containsText" text="VG">
      <formula>NOT(ISERROR(SEARCH("VG",AS22)))</formula>
    </cfRule>
    <cfRule type="containsText" dxfId="224" priority="6" operator="containsText" text="E">
      <formula>NOT(ISERROR(SEARCH("E",AS22)))</formula>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FF"/>
  </sheetPr>
  <dimension ref="A1:HT380"/>
  <sheetViews>
    <sheetView tabSelected="1" workbookViewId="0">
      <selection activeCell="W1" sqref="W1"/>
    </sheetView>
  </sheetViews>
  <sheetFormatPr defaultColWidth="9.21875" defaultRowHeight="14.4" x14ac:dyDescent="0.3"/>
  <cols>
    <col min="1" max="1" width="16.5546875" style="13" bestFit="1" customWidth="1"/>
    <col min="2" max="2" width="15.109375" style="13" customWidth="1"/>
    <col min="3" max="3" width="7.21875" style="13" customWidth="1"/>
    <col min="4" max="4" width="11.21875" style="216" customWidth="1"/>
    <col min="5" max="5" width="9.88671875" style="43" customWidth="1"/>
    <col min="6" max="6" width="7.44140625" style="13" customWidth="1"/>
    <col min="7" max="7" width="15.109375" style="13" customWidth="1"/>
    <col min="8" max="8" width="4" style="13" customWidth="1"/>
    <col min="9" max="9" width="5" style="13" bestFit="1" customWidth="1"/>
    <col min="10" max="10" width="7.77734375" style="13" bestFit="1" customWidth="1"/>
    <col min="11" max="11" width="8.109375" style="13" bestFit="1" customWidth="1"/>
    <col min="12" max="12" width="3.5546875" style="13" customWidth="1"/>
    <col min="13" max="13" width="8.21875" style="13" customWidth="1"/>
    <col min="14" max="14" width="7.77734375" style="13" customWidth="1"/>
    <col min="15" max="15" width="2.21875" style="13" customWidth="1"/>
    <col min="16" max="16" width="5.77734375" style="216" customWidth="1"/>
    <col min="17" max="17" width="6.44140625" style="13" bestFit="1" customWidth="1"/>
    <col min="18" max="18" width="4.44140625" style="13" customWidth="1"/>
    <col min="19" max="19" width="5" style="13" bestFit="1" customWidth="1"/>
    <col min="20" max="20" width="2.77734375" style="13" customWidth="1"/>
    <col min="21" max="21" width="3.77734375" style="13" customWidth="1"/>
    <col min="22" max="22" width="4.77734375" style="13" customWidth="1"/>
    <col min="23" max="23" width="4.44140625" style="13" bestFit="1" customWidth="1"/>
    <col min="24" max="24" width="5.77734375" style="13" bestFit="1" customWidth="1"/>
    <col min="25" max="25" width="4" style="13" customWidth="1"/>
    <col min="26" max="26" width="5.21875" style="13" bestFit="1" customWidth="1"/>
    <col min="27" max="27" width="3.77734375" style="13" customWidth="1"/>
    <col min="28" max="28" width="4.77734375" style="13" customWidth="1"/>
    <col min="29" max="29" width="5.5546875" style="13" customWidth="1"/>
    <col min="30" max="30" width="5.21875" style="13" customWidth="1"/>
    <col min="31" max="31" width="5.5546875" style="13" customWidth="1"/>
    <col min="32" max="32" width="5.21875" style="13" bestFit="1" customWidth="1"/>
    <col min="33" max="33" width="3.44140625" style="13" customWidth="1"/>
    <col min="34" max="34" width="5.21875" style="13" customWidth="1"/>
    <col min="35" max="36" width="6.21875" style="13" customWidth="1"/>
    <col min="37" max="37" width="6" style="13" customWidth="1"/>
    <col min="38" max="38" width="4.5546875" style="13" customWidth="1"/>
    <col min="39" max="39" width="5.21875" style="13" customWidth="1"/>
    <col min="40" max="40" width="4.77734375" style="13" customWidth="1"/>
    <col min="41" max="42" width="5.21875" style="13" customWidth="1"/>
    <col min="43" max="44" width="5.5546875" style="13" customWidth="1"/>
    <col min="45" max="45" width="2.77734375" style="13" customWidth="1"/>
    <col min="46" max="46" width="9.21875" style="13"/>
    <col min="47" max="47" width="14.77734375" style="13" bestFit="1" customWidth="1"/>
    <col min="48" max="182" width="9.21875" style="13"/>
    <col min="183" max="183" width="9.21875" style="14"/>
    <col min="184" max="187" width="5.21875" style="14" customWidth="1"/>
    <col min="188" max="188" width="2.77734375" style="14" customWidth="1"/>
    <col min="189" max="190" width="2.44140625" style="14" bestFit="1" customWidth="1"/>
    <col min="191" max="191" width="3.5546875" style="14" bestFit="1" customWidth="1"/>
    <col min="192" max="192" width="2.21875" style="14" bestFit="1" customWidth="1"/>
    <col min="193" max="193" width="2.77734375" style="14" bestFit="1" customWidth="1"/>
    <col min="194" max="194" width="3.5546875" style="14" bestFit="1" customWidth="1"/>
    <col min="195" max="195" width="2.77734375" style="14" bestFit="1" customWidth="1"/>
    <col min="196" max="198" width="3.5546875" style="14" bestFit="1" customWidth="1"/>
    <col min="199" max="199" width="2.77734375" style="14" customWidth="1"/>
    <col min="200" max="200" width="9.21875" style="15" bestFit="1" customWidth="1"/>
    <col min="201" max="201" width="8.21875" style="15" bestFit="1" customWidth="1"/>
    <col min="202" max="202" width="2" style="14" customWidth="1"/>
    <col min="203" max="203" width="9.21875" style="14"/>
    <col min="204" max="204" width="10.5546875" style="68" customWidth="1"/>
    <col min="205" max="205" width="2.5546875" style="14" customWidth="1"/>
    <col min="206" max="206" width="9.5546875" style="14" bestFit="1" customWidth="1"/>
    <col min="207" max="207" width="7.5546875" style="14" customWidth="1"/>
    <col min="208" max="208" width="2.44140625" style="14" bestFit="1" customWidth="1"/>
    <col min="209" max="209" width="2.21875" style="14" customWidth="1"/>
    <col min="210" max="210" width="2.44140625" style="14" bestFit="1" customWidth="1"/>
    <col min="211" max="212" width="2.21875" style="14" customWidth="1"/>
    <col min="213" max="213" width="2.77734375" style="14" customWidth="1"/>
    <col min="214" max="214" width="9.21875" style="14"/>
    <col min="215" max="216" width="8.21875" style="14" bestFit="1" customWidth="1"/>
    <col min="217" max="217" width="11.77734375" style="14" bestFit="1" customWidth="1"/>
    <col min="218" max="218" width="9.21875" style="14"/>
    <col min="219" max="219" width="17.77734375" style="14" bestFit="1" customWidth="1"/>
    <col min="220" max="225" width="9.21875" style="14"/>
    <col min="226" max="16384" width="9.21875" style="13"/>
  </cols>
  <sheetData>
    <row r="1" spans="1:219" x14ac:dyDescent="0.3">
      <c r="A1" s="203"/>
      <c r="B1" s="54" t="s">
        <v>264</v>
      </c>
      <c r="C1" s="362" t="s">
        <v>29</v>
      </c>
      <c r="D1" s="362" t="s">
        <v>29</v>
      </c>
      <c r="E1" s="362"/>
      <c r="F1" s="362" t="s">
        <v>47</v>
      </c>
      <c r="G1" s="362" t="s">
        <v>47</v>
      </c>
      <c r="H1" s="362"/>
      <c r="I1" s="362" t="s">
        <v>48</v>
      </c>
      <c r="J1" s="362" t="s">
        <v>48</v>
      </c>
      <c r="K1" s="362" t="s">
        <v>48</v>
      </c>
      <c r="L1" s="363" t="s">
        <v>48</v>
      </c>
      <c r="M1" s="23"/>
      <c r="O1" s="45"/>
      <c r="P1" s="405"/>
      <c r="Q1" s="406" t="s">
        <v>18</v>
      </c>
      <c r="R1" s="406" t="s">
        <v>25</v>
      </c>
      <c r="S1" s="240"/>
      <c r="T1" s="239"/>
      <c r="U1" s="239"/>
      <c r="V1" s="239"/>
      <c r="W1" s="239"/>
      <c r="X1" s="239"/>
      <c r="Y1" s="239"/>
      <c r="AG1" s="45"/>
      <c r="AH1" s="591" t="s">
        <v>0</v>
      </c>
      <c r="AI1" s="591"/>
      <c r="AJ1" s="591"/>
      <c r="AK1" s="591"/>
      <c r="AL1" s="591"/>
      <c r="AM1" s="591"/>
      <c r="AN1" s="591"/>
      <c r="AO1" s="591"/>
      <c r="AP1" s="591"/>
      <c r="AQ1" s="591"/>
      <c r="AR1" s="171"/>
    </row>
    <row r="2" spans="1:219" ht="15" thickBot="1" x14ac:dyDescent="0.35">
      <c r="A2" s="44" t="s">
        <v>108</v>
      </c>
      <c r="B2" s="120">
        <v>28884</v>
      </c>
      <c r="C2" s="35" t="str">
        <f>MID(A4,1,1)</f>
        <v>2</v>
      </c>
      <c r="D2" s="35" t="str">
        <f>MID(A4,2,1)</f>
        <v>9</v>
      </c>
      <c r="E2" s="35"/>
      <c r="F2" s="35" t="str">
        <f>MID(A4,4,1)</f>
        <v>0</v>
      </c>
      <c r="G2" s="35" t="str">
        <f>MID(A4,5,1)</f>
        <v>1</v>
      </c>
      <c r="H2" s="35"/>
      <c r="I2" s="35" t="str">
        <f>MID(A4,7,1)</f>
        <v>1</v>
      </c>
      <c r="J2" s="35" t="str">
        <f>MID(A4,8,1)</f>
        <v>9</v>
      </c>
      <c r="K2" s="35" t="str">
        <f>MID(A4,9,1)</f>
        <v>7</v>
      </c>
      <c r="L2" s="79" t="str">
        <f>MID(A4,10,1)</f>
        <v>9</v>
      </c>
      <c r="M2" s="17"/>
      <c r="O2" s="45"/>
      <c r="P2" s="405"/>
      <c r="Q2" s="111">
        <f>C6</f>
        <v>2</v>
      </c>
      <c r="R2" s="111">
        <f ca="1">C7</f>
        <v>2</v>
      </c>
      <c r="S2" s="251"/>
      <c r="T2" s="252"/>
      <c r="U2" s="252"/>
      <c r="V2" s="252"/>
      <c r="W2" s="252"/>
      <c r="X2" s="252"/>
      <c r="Y2" s="252"/>
      <c r="AG2" s="45"/>
      <c r="AH2" s="107"/>
      <c r="AI2" s="116">
        <v>1</v>
      </c>
      <c r="AJ2" s="116">
        <v>2</v>
      </c>
      <c r="AK2" s="116">
        <v>3</v>
      </c>
      <c r="AL2" s="116">
        <v>4</v>
      </c>
      <c r="AM2" s="116">
        <v>5</v>
      </c>
      <c r="AN2" s="116">
        <v>6</v>
      </c>
      <c r="AO2" s="116">
        <v>7</v>
      </c>
      <c r="AP2" s="116">
        <v>8</v>
      </c>
      <c r="AQ2" s="116">
        <v>9</v>
      </c>
      <c r="AR2" s="45"/>
    </row>
    <row r="3" spans="1:219" x14ac:dyDescent="0.3">
      <c r="A3" s="213" t="str">
        <f>TEXT(B2,("DD-MMM"))</f>
        <v>29-Jan</v>
      </c>
      <c r="C3" s="216"/>
      <c r="E3" s="216"/>
      <c r="F3" s="216"/>
      <c r="G3" s="216"/>
      <c r="H3" s="216"/>
      <c r="I3" s="364" t="str">
        <f>I2&amp;J2&amp;K2&amp;L2</f>
        <v>1979</v>
      </c>
      <c r="J3" s="364"/>
      <c r="K3" s="364"/>
      <c r="L3" s="365">
        <f ca="1">SUMPRODUCT(1*MID(I3,ROW(INDIRECT("1:"&amp;LEN(I3))),1))</f>
        <v>26</v>
      </c>
      <c r="M3" s="171"/>
      <c r="N3" s="171"/>
      <c r="O3" s="171"/>
      <c r="P3" s="405">
        <v>1</v>
      </c>
      <c r="Q3" s="111" t="str">
        <f t="shared" ref="Q3:Q11" si="0">INDEX($AH$2:$AQ$11,MATCH(P3,$AH$2:$AQ$2,0),MATCH($Q$2,$AH$2:$AH$11,0))</f>
        <v>G</v>
      </c>
      <c r="R3" s="111" t="str">
        <f t="shared" ref="R3:R11" ca="1" si="1">INDEX($AH$2:$AQ$11,MATCH(P3,$AH$2:$AQ$2,0),MATCH($R$2,$AH$2:$AH$11,0))</f>
        <v>G</v>
      </c>
      <c r="S3" s="307"/>
      <c r="T3" s="314">
        <v>1</v>
      </c>
      <c r="U3" s="310">
        <v>10</v>
      </c>
      <c r="V3" s="256">
        <v>19</v>
      </c>
      <c r="W3" s="254">
        <v>28</v>
      </c>
      <c r="X3" s="255">
        <v>37</v>
      </c>
      <c r="Y3" s="257">
        <v>46</v>
      </c>
      <c r="AA3" s="278">
        <v>1</v>
      </c>
      <c r="AB3" s="274" t="s">
        <v>14</v>
      </c>
      <c r="AC3" s="269" t="s">
        <v>43</v>
      </c>
      <c r="AD3" s="270" t="s">
        <v>46</v>
      </c>
      <c r="AE3" s="270" t="s">
        <v>63</v>
      </c>
      <c r="AF3" s="271" t="s">
        <v>48</v>
      </c>
      <c r="AG3" s="171"/>
      <c r="AH3" s="116">
        <v>1</v>
      </c>
      <c r="AI3" s="113" t="s">
        <v>19</v>
      </c>
      <c r="AJ3" s="113" t="s">
        <v>20</v>
      </c>
      <c r="AK3" s="113" t="s">
        <v>20</v>
      </c>
      <c r="AL3" s="113" t="s">
        <v>21</v>
      </c>
      <c r="AM3" s="113" t="s">
        <v>20</v>
      </c>
      <c r="AN3" s="113" t="s">
        <v>21</v>
      </c>
      <c r="AO3" s="113" t="s">
        <v>20</v>
      </c>
      <c r="AP3" s="113" t="s">
        <v>21</v>
      </c>
      <c r="AQ3" s="113" t="s">
        <v>14</v>
      </c>
      <c r="AR3" s="171"/>
    </row>
    <row r="4" spans="1:219" ht="15" thickBot="1" x14ac:dyDescent="0.35">
      <c r="A4" s="213" t="str">
        <f>TEXT(B2,"DD-MM-YYYY")</f>
        <v>29-01-1979</v>
      </c>
      <c r="B4" s="199" t="s">
        <v>127</v>
      </c>
      <c r="C4" s="605" t="s">
        <v>18</v>
      </c>
      <c r="D4" s="605"/>
      <c r="E4" s="35"/>
      <c r="F4" s="605" t="s">
        <v>54</v>
      </c>
      <c r="G4" s="605"/>
      <c r="H4" s="35"/>
      <c r="I4" s="605" t="s">
        <v>55</v>
      </c>
      <c r="J4" s="605"/>
      <c r="K4" s="605"/>
      <c r="L4" s="606"/>
      <c r="M4" s="23"/>
      <c r="N4" s="199" t="s">
        <v>111</v>
      </c>
      <c r="O4" s="23"/>
      <c r="P4" s="405">
        <v>2</v>
      </c>
      <c r="Q4" s="111" t="str">
        <f t="shared" si="0"/>
        <v>E</v>
      </c>
      <c r="R4" s="111" t="str">
        <f t="shared" ca="1" si="1"/>
        <v>E</v>
      </c>
      <c r="S4" s="307"/>
      <c r="T4" s="315">
        <v>2</v>
      </c>
      <c r="U4" s="311">
        <v>11</v>
      </c>
      <c r="V4" s="113">
        <v>20</v>
      </c>
      <c r="W4" s="110">
        <v>29</v>
      </c>
      <c r="X4" s="112">
        <v>38</v>
      </c>
      <c r="Y4" s="258">
        <v>47</v>
      </c>
      <c r="AA4" s="279">
        <v>2</v>
      </c>
      <c r="AB4" s="275" t="s">
        <v>22</v>
      </c>
      <c r="AC4" s="113" t="s">
        <v>50</v>
      </c>
      <c r="AD4" s="113" t="s">
        <v>59</v>
      </c>
      <c r="AE4" s="113"/>
      <c r="AF4" s="272"/>
      <c r="AG4" s="23"/>
      <c r="AH4" s="116">
        <v>2</v>
      </c>
      <c r="AI4" s="113" t="s">
        <v>20</v>
      </c>
      <c r="AJ4" s="113" t="s">
        <v>19</v>
      </c>
      <c r="AK4" s="113" t="s">
        <v>20</v>
      </c>
      <c r="AL4" s="113" t="s">
        <v>20</v>
      </c>
      <c r="AM4" s="113" t="s">
        <v>21</v>
      </c>
      <c r="AN4" s="113" t="s">
        <v>20</v>
      </c>
      <c r="AO4" s="113" t="s">
        <v>26</v>
      </c>
      <c r="AP4" s="113" t="s">
        <v>14</v>
      </c>
      <c r="AQ4" s="113" t="s">
        <v>14</v>
      </c>
      <c r="AR4" s="23"/>
    </row>
    <row r="5" spans="1:219" ht="15" thickBot="1" x14ac:dyDescent="0.35">
      <c r="A5" s="44"/>
      <c r="B5" s="47" t="str">
        <f>VLOOKUP(A3,HH:HK,4,0)</f>
        <v>Aquarius - Air</v>
      </c>
      <c r="C5" s="607">
        <f>C2+D2</f>
        <v>11</v>
      </c>
      <c r="D5" s="607"/>
      <c r="E5" s="35"/>
      <c r="F5" s="608">
        <f>F2+G2</f>
        <v>1</v>
      </c>
      <c r="G5" s="608"/>
      <c r="H5" s="35"/>
      <c r="I5" s="608">
        <f ca="1">SUMPRODUCT(1*MID(L3,ROW(INDIRECT("1:"&amp;LEN(L3))),1))</f>
        <v>8</v>
      </c>
      <c r="J5" s="608"/>
      <c r="K5" s="608"/>
      <c r="L5" s="609"/>
      <c r="M5" s="23"/>
      <c r="N5" s="45">
        <f ca="1">(TODAY()-B2)/365</f>
        <v>46.471232876712328</v>
      </c>
      <c r="O5" s="23"/>
      <c r="P5" s="405">
        <v>3</v>
      </c>
      <c r="Q5" s="111" t="str">
        <f t="shared" si="0"/>
        <v>G</v>
      </c>
      <c r="R5" s="111" t="str">
        <f t="shared" ca="1" si="1"/>
        <v>G</v>
      </c>
      <c r="S5" s="308"/>
      <c r="T5" s="315">
        <v>3</v>
      </c>
      <c r="U5" s="312">
        <v>12</v>
      </c>
      <c r="V5" s="114">
        <v>21</v>
      </c>
      <c r="W5" s="114">
        <v>30</v>
      </c>
      <c r="X5" s="112">
        <v>39</v>
      </c>
      <c r="Y5" s="259">
        <v>48</v>
      </c>
      <c r="AA5" s="279">
        <v>3</v>
      </c>
      <c r="AB5" s="275" t="s">
        <v>27</v>
      </c>
      <c r="AC5" s="113" t="s">
        <v>20</v>
      </c>
      <c r="AD5" s="113" t="s">
        <v>53</v>
      </c>
      <c r="AE5" s="113" t="s">
        <v>64</v>
      </c>
      <c r="AF5" s="272"/>
      <c r="AG5" s="23"/>
      <c r="AH5" s="116">
        <v>3</v>
      </c>
      <c r="AI5" s="113" t="s">
        <v>20</v>
      </c>
      <c r="AJ5" s="113" t="s">
        <v>20</v>
      </c>
      <c r="AK5" s="113" t="s">
        <v>19</v>
      </c>
      <c r="AL5" s="113" t="s">
        <v>14</v>
      </c>
      <c r="AM5" s="113" t="s">
        <v>20</v>
      </c>
      <c r="AN5" s="113" t="s">
        <v>14</v>
      </c>
      <c r="AO5" s="113" t="s">
        <v>20</v>
      </c>
      <c r="AP5" s="113" t="s">
        <v>20</v>
      </c>
      <c r="AQ5" s="113" t="s">
        <v>20</v>
      </c>
      <c r="AR5" s="23"/>
    </row>
    <row r="6" spans="1:219" x14ac:dyDescent="0.3">
      <c r="A6" s="44"/>
      <c r="B6" s="199" t="s">
        <v>18</v>
      </c>
      <c r="C6" s="48">
        <f>IF(LEN(C5)&gt;1,LEFT(C5,1)+RIGHT(C5,1),C5)</f>
        <v>2</v>
      </c>
      <c r="D6" s="35"/>
      <c r="E6" s="23"/>
      <c r="F6" s="48">
        <f>IF(LEN(F5)&gt;1,LEFT(F5,1)+RIGHT(F5,1),F5)</f>
        <v>1</v>
      </c>
      <c r="G6" s="23"/>
      <c r="H6" s="23"/>
      <c r="I6" s="48">
        <f ca="1">SUMPRODUCT(1*MID(I5,ROW(INDIRECT("1:"&amp;LEN(I5))),1))</f>
        <v>8</v>
      </c>
      <c r="J6" s="23"/>
      <c r="K6" s="23"/>
      <c r="L6" s="31"/>
      <c r="M6" s="23"/>
      <c r="N6" s="23"/>
      <c r="O6" s="23"/>
      <c r="P6" s="405">
        <v>4</v>
      </c>
      <c r="Q6" s="111" t="str">
        <f t="shared" si="0"/>
        <v>G</v>
      </c>
      <c r="R6" s="111" t="str">
        <f t="shared" ca="1" si="1"/>
        <v>G</v>
      </c>
      <c r="S6" s="307"/>
      <c r="T6" s="315">
        <v>4</v>
      </c>
      <c r="U6" s="312">
        <v>13</v>
      </c>
      <c r="V6" s="110">
        <v>22</v>
      </c>
      <c r="W6" s="110">
        <v>31</v>
      </c>
      <c r="X6" s="110">
        <v>40</v>
      </c>
      <c r="Y6" s="260">
        <v>49</v>
      </c>
      <c r="AA6" s="279">
        <v>4</v>
      </c>
      <c r="AB6" s="275" t="s">
        <v>29</v>
      </c>
      <c r="AC6" s="113" t="s">
        <v>47</v>
      </c>
      <c r="AD6" s="113" t="s">
        <v>60</v>
      </c>
      <c r="AE6" s="113"/>
      <c r="AF6" s="272"/>
      <c r="AG6" s="23"/>
      <c r="AH6" s="116">
        <v>4</v>
      </c>
      <c r="AI6" s="113" t="s">
        <v>21</v>
      </c>
      <c r="AJ6" s="113" t="s">
        <v>20</v>
      </c>
      <c r="AK6" s="113" t="s">
        <v>14</v>
      </c>
      <c r="AL6" s="113" t="s">
        <v>19</v>
      </c>
      <c r="AM6" s="113" t="s">
        <v>20</v>
      </c>
      <c r="AN6" s="113" t="s">
        <v>20</v>
      </c>
      <c r="AO6" s="113" t="s">
        <v>20</v>
      </c>
      <c r="AP6" s="113" t="s">
        <v>14</v>
      </c>
      <c r="AQ6" s="108" t="s">
        <v>96</v>
      </c>
      <c r="AR6" s="23"/>
    </row>
    <row r="7" spans="1:219" ht="15" thickBot="1" x14ac:dyDescent="0.35">
      <c r="A7" s="179"/>
      <c r="B7" s="366" t="s">
        <v>25</v>
      </c>
      <c r="C7" s="62">
        <f ca="1">MOD((C6+F6+I6)-1,9)+1</f>
        <v>2</v>
      </c>
      <c r="D7" s="90"/>
      <c r="E7" s="38"/>
      <c r="F7" s="38"/>
      <c r="G7" s="38"/>
      <c r="H7" s="38"/>
      <c r="I7" s="38"/>
      <c r="J7" s="38"/>
      <c r="K7" s="38"/>
      <c r="L7" s="39"/>
      <c r="M7" s="23"/>
      <c r="N7" s="23"/>
      <c r="O7" s="23"/>
      <c r="P7" s="405">
        <v>5</v>
      </c>
      <c r="Q7" s="111" t="str">
        <f t="shared" si="0"/>
        <v>F</v>
      </c>
      <c r="R7" s="111" t="str">
        <f t="shared" ca="1" si="1"/>
        <v>F</v>
      </c>
      <c r="S7" s="307"/>
      <c r="T7" s="316">
        <v>5</v>
      </c>
      <c r="U7" s="312">
        <v>14</v>
      </c>
      <c r="V7" s="112">
        <v>23</v>
      </c>
      <c r="W7" s="113">
        <v>32</v>
      </c>
      <c r="X7" s="111">
        <v>41</v>
      </c>
      <c r="Y7" s="258">
        <v>50</v>
      </c>
      <c r="AA7" s="279">
        <v>5</v>
      </c>
      <c r="AB7" s="276" t="s">
        <v>19</v>
      </c>
      <c r="AC7" s="113" t="s">
        <v>41</v>
      </c>
      <c r="AD7" s="113" t="s">
        <v>61</v>
      </c>
      <c r="AE7" s="113" t="s">
        <v>23</v>
      </c>
      <c r="AF7" s="272"/>
      <c r="AG7" s="23"/>
      <c r="AH7" s="116">
        <v>5</v>
      </c>
      <c r="AI7" s="113" t="s">
        <v>20</v>
      </c>
      <c r="AJ7" s="113" t="s">
        <v>21</v>
      </c>
      <c r="AK7" s="113" t="s">
        <v>20</v>
      </c>
      <c r="AL7" s="113" t="s">
        <v>20</v>
      </c>
      <c r="AM7" s="113" t="s">
        <v>19</v>
      </c>
      <c r="AN7" s="113" t="s">
        <v>21</v>
      </c>
      <c r="AO7" s="113" t="s">
        <v>20</v>
      </c>
      <c r="AP7" s="113" t="s">
        <v>26</v>
      </c>
      <c r="AQ7" s="113" t="s">
        <v>21</v>
      </c>
      <c r="AR7" s="23"/>
    </row>
    <row r="8" spans="1:219" ht="15" thickBot="1" x14ac:dyDescent="0.35">
      <c r="A8" s="53"/>
      <c r="B8" s="23"/>
      <c r="C8" s="23"/>
      <c r="D8" s="35"/>
      <c r="E8" s="23"/>
      <c r="F8" s="23"/>
      <c r="G8" s="23"/>
      <c r="H8" s="23"/>
      <c r="I8" s="23"/>
      <c r="J8" s="23"/>
      <c r="K8" s="23"/>
      <c r="L8" s="23"/>
      <c r="M8" s="23"/>
      <c r="N8" s="23"/>
      <c r="O8" s="23"/>
      <c r="P8" s="405">
        <v>6</v>
      </c>
      <c r="Q8" s="111" t="str">
        <f t="shared" si="0"/>
        <v>G</v>
      </c>
      <c r="R8" s="111" t="str">
        <f t="shared" ca="1" si="1"/>
        <v>G</v>
      </c>
      <c r="S8" s="307"/>
      <c r="T8" s="316">
        <v>6</v>
      </c>
      <c r="U8" s="312">
        <v>15</v>
      </c>
      <c r="V8" s="112">
        <v>24</v>
      </c>
      <c r="W8" s="111">
        <v>33</v>
      </c>
      <c r="X8" s="111">
        <v>42</v>
      </c>
      <c r="Y8" s="258">
        <v>51</v>
      </c>
      <c r="Z8" s="52"/>
      <c r="AA8" s="279">
        <v>6</v>
      </c>
      <c r="AB8" s="276" t="s">
        <v>51</v>
      </c>
      <c r="AC8" s="113" t="s">
        <v>56</v>
      </c>
      <c r="AD8" s="113" t="s">
        <v>62</v>
      </c>
      <c r="AE8" s="113"/>
      <c r="AF8" s="272"/>
      <c r="AG8" s="23"/>
      <c r="AH8" s="116">
        <v>6</v>
      </c>
      <c r="AI8" s="113" t="s">
        <v>21</v>
      </c>
      <c r="AJ8" s="113" t="s">
        <v>20</v>
      </c>
      <c r="AK8" s="113" t="s">
        <v>14</v>
      </c>
      <c r="AL8" s="113" t="s">
        <v>20</v>
      </c>
      <c r="AM8" s="113" t="s">
        <v>21</v>
      </c>
      <c r="AN8" s="113" t="s">
        <v>19</v>
      </c>
      <c r="AO8" s="113" t="s">
        <v>20</v>
      </c>
      <c r="AP8" s="113" t="s">
        <v>20</v>
      </c>
      <c r="AQ8" s="113" t="s">
        <v>20</v>
      </c>
      <c r="AR8" s="23"/>
    </row>
    <row r="9" spans="1:219" ht="15" thickBot="1" x14ac:dyDescent="0.35">
      <c r="A9" s="367" t="s">
        <v>152</v>
      </c>
      <c r="B9" s="373" t="s">
        <v>292</v>
      </c>
      <c r="C9" s="23"/>
      <c r="H9" s="23"/>
      <c r="I9" s="23"/>
      <c r="J9" s="23"/>
      <c r="K9" s="23"/>
      <c r="L9" s="23"/>
      <c r="M9" s="23"/>
      <c r="N9" s="23"/>
      <c r="O9" s="23"/>
      <c r="P9" s="405">
        <v>7</v>
      </c>
      <c r="Q9" s="111" t="str">
        <f t="shared" si="0"/>
        <v>VG</v>
      </c>
      <c r="R9" s="111" t="str">
        <f t="shared" ca="1" si="1"/>
        <v>VG</v>
      </c>
      <c r="S9" s="308"/>
      <c r="T9" s="315">
        <v>7</v>
      </c>
      <c r="U9" s="311">
        <v>16</v>
      </c>
      <c r="V9" s="113">
        <v>25</v>
      </c>
      <c r="W9" s="112">
        <v>34</v>
      </c>
      <c r="X9" s="111">
        <v>43</v>
      </c>
      <c r="Y9" s="260">
        <v>52</v>
      </c>
      <c r="AA9" s="279">
        <v>7</v>
      </c>
      <c r="AB9" s="276" t="s">
        <v>52</v>
      </c>
      <c r="AC9" s="113" t="s">
        <v>57</v>
      </c>
      <c r="AD9" s="113"/>
      <c r="AE9" s="113"/>
      <c r="AF9" s="272"/>
      <c r="AG9" s="23"/>
      <c r="AH9" s="116">
        <v>7</v>
      </c>
      <c r="AI9" s="113" t="s">
        <v>20</v>
      </c>
      <c r="AJ9" s="113" t="s">
        <v>26</v>
      </c>
      <c r="AK9" s="113" t="s">
        <v>20</v>
      </c>
      <c r="AL9" s="113" t="s">
        <v>20</v>
      </c>
      <c r="AM9" s="113" t="s">
        <v>20</v>
      </c>
      <c r="AN9" s="113" t="s">
        <v>20</v>
      </c>
      <c r="AO9" s="113" t="s">
        <v>19</v>
      </c>
      <c r="AP9" s="113" t="s">
        <v>14</v>
      </c>
      <c r="AQ9" s="113" t="s">
        <v>14</v>
      </c>
      <c r="AR9" s="23"/>
    </row>
    <row r="10" spans="1:219" ht="15" thickBot="1" x14ac:dyDescent="0.35">
      <c r="D10" s="370" t="s">
        <v>209</v>
      </c>
      <c r="E10" s="371" t="str">
        <f>LEFT(B16,1)</f>
        <v>A</v>
      </c>
      <c r="F10" s="371" t="str">
        <f>LEFT(B18,1)</f>
        <v>M</v>
      </c>
      <c r="G10" s="372">
        <f>VLOOKUP(E10,$GR$12:$GS$48,2,0)+VLOOKUP(F10,$GR$12:$GS$48,2,0)</f>
        <v>5</v>
      </c>
      <c r="P10" s="405">
        <v>8</v>
      </c>
      <c r="Q10" s="111" t="str">
        <f t="shared" si="0"/>
        <v>A</v>
      </c>
      <c r="R10" s="111" t="str">
        <f t="shared" ca="1" si="1"/>
        <v>A</v>
      </c>
      <c r="S10" s="307"/>
      <c r="T10" s="315">
        <v>8</v>
      </c>
      <c r="U10" s="312">
        <v>17</v>
      </c>
      <c r="V10" s="110">
        <v>26</v>
      </c>
      <c r="W10" s="110">
        <v>35</v>
      </c>
      <c r="X10" s="110">
        <v>44</v>
      </c>
      <c r="Y10" s="260"/>
      <c r="AA10" s="280">
        <v>8</v>
      </c>
      <c r="AB10" s="277" t="s">
        <v>21</v>
      </c>
      <c r="AC10" s="263" t="s">
        <v>58</v>
      </c>
      <c r="AD10" s="263"/>
      <c r="AE10" s="263"/>
      <c r="AF10" s="273"/>
      <c r="AH10" s="116">
        <v>8</v>
      </c>
      <c r="AI10" s="113" t="s">
        <v>21</v>
      </c>
      <c r="AJ10" s="113" t="s">
        <v>14</v>
      </c>
      <c r="AK10" s="113" t="s">
        <v>20</v>
      </c>
      <c r="AL10" s="113" t="s">
        <v>14</v>
      </c>
      <c r="AM10" s="113" t="s">
        <v>26</v>
      </c>
      <c r="AN10" s="113" t="s">
        <v>20</v>
      </c>
      <c r="AO10" s="113" t="s">
        <v>14</v>
      </c>
      <c r="AP10" s="113" t="s">
        <v>19</v>
      </c>
      <c r="AQ10" s="108" t="s">
        <v>96</v>
      </c>
    </row>
    <row r="11" spans="1:219" ht="15" thickBot="1" x14ac:dyDescent="0.35">
      <c r="D11" s="368" t="s">
        <v>210</v>
      </c>
      <c r="E11" s="407">
        <f>C5</f>
        <v>11</v>
      </c>
      <c r="F11" s="407">
        <f>F5</f>
        <v>1</v>
      </c>
      <c r="G11" s="369">
        <f>MOD(E11+F11-1,9)+1</f>
        <v>3</v>
      </c>
      <c r="P11" s="405">
        <v>9</v>
      </c>
      <c r="Q11" s="111" t="str">
        <f t="shared" si="0"/>
        <v>A</v>
      </c>
      <c r="R11" s="111" t="str">
        <f t="shared" ca="1" si="1"/>
        <v>A</v>
      </c>
      <c r="S11" s="309"/>
      <c r="T11" s="317">
        <v>9</v>
      </c>
      <c r="U11" s="313">
        <v>18</v>
      </c>
      <c r="V11" s="263">
        <v>27</v>
      </c>
      <c r="W11" s="263">
        <v>36</v>
      </c>
      <c r="X11" s="264">
        <v>45</v>
      </c>
      <c r="Y11" s="265"/>
      <c r="AH11" s="116">
        <v>9</v>
      </c>
      <c r="AI11" s="113" t="s">
        <v>14</v>
      </c>
      <c r="AJ11" s="113" t="s">
        <v>14</v>
      </c>
      <c r="AK11" s="113" t="s">
        <v>20</v>
      </c>
      <c r="AL11" s="108" t="s">
        <v>96</v>
      </c>
      <c r="AM11" s="113" t="s">
        <v>21</v>
      </c>
      <c r="AN11" s="113" t="s">
        <v>20</v>
      </c>
      <c r="AO11" s="113" t="s">
        <v>14</v>
      </c>
      <c r="AP11" s="108" t="s">
        <v>96</v>
      </c>
      <c r="AQ11" s="113" t="s">
        <v>19</v>
      </c>
    </row>
    <row r="12" spans="1:219" x14ac:dyDescent="0.3">
      <c r="AH12" s="614" t="s">
        <v>240</v>
      </c>
      <c r="AI12" s="614"/>
      <c r="AJ12" s="614"/>
      <c r="AK12" s="614"/>
      <c r="AL12" s="614"/>
      <c r="AM12" s="614"/>
      <c r="AN12" s="614"/>
      <c r="AO12" s="614"/>
      <c r="AP12" s="614"/>
      <c r="AQ12" s="614"/>
      <c r="GB12" s="42" t="s">
        <v>15</v>
      </c>
      <c r="GC12" s="16" t="s">
        <v>16</v>
      </c>
      <c r="GG12" s="588" t="s">
        <v>0</v>
      </c>
      <c r="GH12" s="588"/>
      <c r="GI12" s="588"/>
      <c r="GJ12" s="588"/>
      <c r="GK12" s="588"/>
      <c r="GL12" s="588"/>
      <c r="GM12" s="588"/>
      <c r="GN12" s="588"/>
      <c r="GO12" s="588"/>
      <c r="GP12" s="588"/>
      <c r="GR12" s="42" t="s">
        <v>1</v>
      </c>
      <c r="GS12" s="42" t="s">
        <v>2</v>
      </c>
      <c r="GU12" s="588" t="s">
        <v>3</v>
      </c>
      <c r="GV12" s="588"/>
      <c r="GX12" s="15"/>
      <c r="GY12" s="42" t="s">
        <v>4</v>
      </c>
      <c r="GZ12" s="16" t="s">
        <v>5</v>
      </c>
      <c r="HA12" s="16" t="s">
        <v>6</v>
      </c>
      <c r="HB12" s="16" t="s">
        <v>7</v>
      </c>
      <c r="HC12" s="16" t="s">
        <v>8</v>
      </c>
      <c r="HD12" s="16" t="s">
        <v>9</v>
      </c>
      <c r="HG12" s="101" t="s">
        <v>125</v>
      </c>
      <c r="HH12" s="101" t="s">
        <v>125</v>
      </c>
      <c r="HI12" s="101" t="s">
        <v>126</v>
      </c>
      <c r="HJ12" s="101" t="s">
        <v>128</v>
      </c>
      <c r="HK12" s="101" t="str">
        <f t="shared" ref="HK12:HN75" si="2">HI12&amp;" - "&amp;HJ12</f>
        <v>Zodiac - Element</v>
      </c>
    </row>
    <row r="13" spans="1:219" x14ac:dyDescent="0.3">
      <c r="A13" s="408"/>
      <c r="B13" s="408"/>
      <c r="C13" s="408"/>
      <c r="D13" s="409"/>
      <c r="E13" s="410"/>
      <c r="F13" s="408"/>
      <c r="G13" s="408"/>
      <c r="H13" s="408"/>
      <c r="I13" s="408"/>
      <c r="J13" s="408"/>
      <c r="K13" s="408"/>
      <c r="L13" s="408"/>
      <c r="M13" s="408"/>
      <c r="N13" s="408"/>
      <c r="O13" s="408"/>
      <c r="P13" s="409"/>
      <c r="Q13" s="408"/>
      <c r="R13" s="408"/>
      <c r="S13" s="408"/>
      <c r="T13" s="408"/>
      <c r="U13" s="408"/>
      <c r="V13" s="408"/>
      <c r="W13" s="408"/>
      <c r="X13" s="408"/>
      <c r="Y13" s="408"/>
      <c r="Z13" s="408"/>
      <c r="AA13" s="408"/>
      <c r="AB13" s="408"/>
      <c r="AC13" s="408"/>
      <c r="AD13" s="408"/>
      <c r="AE13" s="408"/>
      <c r="AF13" s="408"/>
      <c r="AG13" s="408"/>
      <c r="AH13" s="408"/>
      <c r="AI13" s="408"/>
      <c r="AJ13" s="408"/>
      <c r="AK13" s="408"/>
      <c r="AL13" s="408"/>
      <c r="AM13" s="408"/>
      <c r="AN13" s="408"/>
      <c r="AO13" s="408"/>
      <c r="AP13" s="408"/>
      <c r="AQ13" s="408"/>
      <c r="AR13" s="408"/>
      <c r="AS13" s="408"/>
      <c r="GB13" s="15">
        <v>5</v>
      </c>
      <c r="GC13" s="40" t="s">
        <v>20</v>
      </c>
      <c r="GG13" s="15"/>
      <c r="GH13" s="15">
        <v>1</v>
      </c>
      <c r="GI13" s="15">
        <v>2</v>
      </c>
      <c r="GJ13" s="15">
        <v>3</v>
      </c>
      <c r="GK13" s="15">
        <v>4</v>
      </c>
      <c r="GL13" s="15">
        <v>5</v>
      </c>
      <c r="GM13" s="15">
        <v>6</v>
      </c>
      <c r="GN13" s="15">
        <v>7</v>
      </c>
      <c r="GO13" s="15">
        <v>8</v>
      </c>
      <c r="GP13" s="15">
        <v>9</v>
      </c>
      <c r="GR13" s="15" t="s">
        <v>14</v>
      </c>
      <c r="GS13" s="15">
        <v>1</v>
      </c>
      <c r="GU13" s="42" t="s">
        <v>15</v>
      </c>
      <c r="GV13" s="16" t="s">
        <v>16</v>
      </c>
      <c r="GX13" s="15"/>
      <c r="GY13" s="15"/>
      <c r="GZ13" s="24">
        <v>1</v>
      </c>
      <c r="HA13" s="24">
        <v>5</v>
      </c>
      <c r="HB13" s="24">
        <v>1</v>
      </c>
      <c r="HC13" s="24">
        <v>7</v>
      </c>
      <c r="HD13" s="24">
        <v>6</v>
      </c>
      <c r="HG13" s="25">
        <v>43831</v>
      </c>
      <c r="HH13" s="14" t="str">
        <f>TEXT(HG13,"DD-MMM")</f>
        <v>01-Jan</v>
      </c>
      <c r="HI13" s="14" t="s">
        <v>113</v>
      </c>
      <c r="HJ13" s="14" t="s">
        <v>130</v>
      </c>
      <c r="HK13" s="14" t="str">
        <f t="shared" si="2"/>
        <v>Capricorn - Earth</v>
      </c>
    </row>
    <row r="14" spans="1:219" ht="15" thickBot="1" x14ac:dyDescent="0.35">
      <c r="GB14" s="15">
        <v>6</v>
      </c>
      <c r="GC14" s="40" t="s">
        <v>20</v>
      </c>
      <c r="GG14" s="15">
        <v>1</v>
      </c>
      <c r="GH14" s="113" t="s">
        <v>19</v>
      </c>
      <c r="GI14" s="113" t="s">
        <v>20</v>
      </c>
      <c r="GJ14" s="113" t="s">
        <v>20</v>
      </c>
      <c r="GK14" s="113" t="s">
        <v>21</v>
      </c>
      <c r="GL14" s="113" t="s">
        <v>20</v>
      </c>
      <c r="GM14" s="113" t="s">
        <v>21</v>
      </c>
      <c r="GN14" s="113" t="s">
        <v>20</v>
      </c>
      <c r="GO14" s="113" t="s">
        <v>21</v>
      </c>
      <c r="GP14" s="113" t="s">
        <v>14</v>
      </c>
      <c r="GR14" s="15" t="s">
        <v>22</v>
      </c>
      <c r="GS14" s="15">
        <v>2</v>
      </c>
      <c r="GU14" s="15">
        <v>1</v>
      </c>
      <c r="GV14" s="24" t="s">
        <v>23</v>
      </c>
      <c r="GX14" s="15"/>
      <c r="GY14" s="15"/>
      <c r="GZ14" s="24"/>
      <c r="HA14" s="24"/>
      <c r="HB14" s="24"/>
      <c r="HC14" s="24"/>
      <c r="HD14" s="24"/>
      <c r="HG14" s="25">
        <v>43832</v>
      </c>
      <c r="HH14" s="14" t="str">
        <f t="shared" ref="HH14:HK77" si="3">TEXT(HG14,"DD-MMM")</f>
        <v>02-Jan</v>
      </c>
      <c r="HI14" s="14" t="s">
        <v>113</v>
      </c>
      <c r="HJ14" s="14" t="s">
        <v>130</v>
      </c>
      <c r="HK14" s="14" t="str">
        <f t="shared" si="2"/>
        <v>Capricorn - Earth</v>
      </c>
    </row>
    <row r="15" spans="1:219" ht="29.25" customHeight="1" thickBot="1" x14ac:dyDescent="0.35">
      <c r="A15" s="601" t="s">
        <v>10</v>
      </c>
      <c r="B15" s="602"/>
      <c r="C15" s="11"/>
      <c r="D15" s="210"/>
      <c r="E15" s="212"/>
      <c r="F15" s="11"/>
      <c r="G15" s="411"/>
      <c r="H15" s="18"/>
      <c r="I15" s="18"/>
      <c r="J15" s="328"/>
      <c r="K15" s="329"/>
      <c r="L15" s="329"/>
      <c r="M15" s="603" t="s">
        <v>99</v>
      </c>
      <c r="N15" s="604"/>
      <c r="O15" s="412"/>
      <c r="Q15" s="342" t="s">
        <v>15</v>
      </c>
      <c r="R15" s="342" t="s">
        <v>194</v>
      </c>
      <c r="S15" s="342" t="s">
        <v>195</v>
      </c>
      <c r="T15" s="320"/>
      <c r="U15" s="358" t="s">
        <v>198</v>
      </c>
      <c r="V15" s="216"/>
      <c r="W15" s="216"/>
      <c r="AD15" s="413" t="s">
        <v>18</v>
      </c>
      <c r="AE15" s="360" t="s">
        <v>25</v>
      </c>
      <c r="AG15" s="43"/>
      <c r="AH15" s="43"/>
      <c r="AJ15" s="413" t="s">
        <v>18</v>
      </c>
      <c r="AK15" s="360" t="s">
        <v>25</v>
      </c>
      <c r="AU15" s="52"/>
      <c r="GB15" s="15">
        <v>10</v>
      </c>
      <c r="GC15" s="40" t="s">
        <v>20</v>
      </c>
      <c r="GG15" s="15">
        <v>2</v>
      </c>
      <c r="GH15" s="113" t="s">
        <v>20</v>
      </c>
      <c r="GI15" s="113" t="s">
        <v>19</v>
      </c>
      <c r="GJ15" s="113" t="s">
        <v>20</v>
      </c>
      <c r="GK15" s="113" t="s">
        <v>20</v>
      </c>
      <c r="GL15" s="113" t="s">
        <v>21</v>
      </c>
      <c r="GM15" s="113" t="s">
        <v>20</v>
      </c>
      <c r="GN15" s="113" t="s">
        <v>26</v>
      </c>
      <c r="GO15" s="113" t="s">
        <v>14</v>
      </c>
      <c r="GP15" s="113" t="s">
        <v>14</v>
      </c>
      <c r="GR15" s="15" t="s">
        <v>27</v>
      </c>
      <c r="GS15" s="15">
        <v>3</v>
      </c>
      <c r="GU15" s="15">
        <v>2</v>
      </c>
      <c r="GV15" s="24" t="s">
        <v>23</v>
      </c>
      <c r="GX15" s="15" t="s">
        <v>28</v>
      </c>
      <c r="GY15" s="15">
        <f>(GZ15*GZ16)+(HA15*HA16)+(HB15*HB16)+(HC15*HC16)+(HD15*HD16)</f>
        <v>0</v>
      </c>
      <c r="GZ15" s="34">
        <f>IFERROR((HLOOKUP(GZ12,C14:T15,2,0)),0)</f>
        <v>0</v>
      </c>
      <c r="HA15" s="34">
        <f>IFERROR((HLOOKUP(HA12,C14:T15,2,0)),0)</f>
        <v>0</v>
      </c>
      <c r="HB15" s="34">
        <f>IFERROR((HLOOKUP(HB12,C14:T15,2,0)),0)</f>
        <v>0</v>
      </c>
      <c r="HC15" s="34">
        <f>IFERROR((HLOOKUP(HC12,C14:T15,2,0)),0)</f>
        <v>0</v>
      </c>
      <c r="HD15" s="34">
        <f>IFERROR((HLOOKUP(HD12,C14:T15,2,0)),0)</f>
        <v>0</v>
      </c>
      <c r="HG15" s="25">
        <v>43833</v>
      </c>
      <c r="HH15" s="14" t="str">
        <f t="shared" si="3"/>
        <v>03-Jan</v>
      </c>
      <c r="HI15" s="14" t="s">
        <v>113</v>
      </c>
      <c r="HJ15" s="14" t="s">
        <v>130</v>
      </c>
      <c r="HK15" s="14" t="str">
        <f t="shared" si="2"/>
        <v>Capricorn - Earth</v>
      </c>
    </row>
    <row r="16" spans="1:219" ht="15" thickBot="1" x14ac:dyDescent="0.35">
      <c r="A16" s="26" t="s">
        <v>17</v>
      </c>
      <c r="B16" s="361" t="s">
        <v>299</v>
      </c>
      <c r="D16" s="414">
        <f>MasterTables!AM2</f>
        <v>14</v>
      </c>
      <c r="E16" s="415">
        <f>IF(D16&lt;10,D16,((LEFT(D16,1))+(RIGHT(D16,1))))</f>
        <v>5</v>
      </c>
      <c r="F16" s="416" t="str">
        <f>MasterTables!AO2</f>
        <v>FN</v>
      </c>
      <c r="G16" s="378" t="str">
        <f>MasterTables!AP2</f>
        <v>√</v>
      </c>
      <c r="J16" s="321" t="s">
        <v>206</v>
      </c>
      <c r="K16" s="113"/>
      <c r="L16" s="113"/>
      <c r="M16" s="318" t="s">
        <v>12</v>
      </c>
      <c r="N16" s="318" t="s">
        <v>13</v>
      </c>
      <c r="O16" s="322"/>
      <c r="Q16" s="405">
        <v>1</v>
      </c>
      <c r="R16" s="111">
        <f ca="1">MasterTables!CF21</f>
        <v>0</v>
      </c>
      <c r="S16" s="111">
        <f>MasterTables!CG21</f>
        <v>0</v>
      </c>
      <c r="T16" s="239"/>
      <c r="U16" s="344">
        <f>MasterTables!BX21</f>
        <v>6</v>
      </c>
      <c r="Z16" s="216"/>
      <c r="AA16" s="330"/>
      <c r="AB16" s="359" t="s">
        <v>24</v>
      </c>
      <c r="AC16" s="331"/>
      <c r="AD16" s="417">
        <f>C6</f>
        <v>2</v>
      </c>
      <c r="AE16" s="265">
        <f ca="1">C7</f>
        <v>2</v>
      </c>
      <c r="AG16" s="330"/>
      <c r="AH16" s="360" t="s">
        <v>31</v>
      </c>
      <c r="AI16" s="332"/>
      <c r="AJ16" s="417">
        <f>C6</f>
        <v>2</v>
      </c>
      <c r="AK16" s="265">
        <f ca="1">C7</f>
        <v>2</v>
      </c>
      <c r="AU16" s="23"/>
      <c r="AV16" s="23"/>
      <c r="GB16" s="15">
        <v>12</v>
      </c>
      <c r="GC16" s="40" t="s">
        <v>20</v>
      </c>
      <c r="GG16" s="15">
        <v>3</v>
      </c>
      <c r="GH16" s="113" t="s">
        <v>20</v>
      </c>
      <c r="GI16" s="113" t="s">
        <v>20</v>
      </c>
      <c r="GJ16" s="113" t="s">
        <v>19</v>
      </c>
      <c r="GK16" s="113" t="s">
        <v>14</v>
      </c>
      <c r="GL16" s="113" t="s">
        <v>20</v>
      </c>
      <c r="GM16" s="113" t="s">
        <v>14</v>
      </c>
      <c r="GN16" s="113" t="s">
        <v>20</v>
      </c>
      <c r="GO16" s="113" t="s">
        <v>20</v>
      </c>
      <c r="GP16" s="113" t="s">
        <v>20</v>
      </c>
      <c r="GR16" s="15" t="s">
        <v>29</v>
      </c>
      <c r="GS16" s="15">
        <v>4</v>
      </c>
      <c r="GU16" s="15">
        <v>3</v>
      </c>
      <c r="GV16" s="24" t="s">
        <v>23</v>
      </c>
      <c r="GX16" s="15"/>
      <c r="GY16" s="15"/>
      <c r="GZ16" s="24">
        <f>COUNTIFS(C14:T14,GZ12)</f>
        <v>0</v>
      </c>
      <c r="HA16" s="24">
        <f>COUNTIFS(C14:T14,HA12)</f>
        <v>0</v>
      </c>
      <c r="HB16" s="24">
        <f>COUNTIFS(C14:T14,HB12)</f>
        <v>0</v>
      </c>
      <c r="HC16" s="24">
        <f>COUNTIFS(C14:T14,HC12)</f>
        <v>0</v>
      </c>
      <c r="HD16" s="24">
        <f>COUNTIFS(C14:T14,HD12)</f>
        <v>0</v>
      </c>
      <c r="HG16" s="25">
        <v>43834</v>
      </c>
      <c r="HH16" s="14" t="str">
        <f t="shared" si="3"/>
        <v>04-Jan</v>
      </c>
      <c r="HI16" s="14" t="s">
        <v>113</v>
      </c>
      <c r="HJ16" s="14" t="s">
        <v>130</v>
      </c>
      <c r="HK16" s="14" t="str">
        <f t="shared" si="2"/>
        <v>Capricorn - Earth</v>
      </c>
    </row>
    <row r="17" spans="1:219" ht="15" thickBot="1" x14ac:dyDescent="0.35">
      <c r="A17" s="26" t="s">
        <v>30</v>
      </c>
      <c r="B17" s="361" t="s">
        <v>295</v>
      </c>
      <c r="D17" s="418">
        <f>MasterTables!AM4</f>
        <v>23</v>
      </c>
      <c r="E17" s="43">
        <f t="shared" ref="E17:E18" si="4">IF(D17&lt;10,D17,((LEFT(D17,1))+(RIGHT(D17,1))))</f>
        <v>5</v>
      </c>
      <c r="F17" s="168"/>
      <c r="G17" s="19"/>
      <c r="J17" s="323" t="s">
        <v>18</v>
      </c>
      <c r="K17" s="113"/>
      <c r="L17" s="319">
        <f>C6</f>
        <v>2</v>
      </c>
      <c r="M17" s="113">
        <f ca="1">IF(N5&lt;=35,"Active",0)</f>
        <v>0</v>
      </c>
      <c r="N17" s="318" t="str">
        <f ca="1">IF(N5&gt;35,"Active",0)</f>
        <v>Active</v>
      </c>
      <c r="O17" s="272"/>
      <c r="Q17" s="405">
        <v>2</v>
      </c>
      <c r="R17" s="111">
        <f>MasterTables!CF22</f>
        <v>0</v>
      </c>
      <c r="S17" s="111">
        <f>MasterTables!CG22</f>
        <v>0</v>
      </c>
      <c r="T17" s="239"/>
      <c r="U17" s="344">
        <f>MasterTables!BX22</f>
        <v>2</v>
      </c>
      <c r="Z17" s="216"/>
      <c r="AA17" s="333"/>
      <c r="AB17" s="334">
        <f>D16</f>
        <v>14</v>
      </c>
      <c r="AC17" s="336"/>
      <c r="AD17" s="610" t="s">
        <v>24</v>
      </c>
      <c r="AE17" s="611"/>
      <c r="AG17" s="333"/>
      <c r="AH17" s="335">
        <f>D19</f>
        <v>57</v>
      </c>
      <c r="AI17" s="337"/>
      <c r="AJ17" s="612" t="s">
        <v>31</v>
      </c>
      <c r="AK17" s="613"/>
      <c r="AU17" s="23"/>
      <c r="AV17" s="23"/>
      <c r="GB17" s="15">
        <v>13</v>
      </c>
      <c r="GC17" s="40" t="s">
        <v>20</v>
      </c>
      <c r="GG17" s="15">
        <v>4</v>
      </c>
      <c r="GH17" s="113" t="s">
        <v>21</v>
      </c>
      <c r="GI17" s="113" t="s">
        <v>20</v>
      </c>
      <c r="GJ17" s="113" t="s">
        <v>14</v>
      </c>
      <c r="GK17" s="113" t="s">
        <v>19</v>
      </c>
      <c r="GL17" s="113" t="s">
        <v>20</v>
      </c>
      <c r="GM17" s="113" t="s">
        <v>20</v>
      </c>
      <c r="GN17" s="113" t="s">
        <v>20</v>
      </c>
      <c r="GO17" s="113" t="s">
        <v>14</v>
      </c>
      <c r="GP17" s="108" t="s">
        <v>96</v>
      </c>
      <c r="GR17" s="15" t="s">
        <v>19</v>
      </c>
      <c r="GS17" s="15">
        <v>5</v>
      </c>
      <c r="GU17" s="15">
        <v>4</v>
      </c>
      <c r="GV17" s="24" t="s">
        <v>23</v>
      </c>
      <c r="GX17" s="15"/>
      <c r="GY17" s="15"/>
      <c r="GZ17" s="24"/>
      <c r="HA17" s="24"/>
      <c r="HB17" s="24"/>
      <c r="HC17" s="24"/>
      <c r="HD17" s="24"/>
      <c r="HG17" s="25">
        <v>43835</v>
      </c>
      <c r="HH17" s="14" t="str">
        <f t="shared" si="3"/>
        <v>05-Jan</v>
      </c>
      <c r="HI17" s="14" t="s">
        <v>113</v>
      </c>
      <c r="HJ17" s="14" t="s">
        <v>130</v>
      </c>
      <c r="HK17" s="14" t="str">
        <f t="shared" si="2"/>
        <v>Capricorn - Earth</v>
      </c>
    </row>
    <row r="18" spans="1:219" ht="15" thickBot="1" x14ac:dyDescent="0.35">
      <c r="A18" s="26" t="s">
        <v>37</v>
      </c>
      <c r="B18" s="361" t="s">
        <v>296</v>
      </c>
      <c r="D18" s="418">
        <f>MasterTables!AM6</f>
        <v>20</v>
      </c>
      <c r="E18" s="43">
        <f t="shared" si="4"/>
        <v>2</v>
      </c>
      <c r="F18" s="168"/>
      <c r="G18" s="19"/>
      <c r="J18" s="323" t="s">
        <v>25</v>
      </c>
      <c r="K18" s="113"/>
      <c r="L18" s="319">
        <f ca="1">C7</f>
        <v>2</v>
      </c>
      <c r="M18" s="113"/>
      <c r="N18" s="113"/>
      <c r="O18" s="272"/>
      <c r="Q18" s="405">
        <v>3</v>
      </c>
      <c r="R18" s="111">
        <f ca="1">MasterTables!CF23</f>
        <v>0</v>
      </c>
      <c r="S18" s="111">
        <f>MasterTables!CG23</f>
        <v>0</v>
      </c>
      <c r="T18" s="239"/>
      <c r="U18" s="344">
        <f>MasterTables!BX23</f>
        <v>3</v>
      </c>
      <c r="Z18" s="35"/>
      <c r="AA18" s="338">
        <v>1</v>
      </c>
      <c r="AB18" s="320">
        <f t="shared" ref="AB18:AB27" si="5">IF(ISERROR(INDEX(GB:GB,MATCH(AB17,$GB$1:$GB$102,1)+1,1)),"",INDEX(GB:GB,MATCH(AB17,$GB$1:$GB$102,1)+1,1))</f>
        <v>15</v>
      </c>
      <c r="AC18" s="339">
        <f t="shared" ref="AC18:AC27" si="6">MOD(AB18-1,9)+1</f>
        <v>6</v>
      </c>
      <c r="AD18" s="333" t="str">
        <f t="shared" ref="AD18:AD27" si="7">INDEX($AH$2:$AQ$11,MATCH(AC18,$AH$2:$AQ$2,0),MATCH($AD$16,$AH$2:$AH$11,0))</f>
        <v>G</v>
      </c>
      <c r="AE18" s="419" t="str">
        <f t="shared" ref="AE18:AE27" ca="1" si="8">INDEX($AH$2:$AQ$11,MATCH(AC18,$AH$2:$AQ$2,0),MATCH($AE$16,$AH$2:$AH$11,0))</f>
        <v>G</v>
      </c>
      <c r="AG18" s="338">
        <v>1</v>
      </c>
      <c r="AH18" s="324">
        <f t="shared" ref="AH18:AH27" si="9">IF(ISERROR(INDEX(GB:GB,MATCH(AH17,$GB$1:$GB$102,1)+1,1)),"",INDEX(GB:GB,MATCH(AH17,$GB$1:$GB$102,1)+1,1))</f>
        <v>59</v>
      </c>
      <c r="AI18" s="335">
        <f t="shared" ref="AI18:AI27" si="10">MOD(AH18-1,9)+1</f>
        <v>5</v>
      </c>
      <c r="AJ18" s="333" t="str">
        <f t="shared" ref="AJ18:AJ27" si="11">INDEX($AH$2:$AQ$11,MATCH(AI18,$AH$2:$AQ$2,0),MATCH($AJ$16,$AH$2:$AH$11,0))</f>
        <v>F</v>
      </c>
      <c r="AK18" s="419" t="str">
        <f t="shared" ref="AK18:AK27" ca="1" si="12">INDEX($AH$2:$AQ$11,MATCH(AI18,$AH$2:$AQ$2,0),MATCH($AK$16,$AH$2:$AH$11,0))</f>
        <v>F</v>
      </c>
      <c r="AU18" s="23"/>
      <c r="AV18" s="23"/>
      <c r="GB18" s="15">
        <v>14</v>
      </c>
      <c r="GC18" s="40" t="s">
        <v>20</v>
      </c>
      <c r="GG18" s="15">
        <v>5</v>
      </c>
      <c r="GH18" s="113" t="s">
        <v>20</v>
      </c>
      <c r="GI18" s="113" t="s">
        <v>21</v>
      </c>
      <c r="GJ18" s="113" t="s">
        <v>20</v>
      </c>
      <c r="GK18" s="113" t="s">
        <v>20</v>
      </c>
      <c r="GL18" s="113" t="s">
        <v>19</v>
      </c>
      <c r="GM18" s="113" t="s">
        <v>21</v>
      </c>
      <c r="GN18" s="113" t="s">
        <v>20</v>
      </c>
      <c r="GO18" s="113" t="s">
        <v>26</v>
      </c>
      <c r="GP18" s="113" t="s">
        <v>21</v>
      </c>
      <c r="GR18" s="15" t="s">
        <v>21</v>
      </c>
      <c r="GS18" s="15">
        <v>8</v>
      </c>
      <c r="GU18" s="15">
        <v>5</v>
      </c>
      <c r="GV18" s="40" t="s">
        <v>33</v>
      </c>
      <c r="GX18" s="14" t="s">
        <v>34</v>
      </c>
      <c r="GY18" s="15">
        <f ca="1">(GZ18*GZ19)+(HA18*HA19)+(HB18*HB19)+(HC18*HC19)+(HD18*HD19)</f>
        <v>0</v>
      </c>
      <c r="GZ18" s="34">
        <f ca="1">IFERROR((HLOOKUP(GZ12,C16:Z17,2,0)),0)</f>
        <v>0</v>
      </c>
      <c r="HA18" s="34">
        <f ca="1">IFERROR((HLOOKUP(HA12,C16:Z17,2,0)),0)</f>
        <v>0</v>
      </c>
      <c r="HB18" s="34">
        <f ca="1">IFERROR((HLOOKUP(HB12,C16:Z17,2,0)),0)</f>
        <v>0</v>
      </c>
      <c r="HC18" s="34">
        <f ca="1">IFERROR((HLOOKUP(HC12,C16:Z17,2,0)),0)</f>
        <v>0</v>
      </c>
      <c r="HD18" s="34">
        <f ca="1">IFERROR((HLOOKUP(HD12,C16:Z17,2,0)),0)</f>
        <v>0</v>
      </c>
      <c r="HG18" s="25">
        <v>43836</v>
      </c>
      <c r="HH18" s="14" t="str">
        <f t="shared" si="3"/>
        <v>06-Jan</v>
      </c>
      <c r="HI18" s="14" t="s">
        <v>113</v>
      </c>
      <c r="HJ18" s="14" t="s">
        <v>130</v>
      </c>
      <c r="HK18" s="14" t="str">
        <f t="shared" si="2"/>
        <v>Capricorn - Earth</v>
      </c>
    </row>
    <row r="19" spans="1:219" ht="15" thickBot="1" x14ac:dyDescent="0.35">
      <c r="A19" s="26" t="s">
        <v>269</v>
      </c>
      <c r="B19" s="361"/>
      <c r="C19" s="50"/>
      <c r="D19" s="420">
        <f>MasterTables!AM7</f>
        <v>57</v>
      </c>
      <c r="E19" s="415">
        <f>SUM(E16:E18)</f>
        <v>12</v>
      </c>
      <c r="F19" s="416" t="str">
        <f>MasterTables!AO7</f>
        <v>EXP</v>
      </c>
      <c r="G19" s="378" t="str">
        <f>MasterTables!AP7</f>
        <v>√</v>
      </c>
      <c r="J19" s="323" t="s">
        <v>24</v>
      </c>
      <c r="K19" s="113">
        <f>D16</f>
        <v>14</v>
      </c>
      <c r="L19" s="319">
        <f>MOD(K19-1,9)+1</f>
        <v>5</v>
      </c>
      <c r="M19" s="113" t="str">
        <f>INDEX($AH$2:$AQ$11,MATCH(L19,$AH$2:$AQ$2,0),MATCH($L$17,$AH$2:$AH$11,0))</f>
        <v>F</v>
      </c>
      <c r="N19" s="113" t="str">
        <f ca="1">INDEX($AH$2:$AQ$11,MATCH(L19,$AH$2:$AQ$2,0),MATCH($L$18,$AH$2:$AH$11,0))</f>
        <v>F</v>
      </c>
      <c r="O19" s="324"/>
      <c r="Q19" s="405">
        <v>4</v>
      </c>
      <c r="R19" s="111">
        <f ca="1">MasterTables!CF24</f>
        <v>0</v>
      </c>
      <c r="S19" s="111">
        <f>MasterTables!CG24</f>
        <v>0</v>
      </c>
      <c r="T19" s="239"/>
      <c r="U19" s="344">
        <f>MasterTables!BX24</f>
        <v>2</v>
      </c>
      <c r="Z19" s="35"/>
      <c r="AA19" s="338">
        <v>2</v>
      </c>
      <c r="AB19" s="320">
        <f t="shared" si="5"/>
        <v>17</v>
      </c>
      <c r="AC19" s="338">
        <f t="shared" si="6"/>
        <v>8</v>
      </c>
      <c r="AD19" s="333" t="str">
        <f t="shared" si="7"/>
        <v>A</v>
      </c>
      <c r="AE19" s="419" t="str">
        <f t="shared" ca="1" si="8"/>
        <v>A</v>
      </c>
      <c r="AG19" s="338">
        <v>2</v>
      </c>
      <c r="AH19" s="324">
        <f t="shared" si="9"/>
        <v>60</v>
      </c>
      <c r="AI19" s="324">
        <f t="shared" si="10"/>
        <v>6</v>
      </c>
      <c r="AJ19" s="333" t="str">
        <f t="shared" si="11"/>
        <v>G</v>
      </c>
      <c r="AK19" s="419" t="str">
        <f t="shared" ca="1" si="12"/>
        <v>G</v>
      </c>
      <c r="AU19" s="23"/>
      <c r="AV19" s="23"/>
      <c r="GB19" s="15">
        <v>15</v>
      </c>
      <c r="GC19" s="40" t="s">
        <v>20</v>
      </c>
      <c r="GD19" s="42"/>
      <c r="GE19" s="42"/>
      <c r="GG19" s="15">
        <v>6</v>
      </c>
      <c r="GH19" s="113" t="s">
        <v>21</v>
      </c>
      <c r="GI19" s="113" t="s">
        <v>20</v>
      </c>
      <c r="GJ19" s="113" t="s">
        <v>14</v>
      </c>
      <c r="GK19" s="113" t="s">
        <v>20</v>
      </c>
      <c r="GL19" s="113" t="s">
        <v>21</v>
      </c>
      <c r="GM19" s="113" t="s">
        <v>19</v>
      </c>
      <c r="GN19" s="113" t="s">
        <v>20</v>
      </c>
      <c r="GO19" s="113" t="s">
        <v>20</v>
      </c>
      <c r="GP19" s="113" t="s">
        <v>20</v>
      </c>
      <c r="GR19" s="15" t="s">
        <v>20</v>
      </c>
      <c r="GS19" s="15">
        <v>3</v>
      </c>
      <c r="GU19" s="15">
        <v>6</v>
      </c>
      <c r="GV19" s="40" t="s">
        <v>33</v>
      </c>
      <c r="GZ19" s="24">
        <f ca="1">COUNTIFS(C16:Z16,GZ12)</f>
        <v>0</v>
      </c>
      <c r="HA19" s="24">
        <f ca="1">COUNTIFS(C16:Z16,HA12)</f>
        <v>0</v>
      </c>
      <c r="HB19" s="24">
        <f ca="1">COUNTIFS(C16:Z16,HB12)</f>
        <v>0</v>
      </c>
      <c r="HC19" s="24">
        <f ca="1">COUNTIFS(C16:Z16,HC12)</f>
        <v>0</v>
      </c>
      <c r="HD19" s="24">
        <f ca="1">COUNTIFS(C16:Z16,HD12)</f>
        <v>0</v>
      </c>
      <c r="HG19" s="25">
        <v>43837</v>
      </c>
      <c r="HH19" s="14" t="str">
        <f t="shared" si="3"/>
        <v>07-Jan</v>
      </c>
      <c r="HI19" s="14" t="s">
        <v>113</v>
      </c>
      <c r="HJ19" s="14" t="s">
        <v>130</v>
      </c>
      <c r="HK19" s="14" t="str">
        <f t="shared" si="2"/>
        <v>Capricorn - Earth</v>
      </c>
    </row>
    <row r="20" spans="1:219" x14ac:dyDescent="0.3">
      <c r="J20" s="323" t="s">
        <v>31</v>
      </c>
      <c r="K20" s="113">
        <f>D19</f>
        <v>57</v>
      </c>
      <c r="L20" s="319">
        <f>MOD(K20-1,9)+1</f>
        <v>3</v>
      </c>
      <c r="M20" s="113" t="str">
        <f>INDEX($AH$2:$AQ$11,MATCH(L20,$AH$2:$AQ$2,0),MATCH($L$17,$AH$2:$AH$11,0))</f>
        <v>G</v>
      </c>
      <c r="N20" s="113" t="str">
        <f ca="1">INDEX($AH$2:$AQ$11,MATCH(L20,$AH$2:$AQ$2,0),MATCH($L$18,$AH$2:$AH$11,0))</f>
        <v>G</v>
      </c>
      <c r="O20" s="324"/>
      <c r="Q20" s="405">
        <v>5</v>
      </c>
      <c r="R20" s="111">
        <f ca="1">MasterTables!CF25</f>
        <v>0</v>
      </c>
      <c r="S20" s="111">
        <f>MasterTables!CG25</f>
        <v>0</v>
      </c>
      <c r="T20" s="239"/>
      <c r="U20" s="344">
        <f>MasterTables!BX25</f>
        <v>6</v>
      </c>
      <c r="Z20" s="35"/>
      <c r="AA20" s="338">
        <v>3</v>
      </c>
      <c r="AB20" s="320">
        <f t="shared" si="5"/>
        <v>19</v>
      </c>
      <c r="AC20" s="338">
        <f t="shared" si="6"/>
        <v>1</v>
      </c>
      <c r="AD20" s="333" t="str">
        <f t="shared" si="7"/>
        <v>G</v>
      </c>
      <c r="AE20" s="419" t="str">
        <f t="shared" ca="1" si="8"/>
        <v>G</v>
      </c>
      <c r="AG20" s="338">
        <v>3</v>
      </c>
      <c r="AH20" s="324">
        <f t="shared" si="9"/>
        <v>64</v>
      </c>
      <c r="AI20" s="324">
        <f t="shared" si="10"/>
        <v>1</v>
      </c>
      <c r="AJ20" s="333" t="str">
        <f t="shared" si="11"/>
        <v>G</v>
      </c>
      <c r="AK20" s="419" t="str">
        <f t="shared" ca="1" si="12"/>
        <v>G</v>
      </c>
      <c r="AU20" s="23"/>
      <c r="AV20" s="23"/>
      <c r="GB20" s="15">
        <v>17</v>
      </c>
      <c r="GC20" s="40" t="s">
        <v>20</v>
      </c>
      <c r="GG20" s="15">
        <v>7</v>
      </c>
      <c r="GH20" s="113" t="s">
        <v>20</v>
      </c>
      <c r="GI20" s="113" t="s">
        <v>26</v>
      </c>
      <c r="GJ20" s="113" t="s">
        <v>20</v>
      </c>
      <c r="GK20" s="113" t="s">
        <v>20</v>
      </c>
      <c r="GL20" s="113" t="s">
        <v>20</v>
      </c>
      <c r="GM20" s="113" t="s">
        <v>20</v>
      </c>
      <c r="GN20" s="113" t="s">
        <v>19</v>
      </c>
      <c r="GO20" s="113" t="s">
        <v>14</v>
      </c>
      <c r="GP20" s="113" t="s">
        <v>14</v>
      </c>
      <c r="GR20" s="15" t="s">
        <v>41</v>
      </c>
      <c r="GS20" s="15">
        <v>5</v>
      </c>
      <c r="GU20" s="15">
        <v>7</v>
      </c>
      <c r="GV20" s="24" t="s">
        <v>23</v>
      </c>
      <c r="HG20" s="25">
        <v>43838</v>
      </c>
      <c r="HH20" s="14" t="str">
        <f t="shared" si="3"/>
        <v>08-Jan</v>
      </c>
      <c r="HI20" s="14" t="s">
        <v>113</v>
      </c>
      <c r="HJ20" s="14" t="s">
        <v>130</v>
      </c>
      <c r="HK20" s="14" t="str">
        <f t="shared" si="2"/>
        <v>Capricorn - Earth</v>
      </c>
    </row>
    <row r="21" spans="1:219" ht="15" thickBot="1" x14ac:dyDescent="0.35">
      <c r="J21" s="323" t="s">
        <v>32</v>
      </c>
      <c r="K21" s="113">
        <f>MasterTables!AQ8</f>
        <v>20</v>
      </c>
      <c r="L21" s="319">
        <f>MOD(K21-1,9)+1</f>
        <v>2</v>
      </c>
      <c r="M21" s="113" t="str">
        <f>INDEX($AH$2:$AQ$11,MATCH(L21,$AH$2:$AQ$2,0),MATCH($L$17,$AH$2:$AH$11,0))</f>
        <v>E</v>
      </c>
      <c r="N21" s="113" t="str">
        <f ca="1">INDEX($AH$2:$AQ$11,MATCH(L21,$AH$2:$AQ$2,0),MATCH($L$18,$AH$2:$AH$11,0))</f>
        <v>E</v>
      </c>
      <c r="O21" s="324"/>
      <c r="Q21" s="405">
        <v>6</v>
      </c>
      <c r="R21" s="111">
        <f ca="1">MasterTables!CF26</f>
        <v>6</v>
      </c>
      <c r="S21" s="111">
        <f ca="1">MasterTables!CG26</f>
        <v>0</v>
      </c>
      <c r="T21" s="239"/>
      <c r="U21" s="344">
        <f>MasterTables!BX26</f>
        <v>0</v>
      </c>
      <c r="Z21" s="35"/>
      <c r="AA21" s="338">
        <v>4</v>
      </c>
      <c r="AB21" s="320">
        <f t="shared" si="5"/>
        <v>20</v>
      </c>
      <c r="AC21" s="338">
        <f t="shared" si="6"/>
        <v>2</v>
      </c>
      <c r="AD21" s="333" t="str">
        <f t="shared" si="7"/>
        <v>E</v>
      </c>
      <c r="AE21" s="419" t="str">
        <f t="shared" ca="1" si="8"/>
        <v>E</v>
      </c>
      <c r="AG21" s="338">
        <v>4</v>
      </c>
      <c r="AH21" s="324">
        <f t="shared" si="9"/>
        <v>66</v>
      </c>
      <c r="AI21" s="324">
        <f t="shared" si="10"/>
        <v>3</v>
      </c>
      <c r="AJ21" s="333" t="str">
        <f t="shared" si="11"/>
        <v>G</v>
      </c>
      <c r="AK21" s="419" t="str">
        <f t="shared" ca="1" si="12"/>
        <v>G</v>
      </c>
      <c r="AU21" s="23"/>
      <c r="AV21" s="23"/>
      <c r="GB21" s="15">
        <v>19</v>
      </c>
      <c r="GC21" s="24" t="s">
        <v>64</v>
      </c>
      <c r="GG21" s="15">
        <v>8</v>
      </c>
      <c r="GH21" s="113" t="s">
        <v>21</v>
      </c>
      <c r="GI21" s="113" t="s">
        <v>14</v>
      </c>
      <c r="GJ21" s="113" t="s">
        <v>20</v>
      </c>
      <c r="GK21" s="113" t="s">
        <v>14</v>
      </c>
      <c r="GL21" s="113" t="s">
        <v>26</v>
      </c>
      <c r="GM21" s="113" t="s">
        <v>20</v>
      </c>
      <c r="GN21" s="113" t="s">
        <v>14</v>
      </c>
      <c r="GO21" s="113" t="s">
        <v>19</v>
      </c>
      <c r="GP21" s="108" t="s">
        <v>96</v>
      </c>
      <c r="GR21" s="15" t="s">
        <v>43</v>
      </c>
      <c r="GS21" s="15">
        <v>1</v>
      </c>
      <c r="GU21" s="15">
        <v>8</v>
      </c>
      <c r="GV21" s="24" t="s">
        <v>23</v>
      </c>
      <c r="GX21" s="15" t="s">
        <v>44</v>
      </c>
      <c r="GY21" s="15">
        <f ca="1">(GZ21*GZ22)+(HA21*HA22)+(HB21*HB22)+(HC21*HC22)+(HD21*HD22)</f>
        <v>0</v>
      </c>
      <c r="GZ21" s="34">
        <f ca="1">IFERROR((HLOOKUP(GZ12,C18:Z19,2,0)),0)</f>
        <v>0</v>
      </c>
      <c r="HA21" s="34">
        <f ca="1">IFERROR((HLOOKUP(HA12,C18:Z19,2,0)),0)</f>
        <v>0</v>
      </c>
      <c r="HB21" s="34">
        <f ca="1">IFERROR((HLOOKUP(HB12,C18:Z19,2,0)),0)</f>
        <v>0</v>
      </c>
      <c r="HC21" s="34">
        <f ca="1">IFERROR((HLOOKUP(HC12,C18:Z19,2,0)),0)</f>
        <v>0</v>
      </c>
      <c r="HD21" s="34">
        <f ca="1">IFERROR((HLOOKUP(HD12,C18:Z19,2,0)),0)</f>
        <v>0</v>
      </c>
      <c r="HG21" s="25">
        <v>43839</v>
      </c>
      <c r="HH21" s="14" t="str">
        <f t="shared" si="3"/>
        <v>09-Jan</v>
      </c>
      <c r="HI21" s="14" t="s">
        <v>113</v>
      </c>
      <c r="HJ21" s="14" t="s">
        <v>130</v>
      </c>
      <c r="HK21" s="14" t="str">
        <f t="shared" si="2"/>
        <v>Capricorn - Earth</v>
      </c>
    </row>
    <row r="22" spans="1:219" ht="15" thickBot="1" x14ac:dyDescent="0.35">
      <c r="D22" s="421" t="s">
        <v>211</v>
      </c>
      <c r="E22" s="220">
        <f ca="1">IF($N$5&gt;35,(MOD(L18+L20-1,9)+1),0)</f>
        <v>5</v>
      </c>
      <c r="J22" s="325" t="s">
        <v>35</v>
      </c>
      <c r="K22" s="263">
        <f>K20-K21</f>
        <v>37</v>
      </c>
      <c r="L22" s="326">
        <f>MOD(K22-1,9)+1</f>
        <v>1</v>
      </c>
      <c r="M22" s="263" t="str">
        <f>INDEX($AH$2:$AQ$11,MATCH(L22,$AH$2:$AQ$2,0),MATCH($L$17,$AH$2:$AH$11,0))</f>
        <v>G</v>
      </c>
      <c r="N22" s="263" t="str">
        <f ca="1">INDEX($AH$2:$AQ$11,MATCH(L22,$AH$2:$AQ$2,0),MATCH($L$18,$AH$2:$AH$11,0))</f>
        <v>G</v>
      </c>
      <c r="O22" s="327"/>
      <c r="Q22" s="405">
        <v>7</v>
      </c>
      <c r="R22" s="111">
        <f ca="1">MasterTables!CF27</f>
        <v>7</v>
      </c>
      <c r="S22" s="111">
        <f ca="1">MasterTables!CG27</f>
        <v>0</v>
      </c>
      <c r="T22" s="239"/>
      <c r="U22" s="344">
        <f>MasterTables!BX27</f>
        <v>0</v>
      </c>
      <c r="Z22" s="35"/>
      <c r="AA22" s="338">
        <v>5</v>
      </c>
      <c r="AB22" s="320">
        <f t="shared" si="5"/>
        <v>21</v>
      </c>
      <c r="AC22" s="338">
        <f t="shared" si="6"/>
        <v>3</v>
      </c>
      <c r="AD22" s="333" t="str">
        <f t="shared" si="7"/>
        <v>G</v>
      </c>
      <c r="AE22" s="419" t="str">
        <f t="shared" ca="1" si="8"/>
        <v>G</v>
      </c>
      <c r="AG22" s="338">
        <v>5</v>
      </c>
      <c r="AH22" s="324">
        <f t="shared" si="9"/>
        <v>68</v>
      </c>
      <c r="AI22" s="324">
        <f t="shared" si="10"/>
        <v>5</v>
      </c>
      <c r="AJ22" s="333" t="str">
        <f t="shared" si="11"/>
        <v>F</v>
      </c>
      <c r="AK22" s="419" t="str">
        <f t="shared" ca="1" si="12"/>
        <v>F</v>
      </c>
      <c r="AU22" s="23"/>
      <c r="AV22" s="23"/>
      <c r="GB22" s="15">
        <v>20</v>
      </c>
      <c r="GC22" s="40" t="s">
        <v>20</v>
      </c>
      <c r="GG22" s="15">
        <v>9</v>
      </c>
      <c r="GH22" s="113" t="s">
        <v>14</v>
      </c>
      <c r="GI22" s="113" t="s">
        <v>14</v>
      </c>
      <c r="GJ22" s="113" t="s">
        <v>20</v>
      </c>
      <c r="GK22" s="108" t="s">
        <v>96</v>
      </c>
      <c r="GL22" s="113" t="s">
        <v>21</v>
      </c>
      <c r="GM22" s="113" t="s">
        <v>20</v>
      </c>
      <c r="GN22" s="113" t="s">
        <v>14</v>
      </c>
      <c r="GO22" s="108" t="s">
        <v>96</v>
      </c>
      <c r="GP22" s="113" t="s">
        <v>19</v>
      </c>
      <c r="GR22" s="15" t="s">
        <v>46</v>
      </c>
      <c r="GS22" s="15">
        <v>1</v>
      </c>
      <c r="GU22" s="15">
        <v>9</v>
      </c>
      <c r="GV22" s="24" t="s">
        <v>23</v>
      </c>
      <c r="GX22" s="15"/>
      <c r="GY22" s="15"/>
      <c r="GZ22" s="24">
        <f ca="1">COUNTIFS(C18:Z18,GZ12)</f>
        <v>0</v>
      </c>
      <c r="HA22" s="24">
        <f ca="1">COUNTIFS(C18:Z18,HA12)</f>
        <v>0</v>
      </c>
      <c r="HB22" s="24">
        <f ca="1">COUNTIFS(C18:Z18,HB12)</f>
        <v>0</v>
      </c>
      <c r="HC22" s="24">
        <f ca="1">COUNTIFS(C18:Z18,HC12)</f>
        <v>0</v>
      </c>
      <c r="HD22" s="24">
        <f ca="1">COUNTIFS(C18:Z18,HD12)</f>
        <v>0</v>
      </c>
      <c r="HG22" s="25">
        <v>43840</v>
      </c>
      <c r="HH22" s="14" t="str">
        <f t="shared" si="3"/>
        <v>10-Jan</v>
      </c>
      <c r="HI22" s="14" t="s">
        <v>113</v>
      </c>
      <c r="HJ22" s="14" t="s">
        <v>130</v>
      </c>
      <c r="HK22" s="14" t="str">
        <f t="shared" si="2"/>
        <v>Capricorn - Earth</v>
      </c>
    </row>
    <row r="23" spans="1:219" x14ac:dyDescent="0.3">
      <c r="Q23" s="405">
        <v>8</v>
      </c>
      <c r="R23" s="111">
        <f ca="1">MasterTables!CF28</f>
        <v>8</v>
      </c>
      <c r="S23" s="111">
        <f ca="1">MasterTables!CG28</f>
        <v>0</v>
      </c>
      <c r="T23" s="239"/>
      <c r="U23" s="344">
        <f>MasterTables!BX28</f>
        <v>0</v>
      </c>
      <c r="Z23" s="35"/>
      <c r="AA23" s="338">
        <v>6</v>
      </c>
      <c r="AB23" s="320">
        <f t="shared" si="5"/>
        <v>23</v>
      </c>
      <c r="AC23" s="338">
        <f t="shared" si="6"/>
        <v>5</v>
      </c>
      <c r="AD23" s="333" t="str">
        <f t="shared" si="7"/>
        <v>F</v>
      </c>
      <c r="AE23" s="419" t="str">
        <f t="shared" ca="1" si="8"/>
        <v>F</v>
      </c>
      <c r="AG23" s="338">
        <v>6</v>
      </c>
      <c r="AH23" s="324">
        <f t="shared" si="9"/>
        <v>69</v>
      </c>
      <c r="AI23" s="324">
        <f t="shared" si="10"/>
        <v>6</v>
      </c>
      <c r="AJ23" s="333" t="str">
        <f t="shared" si="11"/>
        <v>G</v>
      </c>
      <c r="AK23" s="419" t="str">
        <f t="shared" ca="1" si="12"/>
        <v>G</v>
      </c>
      <c r="AU23" s="23"/>
      <c r="AV23" s="23"/>
      <c r="GB23" s="15">
        <v>21</v>
      </c>
      <c r="GC23" s="24" t="s">
        <v>64</v>
      </c>
      <c r="GG23" s="15"/>
      <c r="GH23" s="15"/>
      <c r="GI23" s="15"/>
      <c r="GJ23" s="15"/>
      <c r="GK23" s="15"/>
      <c r="GL23" s="15"/>
      <c r="GM23" s="15"/>
      <c r="GN23" s="15"/>
      <c r="GO23" s="15"/>
      <c r="GP23" s="15"/>
      <c r="GR23" s="15" t="s">
        <v>50</v>
      </c>
      <c r="GS23" s="15">
        <v>2</v>
      </c>
      <c r="GU23" s="15">
        <v>10</v>
      </c>
      <c r="GV23" s="40" t="s">
        <v>33</v>
      </c>
      <c r="HG23" s="25">
        <v>43841</v>
      </c>
      <c r="HH23" s="14" t="str">
        <f t="shared" si="3"/>
        <v>11-Jan</v>
      </c>
      <c r="HI23" s="14" t="s">
        <v>113</v>
      </c>
      <c r="HJ23" s="14" t="s">
        <v>130</v>
      </c>
      <c r="HK23" s="14" t="str">
        <f t="shared" si="2"/>
        <v>Capricorn - Earth</v>
      </c>
    </row>
    <row r="24" spans="1:219" x14ac:dyDescent="0.3">
      <c r="Q24" s="405">
        <v>9</v>
      </c>
      <c r="R24" s="111">
        <f ca="1">MasterTables!CF29</f>
        <v>9</v>
      </c>
      <c r="S24" s="111">
        <f ca="1">MasterTables!CG29</f>
        <v>0</v>
      </c>
      <c r="T24" s="239"/>
      <c r="U24" s="239"/>
      <c r="Z24" s="35"/>
      <c r="AA24" s="338">
        <v>7</v>
      </c>
      <c r="AB24" s="320">
        <f t="shared" si="5"/>
        <v>24</v>
      </c>
      <c r="AC24" s="338">
        <f t="shared" si="6"/>
        <v>6</v>
      </c>
      <c r="AD24" s="333" t="str">
        <f t="shared" si="7"/>
        <v>G</v>
      </c>
      <c r="AE24" s="419" t="str">
        <f t="shared" ca="1" si="8"/>
        <v>G</v>
      </c>
      <c r="AG24" s="338">
        <v>7</v>
      </c>
      <c r="AH24" s="324">
        <f t="shared" si="9"/>
        <v>73</v>
      </c>
      <c r="AI24" s="324">
        <f t="shared" si="10"/>
        <v>1</v>
      </c>
      <c r="AJ24" s="333" t="str">
        <f t="shared" si="11"/>
        <v>G</v>
      </c>
      <c r="AK24" s="419" t="str">
        <f t="shared" ca="1" si="12"/>
        <v>G</v>
      </c>
      <c r="AU24" s="43"/>
      <c r="GB24" s="15">
        <v>23</v>
      </c>
      <c r="GC24" s="24" t="s">
        <v>64</v>
      </c>
      <c r="GG24" s="15"/>
      <c r="GH24" s="15" t="s">
        <v>14</v>
      </c>
      <c r="GI24" s="15" t="s">
        <v>22</v>
      </c>
      <c r="GJ24" s="15" t="s">
        <v>27</v>
      </c>
      <c r="GK24" s="15" t="s">
        <v>29</v>
      </c>
      <c r="GL24" s="15" t="s">
        <v>19</v>
      </c>
      <c r="GM24" s="15" t="s">
        <v>51</v>
      </c>
      <c r="GN24" s="15" t="s">
        <v>52</v>
      </c>
      <c r="GO24" s="15" t="s">
        <v>21</v>
      </c>
      <c r="GP24" s="15"/>
      <c r="GR24" s="15" t="s">
        <v>53</v>
      </c>
      <c r="GS24" s="15">
        <v>3</v>
      </c>
      <c r="GU24" s="15">
        <v>11</v>
      </c>
      <c r="GV24" s="24" t="s">
        <v>23</v>
      </c>
      <c r="HG24" s="25">
        <v>43842</v>
      </c>
      <c r="HH24" s="14" t="str">
        <f t="shared" si="3"/>
        <v>12-Jan</v>
      </c>
      <c r="HI24" s="14" t="s">
        <v>113</v>
      </c>
      <c r="HJ24" s="14" t="s">
        <v>130</v>
      </c>
      <c r="HK24" s="14" t="str">
        <f t="shared" si="2"/>
        <v>Capricorn - Earth</v>
      </c>
    </row>
    <row r="25" spans="1:219" x14ac:dyDescent="0.3">
      <c r="Z25" s="216"/>
      <c r="AA25" s="338">
        <v>8</v>
      </c>
      <c r="AB25" s="320">
        <f t="shared" si="5"/>
        <v>25</v>
      </c>
      <c r="AC25" s="338">
        <f t="shared" si="6"/>
        <v>7</v>
      </c>
      <c r="AD25" s="333" t="str">
        <f t="shared" si="7"/>
        <v>VG</v>
      </c>
      <c r="AE25" s="419" t="str">
        <f t="shared" ca="1" si="8"/>
        <v>VG</v>
      </c>
      <c r="AG25" s="338">
        <v>8</v>
      </c>
      <c r="AH25" s="324">
        <f t="shared" si="9"/>
        <v>75</v>
      </c>
      <c r="AI25" s="324">
        <f t="shared" si="10"/>
        <v>3</v>
      </c>
      <c r="AJ25" s="333" t="str">
        <f t="shared" si="11"/>
        <v>G</v>
      </c>
      <c r="AK25" s="419" t="str">
        <f t="shared" ca="1" si="12"/>
        <v>G</v>
      </c>
      <c r="GB25" s="15">
        <v>24</v>
      </c>
      <c r="GC25" s="24" t="s">
        <v>64</v>
      </c>
      <c r="GG25" s="15"/>
      <c r="GH25" s="15" t="s">
        <v>43</v>
      </c>
      <c r="GI25" s="15" t="s">
        <v>50</v>
      </c>
      <c r="GJ25" s="15" t="s">
        <v>20</v>
      </c>
      <c r="GK25" s="15" t="s">
        <v>47</v>
      </c>
      <c r="GL25" s="15" t="s">
        <v>41</v>
      </c>
      <c r="GM25" s="15" t="s">
        <v>56</v>
      </c>
      <c r="GN25" s="15" t="s">
        <v>57</v>
      </c>
      <c r="GO25" s="15" t="s">
        <v>58</v>
      </c>
      <c r="GP25" s="15"/>
      <c r="GR25" s="15" t="s">
        <v>47</v>
      </c>
      <c r="GS25" s="15">
        <v>4</v>
      </c>
      <c r="GU25" s="15">
        <v>12</v>
      </c>
      <c r="GV25" s="40" t="s">
        <v>33</v>
      </c>
      <c r="HG25" s="25">
        <v>43843</v>
      </c>
      <c r="HH25" s="14" t="str">
        <f t="shared" si="3"/>
        <v>13-Jan</v>
      </c>
      <c r="HI25" s="14" t="s">
        <v>113</v>
      </c>
      <c r="HJ25" s="14" t="s">
        <v>130</v>
      </c>
      <c r="HK25" s="14" t="str">
        <f t="shared" si="2"/>
        <v>Capricorn - Earth</v>
      </c>
    </row>
    <row r="26" spans="1:219" x14ac:dyDescent="0.3">
      <c r="Z26" s="216"/>
      <c r="AA26" s="338">
        <v>9</v>
      </c>
      <c r="AB26" s="320">
        <f t="shared" si="5"/>
        <v>27</v>
      </c>
      <c r="AC26" s="338">
        <f t="shared" si="6"/>
        <v>9</v>
      </c>
      <c r="AD26" s="333" t="str">
        <f t="shared" si="7"/>
        <v>A</v>
      </c>
      <c r="AE26" s="419" t="str">
        <f t="shared" ca="1" si="8"/>
        <v>A</v>
      </c>
      <c r="AG26" s="338">
        <v>9</v>
      </c>
      <c r="AH26" s="324">
        <f t="shared" si="9"/>
        <v>77</v>
      </c>
      <c r="AI26" s="324">
        <f t="shared" si="10"/>
        <v>5</v>
      </c>
      <c r="AJ26" s="333" t="str">
        <f t="shared" si="11"/>
        <v>F</v>
      </c>
      <c r="AK26" s="419" t="str">
        <f t="shared" ca="1" si="12"/>
        <v>F</v>
      </c>
      <c r="GB26" s="15">
        <v>25</v>
      </c>
      <c r="GC26" s="40" t="s">
        <v>20</v>
      </c>
      <c r="GG26" s="15"/>
      <c r="GH26" s="15" t="s">
        <v>46</v>
      </c>
      <c r="GI26" s="15" t="s">
        <v>59</v>
      </c>
      <c r="GJ26" s="15" t="s">
        <v>53</v>
      </c>
      <c r="GK26" s="15" t="s">
        <v>60</v>
      </c>
      <c r="GL26" s="15" t="s">
        <v>61</v>
      </c>
      <c r="GM26" s="15" t="s">
        <v>62</v>
      </c>
      <c r="GN26" s="15"/>
      <c r="GO26" s="15"/>
      <c r="GP26" s="15"/>
      <c r="GR26" s="15" t="s">
        <v>61</v>
      </c>
      <c r="GS26" s="15">
        <v>5</v>
      </c>
      <c r="GU26" s="15">
        <v>13</v>
      </c>
      <c r="GV26" s="40" t="s">
        <v>33</v>
      </c>
      <c r="HG26" s="25">
        <v>43844</v>
      </c>
      <c r="HH26" s="14" t="str">
        <f t="shared" si="3"/>
        <v>14-Jan</v>
      </c>
      <c r="HI26" s="14" t="s">
        <v>113</v>
      </c>
      <c r="HJ26" s="14" t="s">
        <v>130</v>
      </c>
      <c r="HK26" s="14" t="str">
        <f t="shared" si="2"/>
        <v>Capricorn - Earth</v>
      </c>
    </row>
    <row r="27" spans="1:219" ht="15" thickBot="1" x14ac:dyDescent="0.35">
      <c r="Q27" s="342" t="s">
        <v>15</v>
      </c>
      <c r="R27" s="342" t="s">
        <v>194</v>
      </c>
      <c r="S27" s="342" t="s">
        <v>195</v>
      </c>
      <c r="T27" s="239"/>
      <c r="U27" s="343" t="s">
        <v>198</v>
      </c>
      <c r="Z27" s="216"/>
      <c r="AA27" s="340">
        <v>10</v>
      </c>
      <c r="AB27" s="341">
        <f t="shared" si="5"/>
        <v>30</v>
      </c>
      <c r="AC27" s="340">
        <f t="shared" si="6"/>
        <v>3</v>
      </c>
      <c r="AD27" s="422" t="str">
        <f t="shared" si="7"/>
        <v>G</v>
      </c>
      <c r="AE27" s="423" t="str">
        <f t="shared" ca="1" si="8"/>
        <v>G</v>
      </c>
      <c r="AG27" s="340">
        <v>10</v>
      </c>
      <c r="AH27" s="327">
        <f t="shared" si="9"/>
        <v>78</v>
      </c>
      <c r="AI27" s="327">
        <f t="shared" si="10"/>
        <v>6</v>
      </c>
      <c r="AJ27" s="422" t="str">
        <f t="shared" si="11"/>
        <v>G</v>
      </c>
      <c r="AK27" s="423" t="str">
        <f t="shared" ca="1" si="12"/>
        <v>G</v>
      </c>
      <c r="GB27" s="15">
        <v>27</v>
      </c>
      <c r="GC27" s="40" t="s">
        <v>20</v>
      </c>
      <c r="GG27" s="15"/>
      <c r="GH27" s="15" t="s">
        <v>63</v>
      </c>
      <c r="GI27" s="15"/>
      <c r="GJ27" s="15" t="s">
        <v>64</v>
      </c>
      <c r="GK27" s="15"/>
      <c r="GL27" s="15" t="s">
        <v>23</v>
      </c>
      <c r="GM27" s="15"/>
      <c r="GN27" s="15"/>
      <c r="GO27" s="15"/>
      <c r="GP27" s="15"/>
      <c r="GR27" s="15" t="s">
        <v>52</v>
      </c>
      <c r="GS27" s="15">
        <v>7</v>
      </c>
      <c r="GU27" s="15">
        <v>14</v>
      </c>
      <c r="GV27" s="40" t="s">
        <v>33</v>
      </c>
      <c r="HG27" s="25">
        <v>43845</v>
      </c>
      <c r="HH27" s="14" t="str">
        <f t="shared" si="3"/>
        <v>15-Jan</v>
      </c>
      <c r="HI27" s="14" t="s">
        <v>113</v>
      </c>
      <c r="HJ27" s="14" t="s">
        <v>130</v>
      </c>
      <c r="HK27" s="14" t="str">
        <f t="shared" si="2"/>
        <v>Capricorn - Earth</v>
      </c>
    </row>
    <row r="28" spans="1:219" ht="15" thickBot="1" x14ac:dyDescent="0.35">
      <c r="Q28" s="405">
        <v>1</v>
      </c>
      <c r="R28" s="111">
        <f ca="1">MasterTables!CF42</f>
        <v>0</v>
      </c>
      <c r="S28" s="111">
        <f>MasterTables!CG42</f>
        <v>0</v>
      </c>
      <c r="T28" s="239"/>
      <c r="U28" s="344">
        <f>MasterTables!BX42</f>
        <v>2</v>
      </c>
      <c r="GB28" s="15">
        <v>30</v>
      </c>
      <c r="GC28" s="24" t="s">
        <v>64</v>
      </c>
      <c r="GG28" s="15"/>
      <c r="GH28" s="15" t="s">
        <v>48</v>
      </c>
      <c r="GI28" s="15"/>
      <c r="GJ28" s="15"/>
      <c r="GK28" s="15"/>
      <c r="GL28" s="15"/>
      <c r="GM28" s="15"/>
      <c r="GN28" s="15"/>
      <c r="GO28" s="15"/>
      <c r="GP28" s="15"/>
      <c r="GR28" s="15" t="s">
        <v>58</v>
      </c>
      <c r="GS28" s="15">
        <v>8</v>
      </c>
      <c r="GU28" s="15">
        <v>15</v>
      </c>
      <c r="GV28" s="40" t="s">
        <v>33</v>
      </c>
      <c r="HG28" s="25">
        <v>43846</v>
      </c>
      <c r="HH28" s="14" t="str">
        <f t="shared" si="3"/>
        <v>16-Jan</v>
      </c>
      <c r="HI28" s="14" t="s">
        <v>113</v>
      </c>
      <c r="HJ28" s="14" t="s">
        <v>130</v>
      </c>
      <c r="HK28" s="14" t="str">
        <f t="shared" si="2"/>
        <v>Capricorn - Earth</v>
      </c>
    </row>
    <row r="29" spans="1:219" ht="15" thickBot="1" x14ac:dyDescent="0.35">
      <c r="A29" s="601" t="s">
        <v>191</v>
      </c>
      <c r="B29" s="602"/>
      <c r="C29" s="11"/>
      <c r="D29" s="210"/>
      <c r="E29" s="212"/>
      <c r="F29" s="11"/>
      <c r="G29" s="411"/>
      <c r="H29" s="18"/>
      <c r="I29" s="18"/>
      <c r="J29" s="328"/>
      <c r="K29" s="329"/>
      <c r="L29" s="329"/>
      <c r="M29" s="603" t="s">
        <v>241</v>
      </c>
      <c r="N29" s="604"/>
      <c r="O29" s="412"/>
      <c r="Q29" s="405">
        <v>2</v>
      </c>
      <c r="R29" s="111">
        <f>MasterTables!CF43</f>
        <v>0</v>
      </c>
      <c r="S29" s="111">
        <f>MasterTables!CG43</f>
        <v>0</v>
      </c>
      <c r="T29" s="239"/>
      <c r="U29" s="344">
        <f>MasterTables!BX43</f>
        <v>1</v>
      </c>
      <c r="GB29" s="15">
        <v>32</v>
      </c>
      <c r="GC29" s="40" t="s">
        <v>20</v>
      </c>
      <c r="GR29" s="15" t="s">
        <v>63</v>
      </c>
      <c r="GS29" s="15">
        <v>1</v>
      </c>
      <c r="GU29" s="15">
        <v>16</v>
      </c>
      <c r="GV29" s="24" t="s">
        <v>23</v>
      </c>
      <c r="GX29" s="15"/>
      <c r="GY29" s="42" t="s">
        <v>4</v>
      </c>
      <c r="GZ29" s="16" t="s">
        <v>5</v>
      </c>
      <c r="HA29" s="16" t="s">
        <v>6</v>
      </c>
      <c r="HB29" s="16" t="s">
        <v>7</v>
      </c>
      <c r="HC29" s="16" t="s">
        <v>8</v>
      </c>
      <c r="HD29" s="16" t="s">
        <v>9</v>
      </c>
      <c r="HG29" s="25">
        <v>43847</v>
      </c>
      <c r="HH29" s="14" t="str">
        <f t="shared" si="3"/>
        <v>17-Jan</v>
      </c>
      <c r="HI29" s="14" t="s">
        <v>113</v>
      </c>
      <c r="HJ29" s="14" t="s">
        <v>130</v>
      </c>
      <c r="HK29" s="14" t="str">
        <f t="shared" si="2"/>
        <v>Capricorn - Earth</v>
      </c>
    </row>
    <row r="30" spans="1:219" ht="15" thickBot="1" x14ac:dyDescent="0.35">
      <c r="A30" s="26" t="s">
        <v>17</v>
      </c>
      <c r="B30" s="361" t="s">
        <v>297</v>
      </c>
      <c r="D30" s="414">
        <f>MasterTables!AM13</f>
        <v>24</v>
      </c>
      <c r="E30" s="415">
        <f>IF(D30&lt;10,D30,((LEFT(D30,1))+(RIGHT(D30,1))))</f>
        <v>6</v>
      </c>
      <c r="F30" s="416" t="s">
        <v>24</v>
      </c>
      <c r="G30" s="378" t="str">
        <f>MasterTables!AP13</f>
        <v>*</v>
      </c>
      <c r="J30" s="321" t="s">
        <v>190</v>
      </c>
      <c r="K30" s="113"/>
      <c r="L30" s="113"/>
      <c r="M30" s="318" t="s">
        <v>12</v>
      </c>
      <c r="N30" s="318" t="s">
        <v>13</v>
      </c>
      <c r="O30" s="322"/>
      <c r="Q30" s="405">
        <v>3</v>
      </c>
      <c r="R30" s="111">
        <f ca="1">MasterTables!CF44</f>
        <v>0</v>
      </c>
      <c r="S30" s="111">
        <f>MasterTables!CG44</f>
        <v>0</v>
      </c>
      <c r="T30" s="239"/>
      <c r="U30" s="344">
        <f>MasterTables!BX44</f>
        <v>2</v>
      </c>
      <c r="GB30" s="15">
        <v>33</v>
      </c>
      <c r="GC30" s="40" t="s">
        <v>20</v>
      </c>
      <c r="GR30" s="15" t="s">
        <v>59</v>
      </c>
      <c r="GS30" s="15">
        <v>2</v>
      </c>
      <c r="GU30" s="15">
        <v>17</v>
      </c>
      <c r="GV30" s="40" t="s">
        <v>33</v>
      </c>
      <c r="GX30" s="15"/>
      <c r="GY30" s="42" t="s">
        <v>4</v>
      </c>
      <c r="GZ30" s="16" t="s">
        <v>5</v>
      </c>
      <c r="HA30" s="16" t="s">
        <v>6</v>
      </c>
      <c r="HB30" s="16" t="s">
        <v>7</v>
      </c>
      <c r="HC30" s="16" t="s">
        <v>8</v>
      </c>
      <c r="HD30" s="16" t="s">
        <v>9</v>
      </c>
      <c r="HG30" s="25">
        <v>43848</v>
      </c>
      <c r="HH30" s="14" t="str">
        <f t="shared" si="3"/>
        <v>18-Jan</v>
      </c>
      <c r="HI30" s="14" t="s">
        <v>113</v>
      </c>
      <c r="HJ30" s="14" t="s">
        <v>130</v>
      </c>
      <c r="HK30" s="14" t="str">
        <f t="shared" si="2"/>
        <v>Capricorn - Earth</v>
      </c>
    </row>
    <row r="31" spans="1:219" x14ac:dyDescent="0.3">
      <c r="A31" s="26" t="s">
        <v>30</v>
      </c>
      <c r="B31" s="361"/>
      <c r="D31" s="418">
        <f>MasterTables!AM15</f>
        <v>0</v>
      </c>
      <c r="E31" s="43">
        <f t="shared" ref="E31:E32" si="13">IF(D31&lt;10,D31,((LEFT(D31,1))+(RIGHT(D31,1))))</f>
        <v>0</v>
      </c>
      <c r="F31" s="168"/>
      <c r="G31" s="19"/>
      <c r="J31" s="323" t="s">
        <v>18</v>
      </c>
      <c r="K31" s="113"/>
      <c r="L31" s="319">
        <f>C6</f>
        <v>2</v>
      </c>
      <c r="M31" s="113">
        <f ca="1">IF(N5&lt;=35,"Active",0)</f>
        <v>0</v>
      </c>
      <c r="N31" s="318" t="str">
        <f ca="1">IF(N5&gt;35,"Active",0)</f>
        <v>Active</v>
      </c>
      <c r="O31" s="272"/>
      <c r="Q31" s="405">
        <v>4</v>
      </c>
      <c r="R31" s="111">
        <f ca="1">MasterTables!CF45</f>
        <v>0</v>
      </c>
      <c r="S31" s="111">
        <f>MasterTables!CG45</f>
        <v>0</v>
      </c>
      <c r="T31" s="239"/>
      <c r="U31" s="344">
        <f>MasterTables!BX45</f>
        <v>1</v>
      </c>
      <c r="GB31" s="15">
        <v>34</v>
      </c>
      <c r="GC31" s="24" t="s">
        <v>64</v>
      </c>
      <c r="GR31" s="15" t="s">
        <v>64</v>
      </c>
      <c r="GS31" s="15">
        <v>3</v>
      </c>
      <c r="GU31" s="15">
        <v>18</v>
      </c>
      <c r="GV31" s="24" t="s">
        <v>23</v>
      </c>
      <c r="GX31" s="15"/>
      <c r="GY31" s="15"/>
      <c r="GZ31" s="24">
        <v>1</v>
      </c>
      <c r="HA31" s="24">
        <v>5</v>
      </c>
      <c r="HB31" s="24">
        <v>1</v>
      </c>
      <c r="HC31" s="24">
        <v>7</v>
      </c>
      <c r="HD31" s="24">
        <v>6</v>
      </c>
      <c r="HG31" s="25">
        <v>43849</v>
      </c>
      <c r="HH31" s="14" t="str">
        <f t="shared" si="3"/>
        <v>19-Jan</v>
      </c>
      <c r="HI31" s="14" t="s">
        <v>113</v>
      </c>
      <c r="HJ31" s="14" t="s">
        <v>130</v>
      </c>
      <c r="HK31" s="14" t="str">
        <f t="shared" si="2"/>
        <v>Capricorn - Earth</v>
      </c>
    </row>
    <row r="32" spans="1:219" ht="15" thickBot="1" x14ac:dyDescent="0.35">
      <c r="A32" s="26" t="s">
        <v>37</v>
      </c>
      <c r="B32" s="361"/>
      <c r="D32" s="418">
        <f>MasterTables!AM17</f>
        <v>0</v>
      </c>
      <c r="E32" s="43">
        <f t="shared" si="13"/>
        <v>0</v>
      </c>
      <c r="F32" s="168"/>
      <c r="G32" s="19"/>
      <c r="J32" s="323" t="s">
        <v>25</v>
      </c>
      <c r="K32" s="113"/>
      <c r="L32" s="319">
        <f ca="1">C7</f>
        <v>2</v>
      </c>
      <c r="M32" s="113"/>
      <c r="N32" s="113"/>
      <c r="O32" s="272"/>
      <c r="Q32" s="405">
        <v>5</v>
      </c>
      <c r="R32" s="111">
        <f ca="1">MasterTables!CF46</f>
        <v>0</v>
      </c>
      <c r="S32" s="111">
        <f>MasterTables!CG46</f>
        <v>0</v>
      </c>
      <c r="T32" s="239"/>
      <c r="U32" s="344">
        <f>MasterTables!BX46</f>
        <v>2</v>
      </c>
      <c r="GB32" s="15">
        <v>36</v>
      </c>
      <c r="GC32" s="40" t="s">
        <v>20</v>
      </c>
      <c r="GR32" s="15" t="s">
        <v>60</v>
      </c>
      <c r="GS32" s="15">
        <v>4</v>
      </c>
      <c r="GU32" s="15">
        <v>19</v>
      </c>
      <c r="GV32" s="24" t="s">
        <v>67</v>
      </c>
      <c r="GX32" s="15"/>
      <c r="GY32" s="15"/>
      <c r="GZ32" s="24"/>
      <c r="HA32" s="24"/>
      <c r="HB32" s="24"/>
      <c r="HC32" s="24"/>
      <c r="HD32" s="24"/>
      <c r="HG32" s="25">
        <v>43850</v>
      </c>
      <c r="HH32" s="14" t="str">
        <f t="shared" si="3"/>
        <v>20-Jan</v>
      </c>
      <c r="HI32" s="14" t="s">
        <v>114</v>
      </c>
      <c r="HJ32" s="14" t="s">
        <v>132</v>
      </c>
      <c r="HK32" s="14" t="str">
        <f t="shared" si="2"/>
        <v>Aquarius - Air</v>
      </c>
    </row>
    <row r="33" spans="1:219" ht="15" thickBot="1" x14ac:dyDescent="0.35">
      <c r="A33" s="49"/>
      <c r="B33" s="64"/>
      <c r="C33" s="50"/>
      <c r="D33" s="414">
        <f>SUM(D30:D32)</f>
        <v>24</v>
      </c>
      <c r="E33" s="415">
        <f>SUM(E30:E32)</f>
        <v>6</v>
      </c>
      <c r="F33" s="416" t="s">
        <v>31</v>
      </c>
      <c r="G33" s="378" t="str">
        <f>MasterTables!AP18</f>
        <v>*</v>
      </c>
      <c r="J33" s="323" t="s">
        <v>24</v>
      </c>
      <c r="K33" s="113">
        <f>D30</f>
        <v>24</v>
      </c>
      <c r="L33" s="319">
        <f>MOD(K33-1,9)+1</f>
        <v>6</v>
      </c>
      <c r="M33" s="113" t="str">
        <f>INDEX($AH$2:$AQ$11,MATCH(L33,$AH$2:$AQ$2,0),MATCH($L$31,$AH$2:$AH$11,0))</f>
        <v>G</v>
      </c>
      <c r="N33" s="113" t="str">
        <f ca="1">INDEX($AH$2:$AQ$11,MATCH(L33,$AH$2:$AQ$2,0),MATCH($L$32,$AH$2:$AH$11,0))</f>
        <v>G</v>
      </c>
      <c r="O33" s="324"/>
      <c r="Q33" s="405">
        <v>6</v>
      </c>
      <c r="R33" s="111">
        <f ca="1">MasterTables!CF47</f>
        <v>0</v>
      </c>
      <c r="S33" s="111">
        <f ca="1">MasterTables!CG47</f>
        <v>6</v>
      </c>
      <c r="T33" s="239"/>
      <c r="U33" s="344">
        <f>MasterTables!BX47</f>
        <v>0</v>
      </c>
      <c r="GB33" s="15">
        <v>37</v>
      </c>
      <c r="GC33" s="40" t="s">
        <v>20</v>
      </c>
      <c r="GR33" s="15" t="s">
        <v>51</v>
      </c>
      <c r="GS33" s="15">
        <v>6</v>
      </c>
      <c r="GU33" s="15">
        <v>20</v>
      </c>
      <c r="GV33" s="40" t="s">
        <v>33</v>
      </c>
      <c r="GX33" s="15" t="s">
        <v>28</v>
      </c>
      <c r="GY33" s="15">
        <f ca="1">(GZ33*GZ34)+(HA33*HA34)+(HB33*HB34)+(HC33*HC34)+(HD33*HD34)</f>
        <v>0</v>
      </c>
      <c r="GZ33" s="34">
        <f ca="1">IFERROR((HLOOKUP(GZ30,C35:T36,2,0)),0)</f>
        <v>0</v>
      </c>
      <c r="HA33" s="34">
        <f ca="1">IFERROR((HLOOKUP(HA30,C35:T36,2,0)),0)</f>
        <v>0</v>
      </c>
      <c r="HB33" s="34">
        <f ca="1">IFERROR((HLOOKUP(HB30,C35:T36,2,0)),0)</f>
        <v>0</v>
      </c>
      <c r="HC33" s="34">
        <f ca="1">IFERROR((HLOOKUP(HC30,C35:T36,2,0)),0)</f>
        <v>0</v>
      </c>
      <c r="HD33" s="34">
        <f ca="1">IFERROR((HLOOKUP(HD30,C35:T36,2,0)),0)</f>
        <v>0</v>
      </c>
      <c r="HG33" s="25">
        <v>43851</v>
      </c>
      <c r="HH33" s="14" t="str">
        <f t="shared" si="3"/>
        <v>21-Jan</v>
      </c>
      <c r="HI33" s="14" t="s">
        <v>114</v>
      </c>
      <c r="HJ33" s="14" t="s">
        <v>132</v>
      </c>
      <c r="HK33" s="14" t="str">
        <f t="shared" si="2"/>
        <v>Aquarius - Air</v>
      </c>
    </row>
    <row r="34" spans="1:219" ht="15" thickBot="1" x14ac:dyDescent="0.35">
      <c r="J34" s="323" t="s">
        <v>31</v>
      </c>
      <c r="K34" s="113">
        <f>D33</f>
        <v>24</v>
      </c>
      <c r="L34" s="319">
        <f>MOD(K34-1,9)+1</f>
        <v>6</v>
      </c>
      <c r="M34" s="113" t="str">
        <f>INDEX($AH$2:$AQ$11,MATCH(L34,$AH$2:$AQ$2,0),MATCH($L$31,$AH$2:$AH$11,0))</f>
        <v>G</v>
      </c>
      <c r="N34" s="113" t="str">
        <f ca="1">INDEX($AH$2:$AQ$11,MATCH(L34,$AH$2:$AQ$2,0),MATCH($L$32,$AH$2:$AH$11,0))</f>
        <v>G</v>
      </c>
      <c r="O34" s="324"/>
      <c r="Q34" s="405">
        <v>7</v>
      </c>
      <c r="R34" s="111">
        <f ca="1">MasterTables!CF48</f>
        <v>0</v>
      </c>
      <c r="S34" s="111">
        <f ca="1">MasterTables!CG48</f>
        <v>7</v>
      </c>
      <c r="T34" s="239"/>
      <c r="U34" s="344">
        <f>MasterTables!BX48</f>
        <v>0</v>
      </c>
      <c r="GB34" s="15">
        <v>38</v>
      </c>
      <c r="GC34" s="24" t="s">
        <v>64</v>
      </c>
      <c r="GR34" s="15" t="s">
        <v>56</v>
      </c>
      <c r="GS34" s="15">
        <v>6</v>
      </c>
      <c r="GU34" s="15">
        <v>21</v>
      </c>
      <c r="GV34" s="24" t="s">
        <v>67</v>
      </c>
      <c r="GX34" s="15"/>
      <c r="GY34" s="15"/>
      <c r="GZ34" s="24">
        <f ca="1">COUNTIFS(C35:T35,GZ30)</f>
        <v>0</v>
      </c>
      <c r="HA34" s="24">
        <f ca="1">COUNTIFS(C35:T35,HA30)</f>
        <v>0</v>
      </c>
      <c r="HB34" s="24">
        <f ca="1">COUNTIFS(C35:T35,HB30)</f>
        <v>0</v>
      </c>
      <c r="HC34" s="24">
        <f ca="1">COUNTIFS(C35:T35,HC30)</f>
        <v>0</v>
      </c>
      <c r="HD34" s="24">
        <f ca="1">COUNTIFS(C35:T35,HD30)</f>
        <v>0</v>
      </c>
      <c r="HG34" s="25">
        <v>43852</v>
      </c>
      <c r="HH34" s="14" t="str">
        <f t="shared" si="3"/>
        <v>22-Jan</v>
      </c>
      <c r="HI34" s="14" t="s">
        <v>114</v>
      </c>
      <c r="HJ34" s="14" t="s">
        <v>132</v>
      </c>
      <c r="HK34" s="14" t="str">
        <f t="shared" si="2"/>
        <v>Aquarius - Air</v>
      </c>
    </row>
    <row r="35" spans="1:219" ht="15" thickBot="1" x14ac:dyDescent="0.35">
      <c r="D35" s="421" t="s">
        <v>211</v>
      </c>
      <c r="E35" s="220">
        <f ca="1">IF($N$5&gt;35,(MOD(L32+L34-1,9)+1),0)</f>
        <v>8</v>
      </c>
      <c r="J35" s="323" t="s">
        <v>32</v>
      </c>
      <c r="K35" s="113">
        <f>MasterTables!AQ19</f>
        <v>7</v>
      </c>
      <c r="L35" s="319">
        <f>MOD(K35-1,9)+1</f>
        <v>7</v>
      </c>
      <c r="M35" s="113" t="str">
        <f>INDEX($AH$2:$AQ$11,MATCH(L35,$AH$2:$AQ$2,0),MATCH($L$31,$AH$2:$AH$11,0))</f>
        <v>VG</v>
      </c>
      <c r="N35" s="113" t="str">
        <f ca="1">INDEX($AH$2:$AQ$11,MATCH(L35,$AH$2:$AQ$2,0),MATCH($L$32,$AH$2:$AH$11,0))</f>
        <v>VG</v>
      </c>
      <c r="O35" s="324"/>
      <c r="Q35" s="405">
        <v>8</v>
      </c>
      <c r="R35" s="111">
        <f ca="1">MasterTables!CF49</f>
        <v>0</v>
      </c>
      <c r="S35" s="111">
        <f ca="1">MasterTables!CG49</f>
        <v>8</v>
      </c>
      <c r="T35" s="239"/>
      <c r="U35" s="344">
        <f>MasterTables!BX49</f>
        <v>0</v>
      </c>
      <c r="GB35" s="15">
        <v>39</v>
      </c>
      <c r="GC35" s="24" t="s">
        <v>64</v>
      </c>
      <c r="GR35" s="15" t="s">
        <v>62</v>
      </c>
      <c r="GS35" s="15">
        <v>6</v>
      </c>
      <c r="GU35" s="15">
        <v>22</v>
      </c>
      <c r="GV35" s="24" t="s">
        <v>23</v>
      </c>
      <c r="GX35" s="15"/>
      <c r="GY35" s="15"/>
      <c r="GZ35" s="24"/>
      <c r="HA35" s="24"/>
      <c r="HB35" s="24"/>
      <c r="HC35" s="24"/>
      <c r="HD35" s="24"/>
      <c r="HG35" s="25">
        <v>43853</v>
      </c>
      <c r="HH35" s="14" t="str">
        <f t="shared" si="3"/>
        <v>23-Jan</v>
      </c>
      <c r="HI35" s="14" t="s">
        <v>114</v>
      </c>
      <c r="HJ35" s="14" t="s">
        <v>132</v>
      </c>
      <c r="HK35" s="14" t="str">
        <f t="shared" si="2"/>
        <v>Aquarius - Air</v>
      </c>
    </row>
    <row r="36" spans="1:219" ht="15" thickBot="1" x14ac:dyDescent="0.35">
      <c r="J36" s="325" t="s">
        <v>35</v>
      </c>
      <c r="K36" s="263">
        <f>K34-K35</f>
        <v>17</v>
      </c>
      <c r="L36" s="326">
        <f>MOD(K36-1,9)+1</f>
        <v>8</v>
      </c>
      <c r="M36" s="263" t="str">
        <f>INDEX($AH$2:$AQ$11,MATCH(L36,$AH$2:$AQ$2,0),MATCH($L$31,$AH$2:$AH$11,0))</f>
        <v>A</v>
      </c>
      <c r="N36" s="263" t="str">
        <f ca="1">INDEX($AH$2:$AQ$11,MATCH(L36,$AH$2:$AQ$2,0),MATCH($L$32,$AH$2:$AH$11,0))</f>
        <v>A</v>
      </c>
      <c r="O36" s="327"/>
      <c r="Q36" s="405">
        <v>9</v>
      </c>
      <c r="R36" s="111">
        <f ca="1">MasterTables!CF50</f>
        <v>9</v>
      </c>
      <c r="S36" s="111">
        <f ca="1">MasterTables!CG50</f>
        <v>0</v>
      </c>
      <c r="T36" s="239"/>
      <c r="U36" s="239">
        <f>MasterTables!BX50</f>
        <v>0</v>
      </c>
      <c r="GB36" s="15">
        <v>41</v>
      </c>
      <c r="GC36" s="40" t="s">
        <v>20</v>
      </c>
      <c r="GR36" s="15" t="s">
        <v>23</v>
      </c>
      <c r="GS36" s="15">
        <v>5</v>
      </c>
      <c r="GU36" s="15">
        <v>23</v>
      </c>
      <c r="GV36" s="24" t="s">
        <v>67</v>
      </c>
      <c r="GX36" s="14" t="s">
        <v>34</v>
      </c>
      <c r="GY36" s="15">
        <f>(GZ36*GZ37)+(HA36*HA37)+(HB36*HB37)+(HC36*HC37)+(HD36*HD37)</f>
        <v>0</v>
      </c>
      <c r="GZ36" s="34">
        <f>IFERROR((HLOOKUP(GZ30,C37:T38,2,0)),0)</f>
        <v>0</v>
      </c>
      <c r="HA36" s="34">
        <f>IFERROR((HLOOKUP(HA30,C37:T38,2,0)),0)</f>
        <v>0</v>
      </c>
      <c r="HB36" s="34">
        <f>IFERROR((HLOOKUP(HB30,C37:T38,2,0)),0)</f>
        <v>0</v>
      </c>
      <c r="HC36" s="34">
        <f>IFERROR((HLOOKUP(HC30,C37:T38,2,0)),0)</f>
        <v>0</v>
      </c>
      <c r="HD36" s="34">
        <f>IFERROR((HLOOKUP(HD30,C37:T38,2,0)),0)</f>
        <v>0</v>
      </c>
      <c r="HG36" s="25">
        <v>43854</v>
      </c>
      <c r="HH36" s="14" t="str">
        <f t="shared" si="3"/>
        <v>24-Jan</v>
      </c>
      <c r="HI36" s="14" t="s">
        <v>114</v>
      </c>
      <c r="HJ36" s="14" t="s">
        <v>132</v>
      </c>
      <c r="HK36" s="14" t="str">
        <f t="shared" si="2"/>
        <v>Aquarius - Air</v>
      </c>
    </row>
    <row r="37" spans="1:219" x14ac:dyDescent="0.3">
      <c r="GB37" s="15">
        <v>42</v>
      </c>
      <c r="GC37" s="40" t="s">
        <v>20</v>
      </c>
      <c r="GR37" s="15" t="s">
        <v>48</v>
      </c>
      <c r="GS37" s="15">
        <v>1</v>
      </c>
      <c r="GU37" s="15">
        <v>24</v>
      </c>
      <c r="GV37" s="24" t="s">
        <v>67</v>
      </c>
      <c r="GZ37" s="24">
        <f>COUNTIFS(C37:T37,GZ30)</f>
        <v>0</v>
      </c>
      <c r="HA37" s="24">
        <f>COUNTIFS(C37:T37,HA30)</f>
        <v>0</v>
      </c>
      <c r="HB37" s="24">
        <f>COUNTIFS(C37:T37,HB30)</f>
        <v>0</v>
      </c>
      <c r="HC37" s="24">
        <f>COUNTIFS(C37:T37,HC30)</f>
        <v>0</v>
      </c>
      <c r="HD37" s="24">
        <f>COUNTIFS(C37:T37,HD30)</f>
        <v>0</v>
      </c>
      <c r="HG37" s="25">
        <v>43855</v>
      </c>
      <c r="HH37" s="14" t="str">
        <f t="shared" si="3"/>
        <v>25-Jan</v>
      </c>
      <c r="HI37" s="14" t="s">
        <v>114</v>
      </c>
      <c r="HJ37" s="14" t="s">
        <v>132</v>
      </c>
      <c r="HK37" s="14" t="str">
        <f t="shared" si="2"/>
        <v>Aquarius - Air</v>
      </c>
    </row>
    <row r="38" spans="1:219" ht="15" thickBot="1" x14ac:dyDescent="0.35">
      <c r="Q38" s="342" t="s">
        <v>15</v>
      </c>
      <c r="R38" s="342" t="s">
        <v>194</v>
      </c>
      <c r="S38" s="342" t="s">
        <v>195</v>
      </c>
      <c r="T38" s="239"/>
      <c r="U38" s="343" t="s">
        <v>198</v>
      </c>
      <c r="GB38" s="15">
        <v>43</v>
      </c>
      <c r="GC38" s="40" t="s">
        <v>20</v>
      </c>
      <c r="GR38" s="15" t="s">
        <v>57</v>
      </c>
      <c r="GS38" s="15">
        <v>7</v>
      </c>
      <c r="GU38" s="15">
        <v>25</v>
      </c>
      <c r="GV38" s="40" t="s">
        <v>33</v>
      </c>
      <c r="HG38" s="25">
        <v>43856</v>
      </c>
      <c r="HH38" s="14" t="str">
        <f t="shared" si="3"/>
        <v>26-Jan</v>
      </c>
      <c r="HI38" s="14" t="s">
        <v>114</v>
      </c>
      <c r="HJ38" s="14" t="s">
        <v>132</v>
      </c>
      <c r="HK38" s="14" t="str">
        <f t="shared" si="2"/>
        <v>Aquarius - Air</v>
      </c>
    </row>
    <row r="39" spans="1:219" ht="15" thickBot="1" x14ac:dyDescent="0.35">
      <c r="A39" s="601" t="s">
        <v>192</v>
      </c>
      <c r="B39" s="602"/>
      <c r="C39" s="11"/>
      <c r="D39" s="210"/>
      <c r="E39" s="212"/>
      <c r="F39" s="11"/>
      <c r="G39" s="411"/>
      <c r="H39" s="18"/>
      <c r="I39" s="18"/>
      <c r="J39" s="328"/>
      <c r="K39" s="329"/>
      <c r="L39" s="329"/>
      <c r="M39" s="603" t="s">
        <v>242</v>
      </c>
      <c r="N39" s="604"/>
      <c r="O39" s="412"/>
      <c r="Q39" s="405">
        <v>1</v>
      </c>
      <c r="R39" s="111">
        <f ca="1">MasterTables!CF63</f>
        <v>0</v>
      </c>
      <c r="S39" s="111">
        <f>MasterTables!CG63</f>
        <v>0</v>
      </c>
      <c r="T39" s="239"/>
      <c r="U39" s="344">
        <f>MasterTables!BX63</f>
        <v>5</v>
      </c>
      <c r="GB39" s="15">
        <v>45</v>
      </c>
      <c r="GC39" s="24" t="s">
        <v>64</v>
      </c>
      <c r="GR39" s="176" t="s">
        <v>173</v>
      </c>
      <c r="GS39" s="15">
        <v>1</v>
      </c>
      <c r="GU39" s="15">
        <v>26</v>
      </c>
      <c r="GV39" s="24" t="s">
        <v>23</v>
      </c>
      <c r="GX39" s="15" t="s">
        <v>44</v>
      </c>
      <c r="GY39" s="15">
        <f ca="1">(GZ39*GZ40)+(HA39*HA40)+(HB39*HB40)+(HC39*HC40)+(HD39*HD40)</f>
        <v>0</v>
      </c>
      <c r="GZ39" s="34">
        <f ca="1">IFERROR((HLOOKUP(GZ30,C39:T40,2,0)),0)</f>
        <v>0</v>
      </c>
      <c r="HA39" s="34">
        <f ca="1">IFERROR((HLOOKUP(HA30,C39:T40,2,0)),0)</f>
        <v>0</v>
      </c>
      <c r="HB39" s="34">
        <f ca="1">IFERROR((HLOOKUP(HB30,C39:T40,2,0)),0)</f>
        <v>0</v>
      </c>
      <c r="HC39" s="34">
        <f ca="1">IFERROR((HLOOKUP(HC30,C39:T40,2,0)),0)</f>
        <v>0</v>
      </c>
      <c r="HD39" s="34">
        <f ca="1">IFERROR((HLOOKUP(HD30,C39:T40,2,0)),0)</f>
        <v>0</v>
      </c>
      <c r="HG39" s="25">
        <v>43857</v>
      </c>
      <c r="HH39" s="14" t="str">
        <f t="shared" si="3"/>
        <v>27-Jan</v>
      </c>
      <c r="HI39" s="14" t="s">
        <v>114</v>
      </c>
      <c r="HJ39" s="14" t="s">
        <v>132</v>
      </c>
      <c r="HK39" s="14" t="str">
        <f t="shared" si="2"/>
        <v>Aquarius - Air</v>
      </c>
    </row>
    <row r="40" spans="1:219" ht="15" thickBot="1" x14ac:dyDescent="0.35">
      <c r="A40" s="26" t="s">
        <v>17</v>
      </c>
      <c r="B40" s="361" t="s">
        <v>295</v>
      </c>
      <c r="D40" s="414">
        <f>MasterTables!AM23</f>
        <v>23</v>
      </c>
      <c r="E40" s="415">
        <f>IF(D40&lt;10,D40,((LEFT(D40,1))+(RIGHT(D40,1))))</f>
        <v>5</v>
      </c>
      <c r="F40" s="416" t="s">
        <v>24</v>
      </c>
      <c r="G40" s="378" t="str">
        <f>MasterTables!AP23</f>
        <v>*</v>
      </c>
      <c r="J40" s="321" t="s">
        <v>199</v>
      </c>
      <c r="K40" s="113"/>
      <c r="L40" s="113"/>
      <c r="M40" s="318" t="s">
        <v>12</v>
      </c>
      <c r="N40" s="318" t="s">
        <v>13</v>
      </c>
      <c r="O40" s="322"/>
      <c r="Q40" s="405">
        <v>2</v>
      </c>
      <c r="R40" s="111">
        <f>MasterTables!CF64</f>
        <v>0</v>
      </c>
      <c r="S40" s="111">
        <f>MasterTables!CG64</f>
        <v>0</v>
      </c>
      <c r="T40" s="239"/>
      <c r="U40" s="344">
        <f>MasterTables!BX64</f>
        <v>1</v>
      </c>
      <c r="GB40" s="15">
        <v>46</v>
      </c>
      <c r="GC40" s="24" t="s">
        <v>64</v>
      </c>
      <c r="GD40" s="42"/>
      <c r="GE40" s="42"/>
      <c r="GR40" s="176" t="s">
        <v>174</v>
      </c>
      <c r="GS40" s="15">
        <v>2</v>
      </c>
      <c r="GU40" s="15">
        <v>27</v>
      </c>
      <c r="GV40" s="40" t="s">
        <v>33</v>
      </c>
      <c r="GX40" s="15"/>
      <c r="GY40" s="15"/>
      <c r="GZ40" s="24">
        <f ca="1">COUNTIFS(C39:T39,GZ30)</f>
        <v>0</v>
      </c>
      <c r="HA40" s="24">
        <f ca="1">COUNTIFS(C39:T39,HA30)</f>
        <v>0</v>
      </c>
      <c r="HB40" s="24">
        <f ca="1">COUNTIFS(C39:T39,HB30)</f>
        <v>0</v>
      </c>
      <c r="HC40" s="24">
        <f ca="1">COUNTIFS(C39:T39,HC30)</f>
        <v>0</v>
      </c>
      <c r="HD40" s="24">
        <f ca="1">COUNTIFS(C39:T39,HD30)</f>
        <v>0</v>
      </c>
      <c r="HG40" s="25">
        <v>43858</v>
      </c>
      <c r="HH40" s="14" t="str">
        <f t="shared" si="3"/>
        <v>28-Jan</v>
      </c>
      <c r="HI40" s="14" t="s">
        <v>114</v>
      </c>
      <c r="HJ40" s="14" t="s">
        <v>132</v>
      </c>
      <c r="HK40" s="14" t="str">
        <f t="shared" si="2"/>
        <v>Aquarius - Air</v>
      </c>
    </row>
    <row r="41" spans="1:219" x14ac:dyDescent="0.3">
      <c r="A41" s="26" t="s">
        <v>30</v>
      </c>
      <c r="B41" s="361" t="s">
        <v>298</v>
      </c>
      <c r="D41" s="418">
        <f>MasterTables!AM25</f>
        <v>10</v>
      </c>
      <c r="E41" s="43">
        <f t="shared" ref="E41:E42" si="14">IF(D41&lt;10,D41,((LEFT(D41,1))+(RIGHT(D41,1))))</f>
        <v>1</v>
      </c>
      <c r="F41" s="168"/>
      <c r="G41" s="19"/>
      <c r="J41" s="323" t="s">
        <v>18</v>
      </c>
      <c r="K41" s="113"/>
      <c r="L41" s="319">
        <f>C6</f>
        <v>2</v>
      </c>
      <c r="M41" s="113">
        <f ca="1">IF(N5&lt;=35,"Active",0)</f>
        <v>0</v>
      </c>
      <c r="N41" s="318" t="str">
        <f ca="1">IF(N5&gt;35,"Active",0)</f>
        <v>Active</v>
      </c>
      <c r="O41" s="272"/>
      <c r="Q41" s="405">
        <v>3</v>
      </c>
      <c r="R41" s="111">
        <f ca="1">MasterTables!CF65</f>
        <v>0</v>
      </c>
      <c r="S41" s="111">
        <f>MasterTables!CG65</f>
        <v>0</v>
      </c>
      <c r="T41" s="239"/>
      <c r="U41" s="344">
        <f>MasterTables!BX65</f>
        <v>2</v>
      </c>
      <c r="GB41" s="15">
        <v>47</v>
      </c>
      <c r="GC41" s="24" t="s">
        <v>64</v>
      </c>
      <c r="GR41" s="176" t="s">
        <v>175</v>
      </c>
      <c r="GS41" s="15">
        <v>3</v>
      </c>
      <c r="GU41" s="15">
        <v>28</v>
      </c>
      <c r="GV41" s="24" t="s">
        <v>23</v>
      </c>
      <c r="HG41" s="25">
        <v>43859</v>
      </c>
      <c r="HH41" s="14" t="str">
        <f t="shared" si="3"/>
        <v>29-Jan</v>
      </c>
      <c r="HI41" s="14" t="s">
        <v>114</v>
      </c>
      <c r="HJ41" s="14" t="s">
        <v>132</v>
      </c>
      <c r="HK41" s="14" t="str">
        <f t="shared" si="2"/>
        <v>Aquarius - Air</v>
      </c>
    </row>
    <row r="42" spans="1:219" ht="15" thickBot="1" x14ac:dyDescent="0.35">
      <c r="A42" s="26" t="s">
        <v>37</v>
      </c>
      <c r="B42" s="361"/>
      <c r="D42" s="418">
        <f>MasterTables!AM27</f>
        <v>0</v>
      </c>
      <c r="E42" s="43">
        <f t="shared" si="14"/>
        <v>0</v>
      </c>
      <c r="F42" s="168"/>
      <c r="G42" s="19"/>
      <c r="J42" s="323" t="s">
        <v>25</v>
      </c>
      <c r="K42" s="113"/>
      <c r="L42" s="319">
        <f ca="1">C7</f>
        <v>2</v>
      </c>
      <c r="M42" s="113"/>
      <c r="N42" s="113"/>
      <c r="O42" s="272"/>
      <c r="Q42" s="405">
        <v>4</v>
      </c>
      <c r="R42" s="111">
        <f ca="1">MasterTables!CF66</f>
        <v>0</v>
      </c>
      <c r="S42" s="111">
        <f>MasterTables!CG66</f>
        <v>0</v>
      </c>
      <c r="T42" s="239"/>
      <c r="U42" s="344">
        <f>MasterTables!BX66</f>
        <v>1</v>
      </c>
      <c r="GB42" s="15">
        <v>50</v>
      </c>
      <c r="GC42" s="24" t="s">
        <v>64</v>
      </c>
      <c r="GR42" s="176" t="s">
        <v>176</v>
      </c>
      <c r="GS42" s="15">
        <v>4</v>
      </c>
      <c r="GU42" s="15">
        <v>29</v>
      </c>
      <c r="GV42" s="24" t="s">
        <v>23</v>
      </c>
      <c r="HG42" s="25">
        <v>43860</v>
      </c>
      <c r="HH42" s="14" t="str">
        <f t="shared" si="3"/>
        <v>30-Jan</v>
      </c>
      <c r="HI42" s="14" t="s">
        <v>114</v>
      </c>
      <c r="HJ42" s="14" t="s">
        <v>132</v>
      </c>
      <c r="HK42" s="14" t="str">
        <f t="shared" si="2"/>
        <v>Aquarius - Air</v>
      </c>
    </row>
    <row r="43" spans="1:219" ht="15" thickBot="1" x14ac:dyDescent="0.35">
      <c r="A43" s="49"/>
      <c r="B43" s="64"/>
      <c r="C43" s="50"/>
      <c r="D43" s="414">
        <f>SUM(D40:D42)</f>
        <v>33</v>
      </c>
      <c r="E43" s="415">
        <f>SUM(E40:E42)</f>
        <v>6</v>
      </c>
      <c r="F43" s="416" t="s">
        <v>31</v>
      </c>
      <c r="G43" s="378" t="str">
        <f>MasterTables!AP28</f>
        <v>√</v>
      </c>
      <c r="J43" s="323" t="s">
        <v>24</v>
      </c>
      <c r="K43" s="113">
        <f>D40</f>
        <v>23</v>
      </c>
      <c r="L43" s="319">
        <f>MOD(K43-1,9)+1</f>
        <v>5</v>
      </c>
      <c r="M43" s="113" t="str">
        <f>INDEX($AH$2:$AQ$11,MATCH(L43,$AH$2:$AQ$2,0),MATCH($L$17,$AH$2:$AH$11,0))</f>
        <v>F</v>
      </c>
      <c r="N43" s="113" t="str">
        <f ca="1">INDEX($AH$2:$AQ$11,MATCH(L43,$AH$2:$AQ$2,0),MATCH($L$18,$AH$2:$AH$11,0))</f>
        <v>F</v>
      </c>
      <c r="O43" s="324"/>
      <c r="Q43" s="405">
        <v>5</v>
      </c>
      <c r="R43" s="111">
        <f ca="1">MasterTables!CF67</f>
        <v>0</v>
      </c>
      <c r="S43" s="111">
        <f>MasterTables!CG67</f>
        <v>0</v>
      </c>
      <c r="T43" s="239"/>
      <c r="U43" s="344">
        <f>MasterTables!BX67</f>
        <v>2</v>
      </c>
      <c r="GB43" s="15">
        <v>51</v>
      </c>
      <c r="GC43" s="24" t="s">
        <v>64</v>
      </c>
      <c r="GR43" s="176" t="s">
        <v>177</v>
      </c>
      <c r="GS43" s="15">
        <v>5</v>
      </c>
      <c r="GU43" s="15">
        <v>30</v>
      </c>
      <c r="GV43" s="24" t="s">
        <v>67</v>
      </c>
      <c r="HG43" s="25">
        <v>43861</v>
      </c>
      <c r="HH43" s="14" t="str">
        <f t="shared" si="3"/>
        <v>31-Jan</v>
      </c>
      <c r="HI43" s="14" t="s">
        <v>114</v>
      </c>
      <c r="HJ43" s="14" t="s">
        <v>132</v>
      </c>
      <c r="HK43" s="14" t="str">
        <f t="shared" si="2"/>
        <v>Aquarius - Air</v>
      </c>
    </row>
    <row r="44" spans="1:219" ht="15" thickBot="1" x14ac:dyDescent="0.35">
      <c r="J44" s="323" t="s">
        <v>31</v>
      </c>
      <c r="K44" s="113">
        <f>D43</f>
        <v>33</v>
      </c>
      <c r="L44" s="319">
        <f>MOD(K44-1,9)+1</f>
        <v>6</v>
      </c>
      <c r="M44" s="113" t="str">
        <f>INDEX($AH$2:$AQ$11,MATCH(L44,$AH$2:$AQ$2,0),MATCH($L$17,$AH$2:$AH$11,0))</f>
        <v>G</v>
      </c>
      <c r="N44" s="113" t="str">
        <f ca="1">INDEX($AH$2:$AQ$11,MATCH(L44,$AH$2:$AQ$2,0),MATCH($L$18,$AH$2:$AH$11,0))</f>
        <v>G</v>
      </c>
      <c r="O44" s="324"/>
      <c r="Q44" s="405">
        <v>6</v>
      </c>
      <c r="R44" s="111">
        <f ca="1">MasterTables!CF68</f>
        <v>0</v>
      </c>
      <c r="S44" s="111">
        <f>MasterTables!CG68</f>
        <v>0</v>
      </c>
      <c r="T44" s="239"/>
      <c r="U44" s="344">
        <f>MasterTables!BX68</f>
        <v>1</v>
      </c>
      <c r="GB44" s="15">
        <v>52</v>
      </c>
      <c r="GC44" s="24" t="s">
        <v>64</v>
      </c>
      <c r="GR44" s="176" t="s">
        <v>178</v>
      </c>
      <c r="GS44" s="15">
        <v>6</v>
      </c>
      <c r="GU44" s="15">
        <v>31</v>
      </c>
      <c r="GV44" s="24" t="s">
        <v>23</v>
      </c>
      <c r="HG44" s="25">
        <v>43862</v>
      </c>
      <c r="HH44" s="14" t="str">
        <f t="shared" si="3"/>
        <v>01-Feb</v>
      </c>
      <c r="HI44" s="14" t="s">
        <v>114</v>
      </c>
      <c r="HJ44" s="14" t="s">
        <v>132</v>
      </c>
      <c r="HK44" s="14" t="str">
        <f t="shared" si="2"/>
        <v>Aquarius - Air</v>
      </c>
    </row>
    <row r="45" spans="1:219" ht="15" thickBot="1" x14ac:dyDescent="0.35">
      <c r="D45" s="421" t="s">
        <v>211</v>
      </c>
      <c r="E45" s="220">
        <f ca="1">IF($N$5&gt;35,(MOD(L42+L44-1,9)+1),0)</f>
        <v>8</v>
      </c>
      <c r="J45" s="323" t="s">
        <v>32</v>
      </c>
      <c r="K45" s="113">
        <f>MasterTables!AQ29</f>
        <v>8</v>
      </c>
      <c r="L45" s="319">
        <f>MOD(K45-1,9)+1</f>
        <v>8</v>
      </c>
      <c r="M45" s="113" t="str">
        <f>INDEX($AH$2:$AQ$11,MATCH(L45,$AH$2:$AQ$2,0),MATCH($L$17,$AH$2:$AH$11,0))</f>
        <v>A</v>
      </c>
      <c r="N45" s="113" t="str">
        <f ca="1">INDEX($AH$2:$AQ$11,MATCH(L45,$AH$2:$AQ$2,0),MATCH($L$18,$AH$2:$AH$11,0))</f>
        <v>A</v>
      </c>
      <c r="O45" s="324"/>
      <c r="Q45" s="405">
        <v>7</v>
      </c>
      <c r="R45" s="111">
        <f ca="1">MasterTables!CF69</f>
        <v>0</v>
      </c>
      <c r="S45" s="111">
        <f ca="1">MasterTables!CG69</f>
        <v>7</v>
      </c>
      <c r="T45" s="239"/>
      <c r="U45" s="344">
        <f>MasterTables!BX69</f>
        <v>0</v>
      </c>
      <c r="GB45" s="14">
        <v>55</v>
      </c>
      <c r="GR45" s="176" t="s">
        <v>179</v>
      </c>
      <c r="GS45" s="15">
        <v>7</v>
      </c>
      <c r="GU45" s="15">
        <v>32</v>
      </c>
      <c r="GV45" s="40" t="s">
        <v>33</v>
      </c>
      <c r="HG45" s="25">
        <v>43863</v>
      </c>
      <c r="HH45" s="14" t="str">
        <f t="shared" si="3"/>
        <v>02-Feb</v>
      </c>
      <c r="HI45" s="14" t="s">
        <v>114</v>
      </c>
      <c r="HJ45" s="14" t="s">
        <v>132</v>
      </c>
      <c r="HK45" s="14" t="str">
        <f t="shared" si="2"/>
        <v>Aquarius - Air</v>
      </c>
    </row>
    <row r="46" spans="1:219" ht="15" thickBot="1" x14ac:dyDescent="0.35">
      <c r="J46" s="325" t="s">
        <v>35</v>
      </c>
      <c r="K46" s="263">
        <f>K44-K45</f>
        <v>25</v>
      </c>
      <c r="L46" s="326">
        <f>MOD(K46-1,9)+1</f>
        <v>7</v>
      </c>
      <c r="M46" s="263" t="str">
        <f>INDEX($AH$2:$AQ$11,MATCH(L46,$AH$2:$AQ$2,0),MATCH($L$17,$AH$2:$AH$11,0))</f>
        <v>VG</v>
      </c>
      <c r="N46" s="263" t="str">
        <f ca="1">INDEX($AH$2:$AQ$11,MATCH(L46,$AH$2:$AQ$2,0),MATCH($L$18,$AH$2:$AH$11,0))</f>
        <v>VG</v>
      </c>
      <c r="O46" s="327"/>
      <c r="Q46" s="405">
        <v>8</v>
      </c>
      <c r="R46" s="111">
        <f ca="1">MasterTables!CF70</f>
        <v>0</v>
      </c>
      <c r="S46" s="111">
        <f ca="1">MasterTables!CG70</f>
        <v>8</v>
      </c>
      <c r="T46" s="239"/>
      <c r="U46" s="344">
        <f>MasterTables!BX70</f>
        <v>0</v>
      </c>
      <c r="GB46" s="14">
        <v>57</v>
      </c>
      <c r="GR46" s="176" t="s">
        <v>180</v>
      </c>
      <c r="GS46" s="15">
        <v>8</v>
      </c>
      <c r="GU46" s="15">
        <v>33</v>
      </c>
      <c r="GV46" s="40" t="s">
        <v>33</v>
      </c>
      <c r="HG46" s="25">
        <v>43864</v>
      </c>
      <c r="HH46" s="14" t="str">
        <f t="shared" si="3"/>
        <v>03-Feb</v>
      </c>
      <c r="HI46" s="14" t="s">
        <v>114</v>
      </c>
      <c r="HJ46" s="14" t="s">
        <v>132</v>
      </c>
      <c r="HK46" s="14" t="str">
        <f t="shared" si="2"/>
        <v>Aquarius - Air</v>
      </c>
    </row>
    <row r="47" spans="1:219" x14ac:dyDescent="0.3">
      <c r="Q47" s="405">
        <v>9</v>
      </c>
      <c r="R47" s="111">
        <f ca="1">MasterTables!CF71</f>
        <v>9</v>
      </c>
      <c r="S47" s="111">
        <f ca="1">MasterTables!CG71</f>
        <v>0</v>
      </c>
      <c r="T47" s="239"/>
      <c r="U47" s="239">
        <f>MasterTables!BX71</f>
        <v>0</v>
      </c>
      <c r="GB47" s="14">
        <v>59</v>
      </c>
      <c r="GR47" s="176" t="s">
        <v>181</v>
      </c>
      <c r="GS47" s="15">
        <v>9</v>
      </c>
      <c r="GU47" s="15">
        <v>34</v>
      </c>
      <c r="GV47" s="24" t="s">
        <v>67</v>
      </c>
      <c r="HG47" s="25">
        <v>43865</v>
      </c>
      <c r="HH47" s="14" t="str">
        <f t="shared" si="3"/>
        <v>04-Feb</v>
      </c>
      <c r="HI47" s="14" t="s">
        <v>114</v>
      </c>
      <c r="HJ47" s="14" t="s">
        <v>132</v>
      </c>
      <c r="HK47" s="14" t="str">
        <f t="shared" si="2"/>
        <v>Aquarius - Air</v>
      </c>
    </row>
    <row r="48" spans="1:219" x14ac:dyDescent="0.3">
      <c r="GB48" s="14">
        <v>60</v>
      </c>
      <c r="GR48" s="176" t="s">
        <v>182</v>
      </c>
      <c r="GS48" s="15">
        <v>0</v>
      </c>
      <c r="GU48" s="15">
        <v>35</v>
      </c>
      <c r="GV48" s="24" t="s">
        <v>23</v>
      </c>
      <c r="HG48" s="25">
        <v>43866</v>
      </c>
      <c r="HH48" s="14" t="str">
        <f t="shared" si="3"/>
        <v>05-Feb</v>
      </c>
      <c r="HI48" s="14" t="s">
        <v>114</v>
      </c>
      <c r="HJ48" s="14" t="s">
        <v>132</v>
      </c>
      <c r="HK48" s="14" t="str">
        <f t="shared" si="2"/>
        <v>Aquarius - Air</v>
      </c>
    </row>
    <row r="49" spans="1:219" ht="15" thickBot="1" x14ac:dyDescent="0.35">
      <c r="Q49" s="342" t="s">
        <v>15</v>
      </c>
      <c r="R49" s="342" t="s">
        <v>194</v>
      </c>
      <c r="S49" s="342" t="s">
        <v>195</v>
      </c>
      <c r="T49" s="239"/>
      <c r="U49" s="343" t="s">
        <v>198</v>
      </c>
      <c r="GB49" s="14">
        <v>64</v>
      </c>
      <c r="GR49" s="14"/>
      <c r="GS49" s="14"/>
      <c r="GU49" s="15">
        <v>36</v>
      </c>
      <c r="GV49" s="40" t="s">
        <v>33</v>
      </c>
      <c r="HG49" s="25">
        <v>43867</v>
      </c>
      <c r="HH49" s="14" t="str">
        <f t="shared" si="3"/>
        <v>06-Feb</v>
      </c>
      <c r="HI49" s="14" t="s">
        <v>114</v>
      </c>
      <c r="HJ49" s="14" t="s">
        <v>132</v>
      </c>
      <c r="HK49" s="14" t="str">
        <f t="shared" si="2"/>
        <v>Aquarius - Air</v>
      </c>
    </row>
    <row r="50" spans="1:219" ht="15" customHeight="1" thickBot="1" x14ac:dyDescent="0.35">
      <c r="A50" s="601" t="s">
        <v>193</v>
      </c>
      <c r="B50" s="602"/>
      <c r="C50" s="11"/>
      <c r="D50" s="210"/>
      <c r="E50" s="212"/>
      <c r="F50" s="11"/>
      <c r="G50" s="411"/>
      <c r="H50" s="18"/>
      <c r="I50" s="18"/>
      <c r="J50" s="328"/>
      <c r="K50" s="329"/>
      <c r="L50" s="329"/>
      <c r="M50" s="603" t="s">
        <v>243</v>
      </c>
      <c r="N50" s="604"/>
      <c r="O50" s="412"/>
      <c r="Q50" s="405">
        <v>1</v>
      </c>
      <c r="R50" s="111">
        <f ca="1">MasterTables!CF83</f>
        <v>1</v>
      </c>
      <c r="S50" s="111">
        <f ca="1">MasterTables!CG83</f>
        <v>0</v>
      </c>
      <c r="T50" s="239"/>
      <c r="U50" s="344">
        <f>MasterTables!BX83</f>
        <v>0</v>
      </c>
      <c r="GB50" s="14">
        <v>66</v>
      </c>
      <c r="GR50" s="14"/>
      <c r="GS50" s="14"/>
      <c r="GU50" s="15">
        <v>37</v>
      </c>
      <c r="GV50" s="40" t="s">
        <v>33</v>
      </c>
      <c r="HG50" s="25">
        <v>43868</v>
      </c>
      <c r="HH50" s="14" t="str">
        <f t="shared" si="3"/>
        <v>07-Feb</v>
      </c>
      <c r="HI50" s="14" t="s">
        <v>114</v>
      </c>
      <c r="HJ50" s="14" t="s">
        <v>132</v>
      </c>
      <c r="HK50" s="14" t="str">
        <f t="shared" si="2"/>
        <v>Aquarius - Air</v>
      </c>
    </row>
    <row r="51" spans="1:219" ht="15" thickBot="1" x14ac:dyDescent="0.35">
      <c r="A51" s="26" t="s">
        <v>17</v>
      </c>
      <c r="B51" s="361"/>
      <c r="D51" s="414">
        <f>MasterTables!AM33</f>
        <v>0</v>
      </c>
      <c r="E51" s="415">
        <f>IF(D51&lt;10,D51,((LEFT(D51,1))+(RIGHT(D51,1))))</f>
        <v>0</v>
      </c>
      <c r="F51" s="416" t="s">
        <v>24</v>
      </c>
      <c r="G51" s="378" t="e">
        <f>MasterTables!AP33</f>
        <v>#N/A</v>
      </c>
      <c r="J51" s="321" t="s">
        <v>200</v>
      </c>
      <c r="K51" s="113"/>
      <c r="L51" s="113"/>
      <c r="M51" s="318" t="s">
        <v>12</v>
      </c>
      <c r="N51" s="318" t="s">
        <v>13</v>
      </c>
      <c r="O51" s="322"/>
      <c r="Q51" s="405">
        <v>2</v>
      </c>
      <c r="R51" s="111">
        <f>MasterTables!CF84</f>
        <v>0</v>
      </c>
      <c r="S51" s="111">
        <f>MasterTables!CG84</f>
        <v>2</v>
      </c>
      <c r="T51" s="239"/>
      <c r="U51" s="344">
        <f>MasterTables!BX84</f>
        <v>0</v>
      </c>
      <c r="GB51" s="14">
        <v>68</v>
      </c>
      <c r="GR51" s="14"/>
      <c r="GS51" s="14"/>
      <c r="GU51" s="15">
        <v>38</v>
      </c>
      <c r="GV51" s="24" t="s">
        <v>67</v>
      </c>
      <c r="HG51" s="25">
        <v>43869</v>
      </c>
      <c r="HH51" s="14" t="str">
        <f t="shared" si="3"/>
        <v>08-Feb</v>
      </c>
      <c r="HI51" s="14" t="s">
        <v>114</v>
      </c>
      <c r="HJ51" s="14" t="s">
        <v>132</v>
      </c>
      <c r="HK51" s="14" t="str">
        <f t="shared" si="2"/>
        <v>Aquarius - Air</v>
      </c>
    </row>
    <row r="52" spans="1:219" x14ac:dyDescent="0.3">
      <c r="A52" s="26" t="s">
        <v>30</v>
      </c>
      <c r="B52" s="361"/>
      <c r="D52" s="418">
        <f>MasterTables!AM35</f>
        <v>0</v>
      </c>
      <c r="E52" s="43">
        <f t="shared" ref="E52:E53" si="15">IF(D52&lt;10,D52,((LEFT(D52,1))+(RIGHT(D52,1))))</f>
        <v>0</v>
      </c>
      <c r="F52" s="168"/>
      <c r="G52" s="19"/>
      <c r="J52" s="323" t="s">
        <v>18</v>
      </c>
      <c r="K52" s="113"/>
      <c r="L52" s="319">
        <f>C6</f>
        <v>2</v>
      </c>
      <c r="M52" s="113">
        <f ca="1">IF(N5&lt;=35,"Active",0)</f>
        <v>0</v>
      </c>
      <c r="N52" s="318" t="str">
        <f ca="1">IF(N5&gt;35,"Active",0)</f>
        <v>Active</v>
      </c>
      <c r="O52" s="272"/>
      <c r="Q52" s="405">
        <v>3</v>
      </c>
      <c r="R52" s="111">
        <f ca="1">MasterTables!CF85</f>
        <v>3</v>
      </c>
      <c r="S52" s="111">
        <f ca="1">MasterTables!CG85</f>
        <v>0</v>
      </c>
      <c r="T52" s="239"/>
      <c r="U52" s="344">
        <f>MasterTables!BX85</f>
        <v>0</v>
      </c>
      <c r="GB52" s="14">
        <v>69</v>
      </c>
      <c r="GU52" s="15">
        <v>39</v>
      </c>
      <c r="GV52" s="24" t="s">
        <v>67</v>
      </c>
      <c r="HG52" s="25">
        <v>43870</v>
      </c>
      <c r="HH52" s="14" t="str">
        <f t="shared" si="3"/>
        <v>09-Feb</v>
      </c>
      <c r="HI52" s="14" t="s">
        <v>114</v>
      </c>
      <c r="HJ52" s="14" t="s">
        <v>132</v>
      </c>
      <c r="HK52" s="14" t="str">
        <f t="shared" si="2"/>
        <v>Aquarius - Air</v>
      </c>
    </row>
    <row r="53" spans="1:219" ht="15" thickBot="1" x14ac:dyDescent="0.35">
      <c r="A53" s="26" t="s">
        <v>37</v>
      </c>
      <c r="B53" s="361"/>
      <c r="D53" s="418">
        <f>MasterTables!AM37</f>
        <v>0</v>
      </c>
      <c r="E53" s="43">
        <f t="shared" si="15"/>
        <v>0</v>
      </c>
      <c r="F53" s="168"/>
      <c r="G53" s="19"/>
      <c r="J53" s="323" t="s">
        <v>25</v>
      </c>
      <c r="K53" s="113"/>
      <c r="L53" s="319">
        <f ca="1">C7</f>
        <v>2</v>
      </c>
      <c r="M53" s="113"/>
      <c r="N53" s="113"/>
      <c r="O53" s="272"/>
      <c r="Q53" s="405">
        <v>4</v>
      </c>
      <c r="R53" s="111">
        <f ca="1">MasterTables!CF86</f>
        <v>4</v>
      </c>
      <c r="S53" s="111">
        <f ca="1">MasterTables!CG86</f>
        <v>0</v>
      </c>
      <c r="T53" s="239"/>
      <c r="U53" s="344">
        <f>MasterTables!BX86</f>
        <v>0</v>
      </c>
      <c r="GB53" s="14">
        <v>73</v>
      </c>
      <c r="GU53" s="15">
        <v>40</v>
      </c>
      <c r="GV53" s="24" t="s">
        <v>23</v>
      </c>
      <c r="HG53" s="25">
        <v>43871</v>
      </c>
      <c r="HH53" s="14" t="str">
        <f t="shared" si="3"/>
        <v>10-Feb</v>
      </c>
      <c r="HI53" s="14" t="s">
        <v>114</v>
      </c>
      <c r="HJ53" s="14" t="s">
        <v>132</v>
      </c>
      <c r="HK53" s="14" t="str">
        <f t="shared" si="2"/>
        <v>Aquarius - Air</v>
      </c>
    </row>
    <row r="54" spans="1:219" ht="15" thickBot="1" x14ac:dyDescent="0.35">
      <c r="A54" s="49"/>
      <c r="B54" s="64"/>
      <c r="C54" s="50"/>
      <c r="D54" s="414">
        <f>SUM(D51:D53)</f>
        <v>0</v>
      </c>
      <c r="E54" s="415">
        <f>SUM(E51:E53)</f>
        <v>0</v>
      </c>
      <c r="F54" s="416" t="s">
        <v>31</v>
      </c>
      <c r="G54" s="378" t="e">
        <f>MasterTables!AP38</f>
        <v>#N/A</v>
      </c>
      <c r="J54" s="323" t="s">
        <v>24</v>
      </c>
      <c r="K54" s="113">
        <f>D51</f>
        <v>0</v>
      </c>
      <c r="L54" s="319">
        <f>MOD(K54-1,9)+1</f>
        <v>9</v>
      </c>
      <c r="M54" s="113" t="str">
        <f>INDEX($AH$2:$AQ$11,MATCH(L54,$AH$2:$AQ$2,0),MATCH($L$17,$AH$2:$AH$11,0))</f>
        <v>A</v>
      </c>
      <c r="N54" s="113" t="str">
        <f ca="1">INDEX($AH$2:$AQ$11,MATCH(L54,$AH$2:$AQ$2,0),MATCH($L$18,$AH$2:$AH$11,0))</f>
        <v>A</v>
      </c>
      <c r="O54" s="324"/>
      <c r="Q54" s="405">
        <v>5</v>
      </c>
      <c r="R54" s="111">
        <f ca="1">MasterTables!CF87</f>
        <v>5</v>
      </c>
      <c r="S54" s="111">
        <f ca="1">MasterTables!CG87</f>
        <v>0</v>
      </c>
      <c r="T54" s="239"/>
      <c r="U54" s="344">
        <f>MasterTables!BX87</f>
        <v>0</v>
      </c>
      <c r="GB54" s="14">
        <v>75</v>
      </c>
      <c r="GU54" s="15">
        <v>41</v>
      </c>
      <c r="GV54" s="40" t="s">
        <v>33</v>
      </c>
      <c r="HG54" s="25">
        <v>43872</v>
      </c>
      <c r="HH54" s="14" t="str">
        <f t="shared" si="3"/>
        <v>11-Feb</v>
      </c>
      <c r="HI54" s="14" t="s">
        <v>114</v>
      </c>
      <c r="HJ54" s="14" t="s">
        <v>132</v>
      </c>
      <c r="HK54" s="14" t="str">
        <f t="shared" si="2"/>
        <v>Aquarius - Air</v>
      </c>
    </row>
    <row r="55" spans="1:219" ht="15" thickBot="1" x14ac:dyDescent="0.35">
      <c r="J55" s="323" t="s">
        <v>31</v>
      </c>
      <c r="K55" s="113">
        <f>D54</f>
        <v>0</v>
      </c>
      <c r="L55" s="319">
        <f>MOD(K55-1,9)+1</f>
        <v>9</v>
      </c>
      <c r="M55" s="113" t="str">
        <f>INDEX($AH$2:$AQ$11,MATCH(L55,$AH$2:$AQ$2,0),MATCH($L$17,$AH$2:$AH$11,0))</f>
        <v>A</v>
      </c>
      <c r="N55" s="113" t="str">
        <f ca="1">INDEX($AH$2:$AQ$11,MATCH(L55,$AH$2:$AQ$2,0),MATCH($L$18,$AH$2:$AH$11,0))</f>
        <v>A</v>
      </c>
      <c r="O55" s="324"/>
      <c r="Q55" s="405">
        <v>6</v>
      </c>
      <c r="R55" s="111">
        <f ca="1">MasterTables!CF88</f>
        <v>6</v>
      </c>
      <c r="S55" s="111">
        <f ca="1">MasterTables!CG88</f>
        <v>0</v>
      </c>
      <c r="T55" s="239"/>
      <c r="U55" s="344">
        <f>MasterTables!BX88</f>
        <v>0</v>
      </c>
      <c r="GB55" s="14">
        <v>77</v>
      </c>
      <c r="GU55" s="15">
        <v>42</v>
      </c>
      <c r="GV55" s="40" t="s">
        <v>33</v>
      </c>
      <c r="HG55" s="25">
        <v>43873</v>
      </c>
      <c r="HH55" s="14" t="str">
        <f t="shared" si="3"/>
        <v>12-Feb</v>
      </c>
      <c r="HI55" s="14" t="s">
        <v>114</v>
      </c>
      <c r="HJ55" s="14" t="s">
        <v>132</v>
      </c>
      <c r="HK55" s="14" t="str">
        <f t="shared" si="2"/>
        <v>Aquarius - Air</v>
      </c>
    </row>
    <row r="56" spans="1:219" ht="15" thickBot="1" x14ac:dyDescent="0.35">
      <c r="D56" s="421" t="s">
        <v>211</v>
      </c>
      <c r="E56" s="220">
        <f ca="1">IF($N$5&gt;35,(MOD(L53+L55-1,9)+1),0)</f>
        <v>2</v>
      </c>
      <c r="J56" s="323" t="s">
        <v>32</v>
      </c>
      <c r="K56" s="113">
        <f>MasterTables!AQ39</f>
        <v>0</v>
      </c>
      <c r="L56" s="319">
        <f>MOD(K56-1,9)+1</f>
        <v>9</v>
      </c>
      <c r="M56" s="113" t="str">
        <f>INDEX($AH$2:$AQ$11,MATCH(L56,$AH$2:$AQ$2,0),MATCH($L$17,$AH$2:$AH$11,0))</f>
        <v>A</v>
      </c>
      <c r="N56" s="113" t="str">
        <f ca="1">INDEX($AH$2:$AQ$11,MATCH(L56,$AH$2:$AQ$2,0),MATCH($L$18,$AH$2:$AH$11,0))</f>
        <v>A</v>
      </c>
      <c r="O56" s="324"/>
      <c r="Q56" s="405">
        <v>7</v>
      </c>
      <c r="R56" s="111">
        <f ca="1">MasterTables!CF89</f>
        <v>7</v>
      </c>
      <c r="S56" s="111">
        <f ca="1">MasterTables!CG89</f>
        <v>0</v>
      </c>
      <c r="T56" s="239"/>
      <c r="U56" s="344">
        <f>MasterTables!BX89</f>
        <v>0</v>
      </c>
      <c r="GB56" s="14">
        <v>78</v>
      </c>
      <c r="GU56" s="15">
        <v>43</v>
      </c>
      <c r="GV56" s="40" t="s">
        <v>33</v>
      </c>
      <c r="HG56" s="25">
        <v>43874</v>
      </c>
      <c r="HH56" s="14" t="str">
        <f t="shared" si="3"/>
        <v>13-Feb</v>
      </c>
      <c r="HI56" s="14" t="s">
        <v>114</v>
      </c>
      <c r="HJ56" s="14" t="s">
        <v>132</v>
      </c>
      <c r="HK56" s="14" t="str">
        <f t="shared" si="2"/>
        <v>Aquarius - Air</v>
      </c>
    </row>
    <row r="57" spans="1:219" ht="15" thickBot="1" x14ac:dyDescent="0.35">
      <c r="J57" s="325" t="s">
        <v>35</v>
      </c>
      <c r="K57" s="263">
        <f>K55-K56</f>
        <v>0</v>
      </c>
      <c r="L57" s="326">
        <f>MOD(K57-1,9)+1</f>
        <v>9</v>
      </c>
      <c r="M57" s="263" t="str">
        <f>INDEX($AH$2:$AQ$11,MATCH(L57,$AH$2:$AQ$2,0),MATCH($L$17,$AH$2:$AH$11,0))</f>
        <v>A</v>
      </c>
      <c r="N57" s="263" t="str">
        <f ca="1">INDEX($AH$2:$AQ$11,MATCH(L57,$AH$2:$AQ$2,0),MATCH($L$18,$AH$2:$AH$11,0))</f>
        <v>A</v>
      </c>
      <c r="O57" s="327"/>
      <c r="Q57" s="405">
        <v>8</v>
      </c>
      <c r="R57" s="111">
        <f ca="1">MasterTables!CF90</f>
        <v>8</v>
      </c>
      <c r="S57" s="111">
        <f ca="1">MasterTables!CG90</f>
        <v>0</v>
      </c>
      <c r="T57" s="239"/>
      <c r="U57" s="344">
        <f>MasterTables!BX90</f>
        <v>0</v>
      </c>
      <c r="GB57" s="14">
        <v>82</v>
      </c>
      <c r="GU57" s="15">
        <v>44</v>
      </c>
      <c r="GV57" s="24" t="s">
        <v>23</v>
      </c>
      <c r="HG57" s="25">
        <v>43875</v>
      </c>
      <c r="HH57" s="14" t="str">
        <f t="shared" si="3"/>
        <v>14-Feb</v>
      </c>
      <c r="HI57" s="14" t="s">
        <v>114</v>
      </c>
      <c r="HJ57" s="14" t="s">
        <v>132</v>
      </c>
      <c r="HK57" s="14" t="str">
        <f t="shared" si="2"/>
        <v>Aquarius - Air</v>
      </c>
    </row>
    <row r="58" spans="1:219" x14ac:dyDescent="0.3">
      <c r="Q58" s="405">
        <v>9</v>
      </c>
      <c r="R58" s="111">
        <f ca="1">MasterTables!CF91</f>
        <v>0</v>
      </c>
      <c r="S58" s="111">
        <f ca="1">MasterTables!CG91</f>
        <v>9</v>
      </c>
      <c r="T58" s="239"/>
      <c r="U58" s="239">
        <f>MasterTables!BX91</f>
        <v>0</v>
      </c>
      <c r="GB58" s="14">
        <v>84</v>
      </c>
      <c r="GU58" s="15">
        <v>45</v>
      </c>
      <c r="GV58" s="24" t="s">
        <v>67</v>
      </c>
      <c r="HG58" s="25">
        <v>43876</v>
      </c>
      <c r="HH58" s="14" t="str">
        <f t="shared" si="3"/>
        <v>15-Feb</v>
      </c>
      <c r="HI58" s="14" t="s">
        <v>114</v>
      </c>
      <c r="HJ58" s="14" t="s">
        <v>132</v>
      </c>
      <c r="HK58" s="14" t="str">
        <f t="shared" si="2"/>
        <v>Aquarius - Air</v>
      </c>
    </row>
    <row r="59" spans="1:219" x14ac:dyDescent="0.3">
      <c r="GB59" s="14">
        <v>86</v>
      </c>
      <c r="GU59" s="15">
        <v>46</v>
      </c>
      <c r="GV59" s="24" t="s">
        <v>67</v>
      </c>
      <c r="HG59" s="25">
        <v>43877</v>
      </c>
      <c r="HH59" s="14" t="str">
        <f t="shared" si="3"/>
        <v>16-Feb</v>
      </c>
      <c r="HI59" s="14" t="s">
        <v>114</v>
      </c>
      <c r="HJ59" s="14" t="s">
        <v>132</v>
      </c>
      <c r="HK59" s="14" t="str">
        <f t="shared" si="2"/>
        <v>Aquarius - Air</v>
      </c>
    </row>
    <row r="60" spans="1:219" ht="15" thickBot="1" x14ac:dyDescent="0.35">
      <c r="GB60" s="14">
        <v>87</v>
      </c>
      <c r="GU60" s="15">
        <v>47</v>
      </c>
      <c r="GV60" s="24" t="s">
        <v>67</v>
      </c>
      <c r="HG60" s="25">
        <v>43878</v>
      </c>
      <c r="HH60" s="14" t="str">
        <f t="shared" si="3"/>
        <v>17-Feb</v>
      </c>
      <c r="HI60" s="14" t="s">
        <v>114</v>
      </c>
      <c r="HJ60" s="14" t="s">
        <v>132</v>
      </c>
      <c r="HK60" s="14" t="str">
        <f t="shared" si="2"/>
        <v>Aquarius - Air</v>
      </c>
    </row>
    <row r="61" spans="1:219" ht="15.6" x14ac:dyDescent="0.3">
      <c r="A61" s="580" t="s">
        <v>70</v>
      </c>
      <c r="B61" s="581"/>
      <c r="C61" s="581"/>
      <c r="D61" s="600"/>
      <c r="GB61" s="14">
        <v>91</v>
      </c>
      <c r="GU61" s="15">
        <v>48</v>
      </c>
      <c r="GV61" s="24" t="s">
        <v>23</v>
      </c>
      <c r="HG61" s="25">
        <v>43879</v>
      </c>
      <c r="HH61" s="14" t="str">
        <f t="shared" si="3"/>
        <v>18-Feb</v>
      </c>
      <c r="HI61" s="14" t="s">
        <v>114</v>
      </c>
      <c r="HJ61" s="14" t="s">
        <v>132</v>
      </c>
      <c r="HK61" s="14" t="str">
        <f t="shared" si="2"/>
        <v>Aquarius - Air</v>
      </c>
    </row>
    <row r="62" spans="1:219" x14ac:dyDescent="0.3">
      <c r="A62" s="36" t="s">
        <v>201</v>
      </c>
      <c r="B62" s="52">
        <f>ABS(C6-F6)</f>
        <v>1</v>
      </c>
      <c r="C62" s="48">
        <f>IF(LEN(B62)&gt;1,LEFT(B62,1)+RIGHT(B62,1),B62)</f>
        <v>1</v>
      </c>
      <c r="D62" s="79" t="s">
        <v>73</v>
      </c>
      <c r="GB62" s="14">
        <v>93</v>
      </c>
      <c r="GU62" s="15">
        <v>49</v>
      </c>
      <c r="GV62" s="24" t="s">
        <v>23</v>
      </c>
      <c r="HG62" s="25">
        <v>43880</v>
      </c>
      <c r="HH62" s="14" t="str">
        <f t="shared" si="3"/>
        <v>19-Feb</v>
      </c>
      <c r="HI62" s="14" t="s">
        <v>115</v>
      </c>
      <c r="HJ62" s="14" t="s">
        <v>131</v>
      </c>
      <c r="HK62" s="14" t="str">
        <f t="shared" si="2"/>
        <v>Pisces - Water</v>
      </c>
    </row>
    <row r="63" spans="1:219" x14ac:dyDescent="0.3">
      <c r="A63" s="36" t="s">
        <v>203</v>
      </c>
      <c r="B63" s="52">
        <f ca="1">ABS(C6-I6)</f>
        <v>6</v>
      </c>
      <c r="C63" s="48">
        <f ca="1">IF(LEN(B63)&gt;1,LEFT(B63,1)+RIGHT(B63,1),B63)</f>
        <v>6</v>
      </c>
      <c r="D63" s="79" t="s">
        <v>76</v>
      </c>
      <c r="GB63" s="14">
        <v>96</v>
      </c>
      <c r="GU63" s="15">
        <v>50</v>
      </c>
      <c r="GV63" s="24" t="s">
        <v>67</v>
      </c>
      <c r="HG63" s="25">
        <v>43881</v>
      </c>
      <c r="HH63" s="14" t="str">
        <f t="shared" si="3"/>
        <v>20-Feb</v>
      </c>
      <c r="HI63" s="14" t="s">
        <v>115</v>
      </c>
      <c r="HJ63" s="14" t="s">
        <v>131</v>
      </c>
      <c r="HK63" s="14" t="str">
        <f t="shared" si="2"/>
        <v>Pisces - Water</v>
      </c>
    </row>
    <row r="64" spans="1:219" x14ac:dyDescent="0.3">
      <c r="A64" s="36" t="s">
        <v>204</v>
      </c>
      <c r="B64" s="52">
        <f ca="1">ABS(B62-B63)</f>
        <v>5</v>
      </c>
      <c r="C64" s="48">
        <f ca="1">IF(LEN(B64)&gt;1,LEFT(B64,1)+RIGHT(B64,1),B64)</f>
        <v>5</v>
      </c>
      <c r="D64" s="79" t="s">
        <v>78</v>
      </c>
      <c r="GB64" s="14">
        <v>100</v>
      </c>
      <c r="GU64" s="15">
        <v>51</v>
      </c>
      <c r="GV64" s="24" t="s">
        <v>67</v>
      </c>
      <c r="HG64" s="25">
        <v>43882</v>
      </c>
      <c r="HH64" s="14" t="str">
        <f t="shared" si="3"/>
        <v>21-Feb</v>
      </c>
      <c r="HI64" s="14" t="s">
        <v>115</v>
      </c>
      <c r="HJ64" s="14" t="s">
        <v>131</v>
      </c>
      <c r="HK64" s="14" t="str">
        <f t="shared" si="2"/>
        <v>Pisces - Water</v>
      </c>
    </row>
    <row r="65" spans="1:228" ht="15" thickBot="1" x14ac:dyDescent="0.35">
      <c r="A65" s="37" t="s">
        <v>202</v>
      </c>
      <c r="B65" s="172">
        <f ca="1">ABS(F6-I6)</f>
        <v>7</v>
      </c>
      <c r="C65" s="62">
        <f ca="1">IF(LEN(B65)&gt;1,LEFT(B65,1)+RIGHT(B65,1),B65)</f>
        <v>7</v>
      </c>
      <c r="D65" s="345" t="s">
        <v>80</v>
      </c>
      <c r="GU65" s="15">
        <v>52</v>
      </c>
      <c r="GV65" s="24" t="s">
        <v>67</v>
      </c>
      <c r="HG65" s="25">
        <v>43883</v>
      </c>
      <c r="HH65" s="14" t="str">
        <f t="shared" si="3"/>
        <v>22-Feb</v>
      </c>
      <c r="HI65" s="14" t="s">
        <v>115</v>
      </c>
      <c r="HJ65" s="14" t="s">
        <v>131</v>
      </c>
      <c r="HK65" s="14" t="str">
        <f t="shared" si="2"/>
        <v>Pisces - Water</v>
      </c>
    </row>
    <row r="66" spans="1:228" ht="15" thickBot="1" x14ac:dyDescent="0.35">
      <c r="HG66" s="25">
        <v>43884</v>
      </c>
      <c r="HH66" s="14" t="str">
        <f t="shared" si="3"/>
        <v>23-Feb</v>
      </c>
      <c r="HI66" s="14" t="s">
        <v>115</v>
      </c>
      <c r="HJ66" s="14" t="s">
        <v>131</v>
      </c>
      <c r="HK66" s="14" t="str">
        <f t="shared" si="2"/>
        <v>Pisces - Water</v>
      </c>
    </row>
    <row r="67" spans="1:228" ht="15.6" x14ac:dyDescent="0.3">
      <c r="A67" s="57" t="s">
        <v>81</v>
      </c>
      <c r="B67" s="58"/>
      <c r="C67" s="58"/>
      <c r="D67" s="59" t="s">
        <v>133</v>
      </c>
      <c r="E67" s="60" t="s">
        <v>134</v>
      </c>
      <c r="HG67" s="25">
        <v>43885</v>
      </c>
      <c r="HH67" s="14" t="str">
        <f t="shared" si="3"/>
        <v>24-Feb</v>
      </c>
      <c r="HI67" s="14" t="s">
        <v>115</v>
      </c>
      <c r="HJ67" s="14" t="s">
        <v>131</v>
      </c>
      <c r="HK67" s="14" t="str">
        <f t="shared" si="2"/>
        <v>Pisces - Water</v>
      </c>
    </row>
    <row r="68" spans="1:228" ht="16.05" customHeight="1" x14ac:dyDescent="0.3">
      <c r="A68" s="36" t="s">
        <v>82</v>
      </c>
      <c r="B68" s="48">
        <f>ABS(C6+F6)</f>
        <v>3</v>
      </c>
      <c r="C68" s="200">
        <f>MOD(B68-1,9)+1</f>
        <v>3</v>
      </c>
      <c r="D68" s="43">
        <v>0</v>
      </c>
      <c r="E68" s="61">
        <f ca="1">36-C7</f>
        <v>34</v>
      </c>
      <c r="HG68" s="25">
        <v>43886</v>
      </c>
      <c r="HH68" s="14" t="str">
        <f t="shared" si="3"/>
        <v>25-Feb</v>
      </c>
      <c r="HI68" s="14" t="s">
        <v>115</v>
      </c>
      <c r="HJ68" s="14" t="s">
        <v>131</v>
      </c>
      <c r="HK68" s="14" t="str">
        <f t="shared" si="2"/>
        <v>Pisces - Water</v>
      </c>
    </row>
    <row r="69" spans="1:228" x14ac:dyDescent="0.3">
      <c r="A69" s="36" t="s">
        <v>83</v>
      </c>
      <c r="B69" s="48">
        <f ca="1">ABS(C6+I6)</f>
        <v>10</v>
      </c>
      <c r="C69" s="200">
        <f ca="1">MOD(B69-1,9)+1</f>
        <v>1</v>
      </c>
      <c r="D69" s="43">
        <f ca="1">IF(C7=1,36,IF(C7=2,35,IF(C7=3,34,IF(C7=4,33,IF(C7=5,32,IF(C7=6,31,IF(C7=7,30,IF(C7=8,29,IF(C7=9,28,0)))))))))</f>
        <v>35</v>
      </c>
      <c r="E69" s="61">
        <f ca="1">IF(C7=1,44,IF(C7=2,43,IF(C7=3,42,IF(C7=4,41,IF(C7=5,40,IF(C7=6,39,IF(C7=7,38,IF(C7=8,37,IF(C7=9,36,0)))))))))</f>
        <v>43</v>
      </c>
      <c r="HG69" s="25">
        <v>43887</v>
      </c>
      <c r="HH69" s="14" t="str">
        <f t="shared" si="3"/>
        <v>26-Feb</v>
      </c>
      <c r="HI69" s="14" t="s">
        <v>115</v>
      </c>
      <c r="HJ69" s="14" t="s">
        <v>131</v>
      </c>
      <c r="HK69" s="14" t="str">
        <f t="shared" si="2"/>
        <v>Pisces - Water</v>
      </c>
    </row>
    <row r="70" spans="1:228" x14ac:dyDescent="0.3">
      <c r="A70" s="36" t="s">
        <v>84</v>
      </c>
      <c r="B70" s="48">
        <f ca="1">ABS(B68+B69)</f>
        <v>13</v>
      </c>
      <c r="C70" s="200">
        <f ca="1">MOD(B70-1,9)+1</f>
        <v>4</v>
      </c>
      <c r="D70" s="43">
        <f ca="1">E69+1</f>
        <v>44</v>
      </c>
      <c r="E70" s="61">
        <f ca="1">IF(C7=1,53,IF(C7=2,52,IF(C7=3,51,IF(C7=4,50,IF(C7=5,49,IF(C7=6,48,IF(C7=7,47,IF(C7=8,46,IF(C7=9,45,0)))))))))</f>
        <v>52</v>
      </c>
      <c r="GU70" s="14" t="s">
        <v>89</v>
      </c>
      <c r="GV70" s="68" t="s">
        <v>16</v>
      </c>
      <c r="HG70" s="25">
        <v>43888</v>
      </c>
      <c r="HH70" s="14" t="str">
        <f t="shared" si="3"/>
        <v>27-Feb</v>
      </c>
      <c r="HI70" s="14" t="s">
        <v>115</v>
      </c>
      <c r="HJ70" s="14" t="s">
        <v>131</v>
      </c>
      <c r="HK70" s="14" t="str">
        <f t="shared" si="2"/>
        <v>Pisces - Water</v>
      </c>
    </row>
    <row r="71" spans="1:228" x14ac:dyDescent="0.3">
      <c r="A71" s="36" t="s">
        <v>85</v>
      </c>
      <c r="B71" s="48">
        <f ca="1">ABS(F6+I6)</f>
        <v>9</v>
      </c>
      <c r="C71" s="200">
        <f ca="1">MOD(B71-1,9)+1</f>
        <v>9</v>
      </c>
      <c r="D71" s="43">
        <f ca="1">E70+1</f>
        <v>53</v>
      </c>
      <c r="E71" s="61" t="s">
        <v>207</v>
      </c>
      <c r="G71"/>
      <c r="H71"/>
      <c r="I71"/>
      <c r="J71"/>
      <c r="K71"/>
      <c r="GU71" s="14">
        <v>1</v>
      </c>
      <c r="GV71" s="24" t="s">
        <v>67</v>
      </c>
      <c r="HG71" s="25">
        <v>43889</v>
      </c>
      <c r="HH71" s="14" t="str">
        <f t="shared" si="3"/>
        <v>28-Feb</v>
      </c>
      <c r="HI71" s="14" t="s">
        <v>115</v>
      </c>
      <c r="HJ71" s="14" t="s">
        <v>131</v>
      </c>
      <c r="HK71" s="14" t="str">
        <f t="shared" si="2"/>
        <v>Pisces - Water</v>
      </c>
    </row>
    <row r="72" spans="1:228" x14ac:dyDescent="0.3">
      <c r="GU72" s="14">
        <v>3</v>
      </c>
      <c r="GV72" s="24" t="s">
        <v>67</v>
      </c>
      <c r="HG72" s="25">
        <v>43890</v>
      </c>
      <c r="HH72" s="14" t="str">
        <f t="shared" si="3"/>
        <v>29-Feb</v>
      </c>
      <c r="HI72" s="14" t="s">
        <v>115</v>
      </c>
      <c r="HJ72" s="14" t="s">
        <v>131</v>
      </c>
      <c r="HK72" s="14" t="str">
        <f t="shared" si="2"/>
        <v>Pisces - Water</v>
      </c>
    </row>
    <row r="73" spans="1:228" ht="15" thickBot="1" x14ac:dyDescent="0.35">
      <c r="GU73" s="14">
        <v>5</v>
      </c>
      <c r="GV73" s="24" t="s">
        <v>67</v>
      </c>
      <c r="HG73" s="25">
        <v>43891</v>
      </c>
      <c r="HH73" s="14" t="str">
        <f t="shared" si="3"/>
        <v>01-Mar</v>
      </c>
      <c r="HI73" s="14" t="s">
        <v>115</v>
      </c>
      <c r="HJ73" s="14" t="s">
        <v>131</v>
      </c>
      <c r="HK73" s="14" t="str">
        <f t="shared" si="2"/>
        <v>Pisces - Water</v>
      </c>
    </row>
    <row r="74" spans="1:228" ht="15.6" x14ac:dyDescent="0.3">
      <c r="A74" s="597" t="s">
        <v>258</v>
      </c>
      <c r="B74" s="598"/>
      <c r="C74" s="598"/>
      <c r="D74" s="598"/>
      <c r="E74" s="598"/>
      <c r="F74" s="598"/>
      <c r="G74" s="599"/>
      <c r="J74"/>
      <c r="K74"/>
      <c r="L74"/>
      <c r="M74"/>
      <c r="N74"/>
      <c r="O74"/>
      <c r="P74"/>
      <c r="Q74"/>
      <c r="GU74" s="14">
        <v>6</v>
      </c>
      <c r="GV74" s="24" t="s">
        <v>67</v>
      </c>
      <c r="HG74" s="25">
        <v>43892</v>
      </c>
      <c r="HH74" s="14" t="str">
        <f t="shared" si="3"/>
        <v>02-Mar</v>
      </c>
      <c r="HI74" s="14" t="s">
        <v>115</v>
      </c>
      <c r="HJ74" s="14" t="s">
        <v>131</v>
      </c>
      <c r="HK74" s="14" t="str">
        <f t="shared" si="2"/>
        <v>Pisces - Water</v>
      </c>
    </row>
    <row r="75" spans="1:228" ht="16.05" customHeight="1" thickBot="1" x14ac:dyDescent="0.35">
      <c r="A75" s="533" t="s">
        <v>259</v>
      </c>
      <c r="B75" s="593" t="s">
        <v>261</v>
      </c>
      <c r="C75" s="594"/>
      <c r="D75" s="593" t="s">
        <v>260</v>
      </c>
      <c r="E75" s="594"/>
      <c r="F75" s="595" t="s">
        <v>262</v>
      </c>
      <c r="G75" s="596"/>
      <c r="H75"/>
      <c r="I75"/>
      <c r="J75"/>
      <c r="K75"/>
      <c r="L75"/>
      <c r="M75"/>
      <c r="N75"/>
      <c r="O75"/>
      <c r="P75"/>
      <c r="Q75"/>
      <c r="S75" s="216"/>
      <c r="GA75" s="13"/>
      <c r="GB75" s="13"/>
      <c r="GC75" s="13"/>
      <c r="GR75" s="14"/>
      <c r="GS75" s="14"/>
      <c r="GU75" s="15"/>
      <c r="GV75" s="15"/>
      <c r="GX75" s="14">
        <v>2</v>
      </c>
      <c r="GY75" s="40" t="s">
        <v>33</v>
      </c>
      <c r="HJ75" s="25">
        <v>43893</v>
      </c>
      <c r="HK75" s="14" t="str">
        <f t="shared" si="3"/>
        <v>03-Mar</v>
      </c>
      <c r="HL75" s="14" t="s">
        <v>115</v>
      </c>
      <c r="HM75" s="14" t="s">
        <v>131</v>
      </c>
      <c r="HN75" s="14" t="str">
        <f t="shared" si="2"/>
        <v>Pisces - Water</v>
      </c>
      <c r="HR75" s="14"/>
      <c r="HS75" s="14"/>
      <c r="HT75" s="14"/>
    </row>
    <row r="76" spans="1:228" x14ac:dyDescent="0.3">
      <c r="A76" s="36">
        <f ca="1">C7</f>
        <v>2</v>
      </c>
      <c r="B76" s="536">
        <v>0</v>
      </c>
      <c r="C76" s="532"/>
      <c r="D76" s="537"/>
      <c r="E76" s="532"/>
      <c r="F76" s="537"/>
      <c r="G76" s="532" t="s">
        <v>263</v>
      </c>
      <c r="H76"/>
      <c r="I76"/>
      <c r="J76"/>
      <c r="K76"/>
      <c r="L76"/>
      <c r="M76"/>
      <c r="N76"/>
      <c r="O76"/>
      <c r="P76"/>
      <c r="Q76"/>
      <c r="S76" s="216"/>
      <c r="GA76" s="13"/>
      <c r="GB76" s="13"/>
      <c r="GC76" s="13"/>
      <c r="GR76" s="14"/>
      <c r="GS76" s="14"/>
      <c r="GU76" s="15"/>
      <c r="GV76" s="15"/>
      <c r="GX76" s="14">
        <v>7</v>
      </c>
      <c r="GY76" s="40" t="s">
        <v>33</v>
      </c>
      <c r="HJ76" s="25">
        <v>43894</v>
      </c>
      <c r="HK76" s="14" t="str">
        <f t="shared" si="3"/>
        <v>04-Mar</v>
      </c>
      <c r="HL76" s="14" t="s">
        <v>115</v>
      </c>
      <c r="HM76" s="14" t="s">
        <v>131</v>
      </c>
      <c r="HN76" s="14" t="str">
        <f t="shared" ref="HK76:HN141" si="16">HL76&amp;" - "&amp;HM76</f>
        <v>Pisces - Water</v>
      </c>
      <c r="HR76" s="14"/>
      <c r="HS76" s="14"/>
      <c r="HT76" s="14"/>
    </row>
    <row r="77" spans="1:228" x14ac:dyDescent="0.3">
      <c r="A77" s="36">
        <f ca="1">ABS(MAX(IF(A76&gt;0,A76-1,0)))</f>
        <v>1</v>
      </c>
      <c r="B77" s="36">
        <v>0</v>
      </c>
      <c r="C77" s="534"/>
      <c r="D77" s="538"/>
      <c r="E77" s="534"/>
      <c r="F77" s="538"/>
      <c r="G77" s="534" t="s">
        <v>263</v>
      </c>
      <c r="H77"/>
      <c r="I77"/>
      <c r="J77"/>
      <c r="K77"/>
      <c r="L77"/>
      <c r="M77"/>
      <c r="N77"/>
      <c r="O77"/>
      <c r="P77"/>
      <c r="Q77"/>
      <c r="S77" s="216"/>
      <c r="GA77" s="13"/>
      <c r="GB77" s="13"/>
      <c r="GC77" s="13"/>
      <c r="GR77" s="14"/>
      <c r="GS77" s="14"/>
      <c r="GU77" s="15"/>
      <c r="GV77" s="15"/>
      <c r="GX77" s="14">
        <v>4</v>
      </c>
      <c r="GY77" s="24" t="s">
        <v>23</v>
      </c>
      <c r="HJ77" s="25">
        <v>43895</v>
      </c>
      <c r="HK77" s="14" t="str">
        <f t="shared" si="3"/>
        <v>05-Mar</v>
      </c>
      <c r="HL77" s="14" t="s">
        <v>115</v>
      </c>
      <c r="HM77" s="14" t="s">
        <v>131</v>
      </c>
      <c r="HN77" s="14" t="str">
        <f t="shared" si="16"/>
        <v>Pisces - Water</v>
      </c>
      <c r="HR77" s="14"/>
      <c r="HS77" s="14"/>
      <c r="HT77" s="14"/>
    </row>
    <row r="78" spans="1:228" x14ac:dyDescent="0.3">
      <c r="A78" s="36">
        <f t="shared" ref="A78:A84" ca="1" si="17">ABS(MAX(IF(A77&gt;0,A77-1,0)))</f>
        <v>0</v>
      </c>
      <c r="B78" s="36">
        <v>0</v>
      </c>
      <c r="C78" s="534"/>
      <c r="D78" s="538"/>
      <c r="E78" s="534"/>
      <c r="F78" s="538"/>
      <c r="G78" s="534" t="s">
        <v>263</v>
      </c>
      <c r="H78"/>
      <c r="I78"/>
      <c r="J78"/>
      <c r="K78"/>
      <c r="L78"/>
      <c r="M78"/>
      <c r="N78"/>
      <c r="O78"/>
      <c r="P78"/>
      <c r="Q78"/>
      <c r="S78" s="216"/>
      <c r="GA78" s="13"/>
      <c r="GB78" s="13"/>
      <c r="GC78" s="13"/>
      <c r="GR78" s="14"/>
      <c r="GS78" s="14"/>
      <c r="GU78" s="15"/>
      <c r="GV78" s="15"/>
      <c r="GX78" s="14">
        <v>8</v>
      </c>
      <c r="GY78" s="24" t="s">
        <v>23</v>
      </c>
      <c r="HJ78" s="25">
        <v>43896</v>
      </c>
      <c r="HK78" s="14" t="str">
        <f t="shared" ref="HH78:HK143" si="18">TEXT(HJ78,"DD-MMM")</f>
        <v>06-Mar</v>
      </c>
      <c r="HL78" s="14" t="s">
        <v>115</v>
      </c>
      <c r="HM78" s="14" t="s">
        <v>131</v>
      </c>
      <c r="HN78" s="14" t="str">
        <f t="shared" si="16"/>
        <v>Pisces - Water</v>
      </c>
      <c r="HR78" s="14"/>
      <c r="HS78" s="14"/>
      <c r="HT78" s="14"/>
    </row>
    <row r="79" spans="1:228" x14ac:dyDescent="0.3">
      <c r="A79" s="36">
        <f t="shared" ca="1" si="17"/>
        <v>0</v>
      </c>
      <c r="B79" s="36">
        <v>0</v>
      </c>
      <c r="C79" s="534"/>
      <c r="D79" s="538"/>
      <c r="E79" s="534"/>
      <c r="F79" s="538"/>
      <c r="G79" s="534" t="s">
        <v>263</v>
      </c>
      <c r="H79"/>
      <c r="I79"/>
      <c r="J79"/>
      <c r="K79"/>
      <c r="L79"/>
      <c r="M79"/>
      <c r="N79"/>
      <c r="O79"/>
      <c r="P79"/>
      <c r="Q79"/>
      <c r="S79" s="216"/>
      <c r="GA79" s="13"/>
      <c r="GB79" s="13"/>
      <c r="GC79" s="13"/>
      <c r="GR79" s="14"/>
      <c r="GS79" s="14"/>
      <c r="GU79" s="15"/>
      <c r="GV79" s="15"/>
      <c r="GX79" s="14">
        <v>9</v>
      </c>
      <c r="GY79" s="40" t="s">
        <v>33</v>
      </c>
      <c r="HJ79" s="25">
        <v>43897</v>
      </c>
      <c r="HK79" s="14" t="str">
        <f t="shared" si="18"/>
        <v>07-Mar</v>
      </c>
      <c r="HL79" s="14" t="s">
        <v>115</v>
      </c>
      <c r="HM79" s="14" t="s">
        <v>131</v>
      </c>
      <c r="HN79" s="14" t="str">
        <f t="shared" si="16"/>
        <v>Pisces - Water</v>
      </c>
      <c r="HR79" s="14"/>
      <c r="HS79" s="14"/>
      <c r="HT79" s="14"/>
    </row>
    <row r="80" spans="1:228" x14ac:dyDescent="0.3">
      <c r="A80" s="36">
        <f t="shared" ca="1" si="17"/>
        <v>0</v>
      </c>
      <c r="B80" s="36">
        <v>0</v>
      </c>
      <c r="C80" s="534"/>
      <c r="D80" s="538"/>
      <c r="E80" s="534"/>
      <c r="F80" s="538"/>
      <c r="G80" s="534" t="s">
        <v>263</v>
      </c>
      <c r="H80"/>
      <c r="I80"/>
      <c r="J80"/>
      <c r="K80"/>
      <c r="L80"/>
      <c r="M80"/>
      <c r="N80"/>
      <c r="O80"/>
      <c r="P80"/>
      <c r="Q80"/>
      <c r="S80" s="216"/>
      <c r="GA80" s="13"/>
      <c r="GB80" s="13"/>
      <c r="GC80" s="13"/>
      <c r="GR80" s="14"/>
      <c r="GS80" s="14"/>
      <c r="GU80" s="15"/>
      <c r="GV80" s="15"/>
      <c r="GY80" s="68"/>
      <c r="HJ80" s="25">
        <v>43898</v>
      </c>
      <c r="HK80" s="14" t="str">
        <f t="shared" si="18"/>
        <v>08-Mar</v>
      </c>
      <c r="HL80" s="14" t="s">
        <v>115</v>
      </c>
      <c r="HM80" s="14" t="s">
        <v>131</v>
      </c>
      <c r="HN80" s="14" t="str">
        <f t="shared" si="16"/>
        <v>Pisces - Water</v>
      </c>
      <c r="HR80" s="14"/>
      <c r="HS80" s="14"/>
      <c r="HT80" s="14"/>
    </row>
    <row r="81" spans="1:228" x14ac:dyDescent="0.3">
      <c r="A81" s="36">
        <f t="shared" ca="1" si="17"/>
        <v>0</v>
      </c>
      <c r="B81" s="36">
        <v>0</v>
      </c>
      <c r="C81" s="534"/>
      <c r="D81" s="538"/>
      <c r="E81" s="534"/>
      <c r="F81" s="538"/>
      <c r="G81" s="534" t="s">
        <v>263</v>
      </c>
      <c r="H81"/>
      <c r="I81"/>
      <c r="J81"/>
      <c r="K81"/>
      <c r="L81"/>
      <c r="M81"/>
      <c r="N81"/>
      <c r="O81"/>
      <c r="P81"/>
      <c r="Q81"/>
      <c r="S81" s="216"/>
      <c r="GA81" s="13"/>
      <c r="GB81" s="13"/>
      <c r="GC81" s="13"/>
      <c r="GR81" s="14"/>
      <c r="GS81" s="14"/>
      <c r="GU81" s="15"/>
      <c r="GV81" s="15"/>
      <c r="GY81" s="68"/>
      <c r="HJ81" s="25">
        <v>43899</v>
      </c>
      <c r="HK81" s="14" t="str">
        <f t="shared" si="18"/>
        <v>09-Mar</v>
      </c>
      <c r="HL81" s="14" t="s">
        <v>115</v>
      </c>
      <c r="HM81" s="14" t="s">
        <v>131</v>
      </c>
      <c r="HN81" s="14" t="str">
        <f t="shared" si="16"/>
        <v>Pisces - Water</v>
      </c>
      <c r="HR81" s="14"/>
      <c r="HS81" s="14"/>
      <c r="HT81" s="14"/>
    </row>
    <row r="82" spans="1:228" x14ac:dyDescent="0.3">
      <c r="A82" s="36">
        <f t="shared" ca="1" si="17"/>
        <v>0</v>
      </c>
      <c r="B82" s="36">
        <v>0</v>
      </c>
      <c r="C82" s="534"/>
      <c r="D82" s="538"/>
      <c r="E82" s="534"/>
      <c r="F82" s="538"/>
      <c r="G82" s="534" t="s">
        <v>263</v>
      </c>
      <c r="H82"/>
      <c r="I82"/>
      <c r="J82"/>
      <c r="K82"/>
      <c r="L82"/>
      <c r="M82"/>
      <c r="N82"/>
      <c r="O82"/>
      <c r="P82"/>
      <c r="Q82"/>
      <c r="S82" s="216"/>
      <c r="GA82" s="13"/>
      <c r="GB82" s="13"/>
      <c r="GC82" s="13"/>
      <c r="GR82" s="14"/>
      <c r="GS82" s="14"/>
      <c r="GU82" s="15"/>
      <c r="GV82" s="15"/>
      <c r="GY82" s="68"/>
      <c r="HJ82" s="25">
        <v>43900</v>
      </c>
      <c r="HK82" s="14" t="str">
        <f t="shared" si="18"/>
        <v>10-Mar</v>
      </c>
      <c r="HL82" s="14" t="s">
        <v>115</v>
      </c>
      <c r="HM82" s="14" t="s">
        <v>131</v>
      </c>
      <c r="HN82" s="14" t="str">
        <f t="shared" si="16"/>
        <v>Pisces - Water</v>
      </c>
      <c r="HR82" s="14"/>
      <c r="HS82" s="14"/>
      <c r="HT82" s="14"/>
    </row>
    <row r="83" spans="1:228" x14ac:dyDescent="0.3">
      <c r="A83" s="36">
        <f t="shared" ca="1" si="17"/>
        <v>0</v>
      </c>
      <c r="B83" s="36">
        <v>0</v>
      </c>
      <c r="C83" s="534"/>
      <c r="D83" s="538"/>
      <c r="E83" s="534"/>
      <c r="F83" s="538"/>
      <c r="G83" s="534" t="s">
        <v>263</v>
      </c>
      <c r="H83"/>
      <c r="I83"/>
      <c r="J83"/>
      <c r="K83"/>
      <c r="L83"/>
      <c r="M83"/>
      <c r="N83"/>
      <c r="O83"/>
      <c r="P83"/>
      <c r="Q83"/>
      <c r="S83" s="216"/>
      <c r="GA83" s="13"/>
      <c r="GB83" s="13"/>
      <c r="GC83" s="13"/>
      <c r="GR83" s="14"/>
      <c r="GS83" s="14"/>
      <c r="GU83" s="15"/>
      <c r="GV83" s="15"/>
      <c r="GY83" s="68"/>
      <c r="HJ83" s="25">
        <v>43901</v>
      </c>
      <c r="HK83" s="14" t="str">
        <f t="shared" si="18"/>
        <v>11-Mar</v>
      </c>
      <c r="HL83" s="14" t="s">
        <v>115</v>
      </c>
      <c r="HM83" s="14" t="s">
        <v>131</v>
      </c>
      <c r="HN83" s="14" t="str">
        <f t="shared" si="16"/>
        <v>Pisces - Water</v>
      </c>
      <c r="HR83" s="14"/>
      <c r="HS83" s="14"/>
      <c r="HT83" s="14"/>
    </row>
    <row r="84" spans="1:228" ht="15" thickBot="1" x14ac:dyDescent="0.35">
      <c r="A84" s="36">
        <f t="shared" ca="1" si="17"/>
        <v>0</v>
      </c>
      <c r="B84" s="37">
        <v>0</v>
      </c>
      <c r="C84" s="535"/>
      <c r="D84" s="539"/>
      <c r="E84" s="535"/>
      <c r="F84" s="539"/>
      <c r="G84" s="535" t="s">
        <v>263</v>
      </c>
      <c r="H84"/>
      <c r="I84"/>
      <c r="J84"/>
      <c r="K84"/>
      <c r="L84"/>
      <c r="M84"/>
      <c r="N84"/>
      <c r="O84"/>
      <c r="P84"/>
      <c r="Q84"/>
      <c r="S84" s="216"/>
      <c r="GA84" s="13"/>
      <c r="GB84" s="13"/>
      <c r="GC84" s="13"/>
      <c r="GR84" s="14"/>
      <c r="GS84" s="14"/>
      <c r="GU84" s="15"/>
      <c r="GV84" s="15"/>
      <c r="GY84" s="68"/>
      <c r="HJ84" s="25">
        <v>43902</v>
      </c>
      <c r="HK84" s="14" t="str">
        <f t="shared" si="18"/>
        <v>12-Mar</v>
      </c>
      <c r="HL84" s="14" t="s">
        <v>115</v>
      </c>
      <c r="HM84" s="14" t="s">
        <v>131</v>
      </c>
      <c r="HN84" s="14" t="str">
        <f t="shared" si="16"/>
        <v>Pisces - Water</v>
      </c>
      <c r="HR84" s="14"/>
      <c r="HS84" s="14"/>
      <c r="HT84" s="14"/>
    </row>
    <row r="85" spans="1:228" x14ac:dyDescent="0.3">
      <c r="F85" s="43"/>
      <c r="H85"/>
      <c r="I85"/>
      <c r="P85" s="13"/>
      <c r="Q85" s="216"/>
      <c r="GA85" s="13"/>
      <c r="GR85" s="14"/>
      <c r="GT85" s="15"/>
      <c r="GV85" s="14"/>
      <c r="GW85" s="68"/>
      <c r="HH85" s="25">
        <v>43903</v>
      </c>
      <c r="HI85" s="14" t="str">
        <f t="shared" si="18"/>
        <v>13-Mar</v>
      </c>
      <c r="HJ85" s="14" t="s">
        <v>115</v>
      </c>
      <c r="HK85" s="14" t="s">
        <v>131</v>
      </c>
      <c r="HL85" s="14" t="str">
        <f t="shared" si="16"/>
        <v>Pisces - Water</v>
      </c>
      <c r="HR85" s="14"/>
    </row>
    <row r="86" spans="1:228" ht="15" thickBot="1" x14ac:dyDescent="0.35">
      <c r="F86" s="43"/>
      <c r="H86"/>
      <c r="I86"/>
      <c r="P86" s="13"/>
      <c r="Q86" s="216"/>
      <c r="GA86" s="13"/>
      <c r="GR86" s="14"/>
      <c r="GT86" s="15"/>
      <c r="GV86" s="14"/>
      <c r="GW86" s="68"/>
      <c r="HH86" s="25"/>
      <c r="HR86" s="14"/>
    </row>
    <row r="87" spans="1:228" ht="15.6" x14ac:dyDescent="0.3">
      <c r="F87" s="43"/>
      <c r="G87" s="57" t="s">
        <v>265</v>
      </c>
      <c r="H87" s="58"/>
      <c r="I87" s="58"/>
      <c r="J87" s="59" t="s">
        <v>133</v>
      </c>
      <c r="K87" s="60" t="s">
        <v>134</v>
      </c>
      <c r="P87" s="13"/>
      <c r="Q87" s="216"/>
      <c r="GA87" s="13"/>
      <c r="GR87" s="14"/>
      <c r="GT87" s="15"/>
      <c r="GV87" s="14"/>
      <c r="GW87" s="68"/>
      <c r="HH87" s="25"/>
      <c r="HR87" s="14"/>
    </row>
    <row r="88" spans="1:228" x14ac:dyDescent="0.3">
      <c r="G88" s="36" t="s">
        <v>266</v>
      </c>
      <c r="H88" s="592">
        <f>ABS(F6)</f>
        <v>1</v>
      </c>
      <c r="I88" s="592"/>
      <c r="J88" s="43">
        <v>0</v>
      </c>
      <c r="K88" s="61">
        <f ca="1">IF(C7=9,C94,IF(C7=8,C95,IF(C7=7,C96,IF(C7=6,C97,IF(C7=5,C98,IF(C7=4,C99,IF(C7=3,C100,IF(C7=2,C101,IF(C7=1,C102,0)))))))))</f>
        <v>25</v>
      </c>
      <c r="HG88" s="25">
        <v>43904</v>
      </c>
      <c r="HH88" s="14" t="str">
        <f t="shared" si="18"/>
        <v>14-Mar</v>
      </c>
      <c r="HI88" s="14" t="s">
        <v>115</v>
      </c>
      <c r="HJ88" s="14" t="s">
        <v>131</v>
      </c>
      <c r="HK88" s="14" t="str">
        <f t="shared" si="16"/>
        <v>Pisces - Water</v>
      </c>
    </row>
    <row r="89" spans="1:228" x14ac:dyDescent="0.3">
      <c r="G89" s="36" t="s">
        <v>267</v>
      </c>
      <c r="H89" s="592">
        <f>ABS(C6)</f>
        <v>2</v>
      </c>
      <c r="I89" s="592"/>
      <c r="J89" s="43">
        <f ca="1">IF(C7=9,D94,IF(C7=8,D95,IF(A96=7,D96,IF(C7=6,D97,IF(C7=5,D98,IF(C7=4,D99,IF(C7=3,D100,IF(C7=2,D101,IF(C7=1,D102,0)))))))))</f>
        <v>30</v>
      </c>
      <c r="K89" s="61">
        <f ca="1">IF(C7=9,E94,IF(C7=8,E95,IF(C7=7,E96,IF(C7=6,E97,IF(C7=5,E98,IF(C7=4,E99,IF(C7=3,E100,IF(C7=2,E101,IF(C7=1,E102,0)))))))))</f>
        <v>52</v>
      </c>
      <c r="HG89" s="25">
        <v>43905</v>
      </c>
      <c r="HH89" s="14" t="str">
        <f t="shared" si="18"/>
        <v>15-Mar</v>
      </c>
      <c r="HI89" s="14" t="s">
        <v>115</v>
      </c>
      <c r="HJ89" s="14" t="s">
        <v>131</v>
      </c>
      <c r="HK89" s="14" t="str">
        <f t="shared" si="16"/>
        <v>Pisces - Water</v>
      </c>
    </row>
    <row r="90" spans="1:228" x14ac:dyDescent="0.3">
      <c r="G90" s="36" t="s">
        <v>268</v>
      </c>
      <c r="H90" s="592">
        <f ca="1">ABS(I5)</f>
        <v>8</v>
      </c>
      <c r="I90" s="592"/>
      <c r="J90" s="43">
        <f ca="1">IF(C7=9,F94,IF(C7=8,F95,IF(A96=7,F96,IF(C7=6,F97,IF(C7=5,F98,IF(C7=4,F99,IF(C7=3,F100,IF(C7=2,F101,IF(C7=1,F102,0)))))))))</f>
        <v>57</v>
      </c>
      <c r="K90" s="61" t="s">
        <v>263</v>
      </c>
      <c r="HG90" s="25">
        <v>43906</v>
      </c>
      <c r="HH90" s="14" t="str">
        <f t="shared" si="18"/>
        <v>16-Mar</v>
      </c>
      <c r="HI90" s="14" t="s">
        <v>115</v>
      </c>
      <c r="HJ90" s="14" t="s">
        <v>131</v>
      </c>
      <c r="HK90" s="14" t="str">
        <f t="shared" si="16"/>
        <v>Pisces - Water</v>
      </c>
    </row>
    <row r="91" spans="1:228" ht="15" thickBot="1" x14ac:dyDescent="0.35">
      <c r="HG91" s="25">
        <v>43907</v>
      </c>
      <c r="HH91" s="14" t="str">
        <f t="shared" si="18"/>
        <v>17-Mar</v>
      </c>
      <c r="HI91" s="14" t="s">
        <v>115</v>
      </c>
      <c r="HJ91" s="14" t="s">
        <v>131</v>
      </c>
      <c r="HK91" s="14" t="str">
        <f t="shared" si="16"/>
        <v>Pisces - Water</v>
      </c>
    </row>
    <row r="92" spans="1:228" ht="16.05" customHeight="1" x14ac:dyDescent="0.3">
      <c r="A92" s="597" t="s">
        <v>258</v>
      </c>
      <c r="B92" s="598"/>
      <c r="C92" s="598"/>
      <c r="D92" s="598"/>
      <c r="E92" s="598"/>
      <c r="F92" s="598"/>
      <c r="G92" s="599"/>
      <c r="HG92" s="25">
        <v>43908</v>
      </c>
      <c r="HH92" s="14" t="str">
        <f t="shared" si="18"/>
        <v>18-Mar</v>
      </c>
      <c r="HI92" s="14" t="s">
        <v>115</v>
      </c>
      <c r="HJ92" s="14" t="s">
        <v>131</v>
      </c>
      <c r="HK92" s="14" t="str">
        <f t="shared" si="16"/>
        <v>Pisces - Water</v>
      </c>
    </row>
    <row r="93" spans="1:228" ht="16.2" thickBot="1" x14ac:dyDescent="0.35">
      <c r="A93" s="533" t="s">
        <v>259</v>
      </c>
      <c r="B93" s="593" t="s">
        <v>261</v>
      </c>
      <c r="C93" s="594"/>
      <c r="D93" s="593" t="s">
        <v>260</v>
      </c>
      <c r="E93" s="594"/>
      <c r="F93" s="595" t="s">
        <v>262</v>
      </c>
      <c r="G93" s="596"/>
      <c r="HG93" s="25">
        <v>43909</v>
      </c>
      <c r="HH93" s="14" t="str">
        <f t="shared" si="18"/>
        <v>19-Mar</v>
      </c>
      <c r="HI93" s="14" t="s">
        <v>115</v>
      </c>
      <c r="HJ93" s="14" t="s">
        <v>131</v>
      </c>
      <c r="HK93" s="14" t="str">
        <f t="shared" si="16"/>
        <v>Pisces - Water</v>
      </c>
    </row>
    <row r="94" spans="1:228" x14ac:dyDescent="0.3">
      <c r="A94" s="36">
        <v>9</v>
      </c>
      <c r="B94" s="536">
        <v>0</v>
      </c>
      <c r="C94" s="532">
        <v>27</v>
      </c>
      <c r="D94" s="537">
        <v>28</v>
      </c>
      <c r="E94" s="532">
        <v>54</v>
      </c>
      <c r="F94" s="537">
        <v>55</v>
      </c>
      <c r="G94" s="532" t="s">
        <v>263</v>
      </c>
      <c r="HG94" s="25">
        <v>43910</v>
      </c>
      <c r="HH94" s="14" t="str">
        <f t="shared" si="18"/>
        <v>20-Mar</v>
      </c>
      <c r="HI94" s="14" t="s">
        <v>115</v>
      </c>
      <c r="HJ94" s="14" t="s">
        <v>131</v>
      </c>
      <c r="HK94" s="14" t="str">
        <f t="shared" si="16"/>
        <v>Pisces - Water</v>
      </c>
    </row>
    <row r="95" spans="1:228" x14ac:dyDescent="0.3">
      <c r="A95" s="36">
        <v>8</v>
      </c>
      <c r="B95" s="36">
        <v>0</v>
      </c>
      <c r="C95" s="534">
        <v>28</v>
      </c>
      <c r="D95" s="538">
        <v>29</v>
      </c>
      <c r="E95" s="534">
        <v>55</v>
      </c>
      <c r="F95" s="538">
        <v>56</v>
      </c>
      <c r="G95" s="534" t="s">
        <v>263</v>
      </c>
      <c r="HG95" s="25">
        <v>43911</v>
      </c>
      <c r="HH95" s="14" t="str">
        <f t="shared" si="18"/>
        <v>21-Mar</v>
      </c>
      <c r="HI95" s="14" t="s">
        <v>116</v>
      </c>
      <c r="HJ95" s="14" t="s">
        <v>129</v>
      </c>
      <c r="HK95" s="14" t="str">
        <f t="shared" si="16"/>
        <v>Aries - Fire</v>
      </c>
    </row>
    <row r="96" spans="1:228" x14ac:dyDescent="0.3">
      <c r="A96" s="36">
        <v>7</v>
      </c>
      <c r="B96" s="36">
        <v>0</v>
      </c>
      <c r="C96" s="534">
        <v>29</v>
      </c>
      <c r="D96" s="538">
        <v>30</v>
      </c>
      <c r="E96" s="534">
        <v>56</v>
      </c>
      <c r="F96" s="538">
        <v>57</v>
      </c>
      <c r="G96" s="534" t="s">
        <v>263</v>
      </c>
      <c r="HG96" s="25">
        <v>43912</v>
      </c>
      <c r="HH96" s="14" t="str">
        <f t="shared" si="18"/>
        <v>22-Mar</v>
      </c>
      <c r="HI96" s="14" t="s">
        <v>116</v>
      </c>
      <c r="HJ96" s="14" t="s">
        <v>129</v>
      </c>
      <c r="HK96" s="14" t="str">
        <f t="shared" si="16"/>
        <v>Aries - Fire</v>
      </c>
    </row>
    <row r="97" spans="1:219" x14ac:dyDescent="0.3">
      <c r="A97" s="36">
        <v>6</v>
      </c>
      <c r="B97" s="36">
        <v>0</v>
      </c>
      <c r="C97" s="534">
        <v>30</v>
      </c>
      <c r="D97" s="538">
        <v>31</v>
      </c>
      <c r="E97" s="534">
        <v>57</v>
      </c>
      <c r="F97" s="538">
        <v>58</v>
      </c>
      <c r="G97" s="534" t="s">
        <v>263</v>
      </c>
      <c r="HG97" s="25">
        <v>43913</v>
      </c>
      <c r="HH97" s="14" t="str">
        <f t="shared" si="18"/>
        <v>23-Mar</v>
      </c>
      <c r="HI97" s="14" t="s">
        <v>116</v>
      </c>
      <c r="HJ97" s="14" t="s">
        <v>129</v>
      </c>
      <c r="HK97" s="14" t="str">
        <f t="shared" si="16"/>
        <v>Aries - Fire</v>
      </c>
    </row>
    <row r="98" spans="1:219" x14ac:dyDescent="0.3">
      <c r="A98" s="36">
        <v>5</v>
      </c>
      <c r="B98" s="36">
        <v>0</v>
      </c>
      <c r="C98" s="534">
        <v>31</v>
      </c>
      <c r="D98" s="538">
        <v>32</v>
      </c>
      <c r="E98" s="534">
        <v>58</v>
      </c>
      <c r="F98" s="538">
        <v>59</v>
      </c>
      <c r="G98" s="534" t="s">
        <v>263</v>
      </c>
      <c r="HG98" s="25">
        <v>43914</v>
      </c>
      <c r="HH98" s="14" t="str">
        <f t="shared" si="18"/>
        <v>24-Mar</v>
      </c>
      <c r="HI98" s="14" t="s">
        <v>116</v>
      </c>
      <c r="HJ98" s="14" t="s">
        <v>129</v>
      </c>
      <c r="HK98" s="14" t="str">
        <f t="shared" si="16"/>
        <v>Aries - Fire</v>
      </c>
    </row>
    <row r="99" spans="1:219" x14ac:dyDescent="0.3">
      <c r="A99" s="36">
        <v>4</v>
      </c>
      <c r="B99" s="36">
        <v>0</v>
      </c>
      <c r="C99" s="534">
        <v>23</v>
      </c>
      <c r="D99" s="538">
        <v>24</v>
      </c>
      <c r="E99" s="534">
        <v>59</v>
      </c>
      <c r="F99" s="538">
        <v>60</v>
      </c>
      <c r="G99" s="534" t="s">
        <v>263</v>
      </c>
      <c r="HG99" s="25">
        <v>43915</v>
      </c>
      <c r="HH99" s="14" t="str">
        <f t="shared" si="18"/>
        <v>25-Mar</v>
      </c>
      <c r="HI99" s="14" t="s">
        <v>116</v>
      </c>
      <c r="HJ99" s="14" t="s">
        <v>129</v>
      </c>
      <c r="HK99" s="14" t="str">
        <f t="shared" si="16"/>
        <v>Aries - Fire</v>
      </c>
    </row>
    <row r="100" spans="1:219" x14ac:dyDescent="0.3">
      <c r="A100" s="36">
        <v>3</v>
      </c>
      <c r="B100" s="36">
        <v>0</v>
      </c>
      <c r="C100" s="534">
        <v>24</v>
      </c>
      <c r="D100" s="538">
        <v>25</v>
      </c>
      <c r="E100" s="534">
        <v>51</v>
      </c>
      <c r="F100" s="538">
        <v>52</v>
      </c>
      <c r="G100" s="534" t="s">
        <v>263</v>
      </c>
      <c r="HG100" s="25">
        <v>43916</v>
      </c>
      <c r="HH100" s="14" t="str">
        <f t="shared" si="18"/>
        <v>26-Mar</v>
      </c>
      <c r="HI100" s="14" t="s">
        <v>116</v>
      </c>
      <c r="HJ100" s="14" t="s">
        <v>129</v>
      </c>
      <c r="HK100" s="14" t="str">
        <f t="shared" si="16"/>
        <v>Aries - Fire</v>
      </c>
    </row>
    <row r="101" spans="1:219" x14ac:dyDescent="0.3">
      <c r="A101" s="36">
        <v>2</v>
      </c>
      <c r="B101" s="36">
        <v>0</v>
      </c>
      <c r="C101" s="534">
        <v>25</v>
      </c>
      <c r="D101" s="538">
        <v>26</v>
      </c>
      <c r="E101" s="534">
        <v>52</v>
      </c>
      <c r="F101" s="538">
        <v>53</v>
      </c>
      <c r="G101" s="534" t="s">
        <v>263</v>
      </c>
      <c r="HG101" s="25">
        <v>43917</v>
      </c>
      <c r="HH101" s="14" t="str">
        <f t="shared" si="18"/>
        <v>27-Mar</v>
      </c>
      <c r="HI101" s="14" t="s">
        <v>116</v>
      </c>
      <c r="HJ101" s="14" t="s">
        <v>129</v>
      </c>
      <c r="HK101" s="14" t="str">
        <f t="shared" si="16"/>
        <v>Aries - Fire</v>
      </c>
    </row>
    <row r="102" spans="1:219" ht="15" thickBot="1" x14ac:dyDescent="0.35">
      <c r="A102" s="37">
        <v>1</v>
      </c>
      <c r="B102" s="37">
        <v>0</v>
      </c>
      <c r="C102" s="535">
        <v>26</v>
      </c>
      <c r="D102" s="539">
        <v>27</v>
      </c>
      <c r="E102" s="535">
        <v>53</v>
      </c>
      <c r="F102" s="539">
        <v>54</v>
      </c>
      <c r="G102" s="535" t="s">
        <v>263</v>
      </c>
      <c r="HG102" s="25">
        <v>43918</v>
      </c>
      <c r="HH102" s="14" t="str">
        <f t="shared" si="18"/>
        <v>28-Mar</v>
      </c>
      <c r="HI102" s="14" t="s">
        <v>116</v>
      </c>
      <c r="HJ102" s="14" t="s">
        <v>129</v>
      </c>
      <c r="HK102" s="14" t="str">
        <f t="shared" si="16"/>
        <v>Aries - Fire</v>
      </c>
    </row>
    <row r="103" spans="1:219" x14ac:dyDescent="0.3">
      <c r="HG103" s="25">
        <v>43919</v>
      </c>
      <c r="HH103" s="14" t="str">
        <f t="shared" si="18"/>
        <v>29-Mar</v>
      </c>
      <c r="HI103" s="14" t="s">
        <v>116</v>
      </c>
      <c r="HJ103" s="14" t="s">
        <v>129</v>
      </c>
      <c r="HK103" s="14" t="str">
        <f t="shared" si="16"/>
        <v>Aries - Fire</v>
      </c>
    </row>
    <row r="104" spans="1:219" x14ac:dyDescent="0.3">
      <c r="HG104" s="25">
        <v>43920</v>
      </c>
      <c r="HH104" s="14" t="str">
        <f t="shared" si="18"/>
        <v>30-Mar</v>
      </c>
      <c r="HI104" s="14" t="s">
        <v>116</v>
      </c>
      <c r="HJ104" s="14" t="s">
        <v>129</v>
      </c>
      <c r="HK104" s="14" t="str">
        <f t="shared" si="16"/>
        <v>Aries - Fire</v>
      </c>
    </row>
    <row r="105" spans="1:219" x14ac:dyDescent="0.3">
      <c r="HG105" s="25">
        <v>43921</v>
      </c>
      <c r="HH105" s="14" t="str">
        <f t="shared" si="18"/>
        <v>31-Mar</v>
      </c>
      <c r="HI105" s="14" t="s">
        <v>116</v>
      </c>
      <c r="HJ105" s="14" t="s">
        <v>129</v>
      </c>
      <c r="HK105" s="14" t="str">
        <f t="shared" si="16"/>
        <v>Aries - Fire</v>
      </c>
    </row>
    <row r="106" spans="1:219" x14ac:dyDescent="0.3">
      <c r="HG106" s="25">
        <v>43922</v>
      </c>
      <c r="HH106" s="14" t="str">
        <f t="shared" si="18"/>
        <v>01-Apr</v>
      </c>
      <c r="HI106" s="14" t="s">
        <v>116</v>
      </c>
      <c r="HJ106" s="14" t="s">
        <v>129</v>
      </c>
      <c r="HK106" s="14" t="str">
        <f t="shared" si="16"/>
        <v>Aries - Fire</v>
      </c>
    </row>
    <row r="107" spans="1:219" x14ac:dyDescent="0.3">
      <c r="HG107" s="25">
        <v>43923</v>
      </c>
      <c r="HH107" s="14" t="str">
        <f t="shared" si="18"/>
        <v>02-Apr</v>
      </c>
      <c r="HI107" s="14" t="s">
        <v>116</v>
      </c>
      <c r="HJ107" s="14" t="s">
        <v>129</v>
      </c>
      <c r="HK107" s="14" t="str">
        <f t="shared" si="16"/>
        <v>Aries - Fire</v>
      </c>
    </row>
    <row r="108" spans="1:219" x14ac:dyDescent="0.3">
      <c r="HG108" s="25">
        <v>43924</v>
      </c>
      <c r="HH108" s="14" t="str">
        <f t="shared" si="18"/>
        <v>03-Apr</v>
      </c>
      <c r="HI108" s="14" t="s">
        <v>116</v>
      </c>
      <c r="HJ108" s="14" t="s">
        <v>129</v>
      </c>
      <c r="HK108" s="14" t="str">
        <f t="shared" si="16"/>
        <v>Aries - Fire</v>
      </c>
    </row>
    <row r="109" spans="1:219" x14ac:dyDescent="0.3">
      <c r="HG109" s="25">
        <v>43925</v>
      </c>
      <c r="HH109" s="14" t="str">
        <f t="shared" si="18"/>
        <v>04-Apr</v>
      </c>
      <c r="HI109" s="14" t="s">
        <v>116</v>
      </c>
      <c r="HJ109" s="14" t="s">
        <v>129</v>
      </c>
      <c r="HK109" s="14" t="str">
        <f t="shared" si="16"/>
        <v>Aries - Fire</v>
      </c>
    </row>
    <row r="110" spans="1:219" x14ac:dyDescent="0.3">
      <c r="HG110" s="25">
        <v>43926</v>
      </c>
      <c r="HH110" s="14" t="str">
        <f t="shared" si="18"/>
        <v>05-Apr</v>
      </c>
      <c r="HI110" s="14" t="s">
        <v>116</v>
      </c>
      <c r="HJ110" s="14" t="s">
        <v>129</v>
      </c>
      <c r="HK110" s="14" t="str">
        <f t="shared" si="16"/>
        <v>Aries - Fire</v>
      </c>
    </row>
    <row r="111" spans="1:219" x14ac:dyDescent="0.3">
      <c r="HG111" s="25">
        <v>43927</v>
      </c>
      <c r="HH111" s="14" t="str">
        <f t="shared" si="18"/>
        <v>06-Apr</v>
      </c>
      <c r="HI111" s="14" t="s">
        <v>116</v>
      </c>
      <c r="HJ111" s="14" t="s">
        <v>129</v>
      </c>
      <c r="HK111" s="14" t="str">
        <f t="shared" si="16"/>
        <v>Aries - Fire</v>
      </c>
    </row>
    <row r="112" spans="1:219" x14ac:dyDescent="0.3">
      <c r="HG112" s="25">
        <v>43928</v>
      </c>
      <c r="HH112" s="14" t="str">
        <f t="shared" si="18"/>
        <v>07-Apr</v>
      </c>
      <c r="HI112" s="14" t="s">
        <v>116</v>
      </c>
      <c r="HJ112" s="14" t="s">
        <v>129</v>
      </c>
      <c r="HK112" s="14" t="str">
        <f t="shared" si="16"/>
        <v>Aries - Fire</v>
      </c>
    </row>
    <row r="113" spans="215:219" x14ac:dyDescent="0.3">
      <c r="HG113" s="25">
        <v>43929</v>
      </c>
      <c r="HH113" s="14" t="str">
        <f t="shared" si="18"/>
        <v>08-Apr</v>
      </c>
      <c r="HI113" s="14" t="s">
        <v>116</v>
      </c>
      <c r="HJ113" s="14" t="s">
        <v>129</v>
      </c>
      <c r="HK113" s="14" t="str">
        <f t="shared" si="16"/>
        <v>Aries - Fire</v>
      </c>
    </row>
    <row r="114" spans="215:219" x14ac:dyDescent="0.3">
      <c r="HG114" s="25">
        <v>43930</v>
      </c>
      <c r="HH114" s="14" t="str">
        <f t="shared" si="18"/>
        <v>09-Apr</v>
      </c>
      <c r="HI114" s="14" t="s">
        <v>116</v>
      </c>
      <c r="HJ114" s="14" t="s">
        <v>129</v>
      </c>
      <c r="HK114" s="14" t="str">
        <f t="shared" si="16"/>
        <v>Aries - Fire</v>
      </c>
    </row>
    <row r="115" spans="215:219" x14ac:dyDescent="0.3">
      <c r="HG115" s="25">
        <v>43931</v>
      </c>
      <c r="HH115" s="14" t="str">
        <f t="shared" si="18"/>
        <v>10-Apr</v>
      </c>
      <c r="HI115" s="14" t="s">
        <v>116</v>
      </c>
      <c r="HJ115" s="14" t="s">
        <v>129</v>
      </c>
      <c r="HK115" s="14" t="str">
        <f t="shared" si="16"/>
        <v>Aries - Fire</v>
      </c>
    </row>
    <row r="116" spans="215:219" x14ac:dyDescent="0.3">
      <c r="HG116" s="25">
        <v>43932</v>
      </c>
      <c r="HH116" s="14" t="str">
        <f t="shared" si="18"/>
        <v>11-Apr</v>
      </c>
      <c r="HI116" s="14" t="s">
        <v>116</v>
      </c>
      <c r="HJ116" s="14" t="s">
        <v>129</v>
      </c>
      <c r="HK116" s="14" t="str">
        <f t="shared" si="16"/>
        <v>Aries - Fire</v>
      </c>
    </row>
    <row r="117" spans="215:219" x14ac:dyDescent="0.3">
      <c r="HG117" s="25">
        <v>43933</v>
      </c>
      <c r="HH117" s="14" t="str">
        <f t="shared" si="18"/>
        <v>12-Apr</v>
      </c>
      <c r="HI117" s="14" t="s">
        <v>116</v>
      </c>
      <c r="HJ117" s="14" t="s">
        <v>129</v>
      </c>
      <c r="HK117" s="14" t="str">
        <f t="shared" si="16"/>
        <v>Aries - Fire</v>
      </c>
    </row>
    <row r="118" spans="215:219" x14ac:dyDescent="0.3">
      <c r="HG118" s="25">
        <v>43934</v>
      </c>
      <c r="HH118" s="14" t="str">
        <f t="shared" si="18"/>
        <v>13-Apr</v>
      </c>
      <c r="HI118" s="14" t="s">
        <v>116</v>
      </c>
      <c r="HJ118" s="14" t="s">
        <v>129</v>
      </c>
      <c r="HK118" s="14" t="str">
        <f t="shared" si="16"/>
        <v>Aries - Fire</v>
      </c>
    </row>
    <row r="119" spans="215:219" x14ac:dyDescent="0.3">
      <c r="HG119" s="25">
        <v>43935</v>
      </c>
      <c r="HH119" s="14" t="str">
        <f t="shared" si="18"/>
        <v>14-Apr</v>
      </c>
      <c r="HI119" s="14" t="s">
        <v>116</v>
      </c>
      <c r="HJ119" s="14" t="s">
        <v>129</v>
      </c>
      <c r="HK119" s="14" t="str">
        <f t="shared" si="16"/>
        <v>Aries - Fire</v>
      </c>
    </row>
    <row r="120" spans="215:219" x14ac:dyDescent="0.3">
      <c r="HG120" s="25">
        <v>43936</v>
      </c>
      <c r="HH120" s="14" t="str">
        <f t="shared" si="18"/>
        <v>15-Apr</v>
      </c>
      <c r="HI120" s="14" t="s">
        <v>116</v>
      </c>
      <c r="HJ120" s="14" t="s">
        <v>129</v>
      </c>
      <c r="HK120" s="14" t="str">
        <f t="shared" si="16"/>
        <v>Aries - Fire</v>
      </c>
    </row>
    <row r="121" spans="215:219" x14ac:dyDescent="0.3">
      <c r="HG121" s="25">
        <v>43937</v>
      </c>
      <c r="HH121" s="14" t="str">
        <f t="shared" si="18"/>
        <v>16-Apr</v>
      </c>
      <c r="HI121" s="14" t="s">
        <v>116</v>
      </c>
      <c r="HJ121" s="14" t="s">
        <v>129</v>
      </c>
      <c r="HK121" s="14" t="str">
        <f t="shared" si="16"/>
        <v>Aries - Fire</v>
      </c>
    </row>
    <row r="122" spans="215:219" x14ac:dyDescent="0.3">
      <c r="HG122" s="25">
        <v>43938</v>
      </c>
      <c r="HH122" s="14" t="str">
        <f t="shared" si="18"/>
        <v>17-Apr</v>
      </c>
      <c r="HI122" s="14" t="s">
        <v>116</v>
      </c>
      <c r="HJ122" s="14" t="s">
        <v>129</v>
      </c>
      <c r="HK122" s="14" t="str">
        <f t="shared" si="16"/>
        <v>Aries - Fire</v>
      </c>
    </row>
    <row r="123" spans="215:219" x14ac:dyDescent="0.3">
      <c r="HG123" s="25">
        <v>43939</v>
      </c>
      <c r="HH123" s="14" t="str">
        <f t="shared" si="18"/>
        <v>18-Apr</v>
      </c>
      <c r="HI123" s="14" t="s">
        <v>116</v>
      </c>
      <c r="HJ123" s="14" t="s">
        <v>129</v>
      </c>
      <c r="HK123" s="14" t="str">
        <f t="shared" si="16"/>
        <v>Aries - Fire</v>
      </c>
    </row>
    <row r="124" spans="215:219" x14ac:dyDescent="0.3">
      <c r="HG124" s="25">
        <v>43940</v>
      </c>
      <c r="HH124" s="14" t="str">
        <f t="shared" si="18"/>
        <v>19-Apr</v>
      </c>
      <c r="HI124" s="14" t="s">
        <v>116</v>
      </c>
      <c r="HJ124" s="14" t="s">
        <v>129</v>
      </c>
      <c r="HK124" s="14" t="str">
        <f t="shared" si="16"/>
        <v>Aries - Fire</v>
      </c>
    </row>
    <row r="125" spans="215:219" x14ac:dyDescent="0.3">
      <c r="HG125" s="25">
        <v>43941</v>
      </c>
      <c r="HH125" s="14" t="str">
        <f t="shared" si="18"/>
        <v>20-Apr</v>
      </c>
      <c r="HI125" s="14" t="s">
        <v>117</v>
      </c>
      <c r="HJ125" s="14" t="s">
        <v>130</v>
      </c>
      <c r="HK125" s="14" t="str">
        <f t="shared" si="16"/>
        <v>Taurus - Earth</v>
      </c>
    </row>
    <row r="126" spans="215:219" x14ac:dyDescent="0.3">
      <c r="HG126" s="25">
        <v>43942</v>
      </c>
      <c r="HH126" s="14" t="str">
        <f t="shared" si="18"/>
        <v>21-Apr</v>
      </c>
      <c r="HI126" s="14" t="s">
        <v>117</v>
      </c>
      <c r="HJ126" s="14" t="s">
        <v>130</v>
      </c>
      <c r="HK126" s="14" t="str">
        <f t="shared" si="16"/>
        <v>Taurus - Earth</v>
      </c>
    </row>
    <row r="127" spans="215:219" x14ac:dyDescent="0.3">
      <c r="HG127" s="25">
        <v>43943</v>
      </c>
      <c r="HH127" s="14" t="str">
        <f t="shared" si="18"/>
        <v>22-Apr</v>
      </c>
      <c r="HI127" s="14" t="s">
        <v>117</v>
      </c>
      <c r="HJ127" s="14" t="s">
        <v>130</v>
      </c>
      <c r="HK127" s="14" t="str">
        <f t="shared" si="16"/>
        <v>Taurus - Earth</v>
      </c>
    </row>
    <row r="128" spans="215:219" x14ac:dyDescent="0.3">
      <c r="HG128" s="25">
        <v>43944</v>
      </c>
      <c r="HH128" s="14" t="str">
        <f t="shared" si="18"/>
        <v>23-Apr</v>
      </c>
      <c r="HI128" s="14" t="s">
        <v>117</v>
      </c>
      <c r="HJ128" s="14" t="s">
        <v>130</v>
      </c>
      <c r="HK128" s="14" t="str">
        <f t="shared" si="16"/>
        <v>Taurus - Earth</v>
      </c>
    </row>
    <row r="129" spans="215:219" x14ac:dyDescent="0.3">
      <c r="HG129" s="25">
        <v>43945</v>
      </c>
      <c r="HH129" s="14" t="str">
        <f t="shared" si="18"/>
        <v>24-Apr</v>
      </c>
      <c r="HI129" s="14" t="s">
        <v>117</v>
      </c>
      <c r="HJ129" s="14" t="s">
        <v>130</v>
      </c>
      <c r="HK129" s="14" t="str">
        <f t="shared" si="16"/>
        <v>Taurus - Earth</v>
      </c>
    </row>
    <row r="130" spans="215:219" x14ac:dyDescent="0.3">
      <c r="HG130" s="25">
        <v>43946</v>
      </c>
      <c r="HH130" s="14" t="str">
        <f t="shared" si="18"/>
        <v>25-Apr</v>
      </c>
      <c r="HI130" s="14" t="s">
        <v>117</v>
      </c>
      <c r="HJ130" s="14" t="s">
        <v>130</v>
      </c>
      <c r="HK130" s="14" t="str">
        <f t="shared" si="16"/>
        <v>Taurus - Earth</v>
      </c>
    </row>
    <row r="131" spans="215:219" x14ac:dyDescent="0.3">
      <c r="HG131" s="25">
        <v>43947</v>
      </c>
      <c r="HH131" s="14" t="str">
        <f t="shared" si="18"/>
        <v>26-Apr</v>
      </c>
      <c r="HI131" s="14" t="s">
        <v>117</v>
      </c>
      <c r="HJ131" s="14" t="s">
        <v>130</v>
      </c>
      <c r="HK131" s="14" t="str">
        <f t="shared" si="16"/>
        <v>Taurus - Earth</v>
      </c>
    </row>
    <row r="132" spans="215:219" x14ac:dyDescent="0.3">
      <c r="HG132" s="25">
        <v>43948</v>
      </c>
      <c r="HH132" s="14" t="str">
        <f t="shared" si="18"/>
        <v>27-Apr</v>
      </c>
      <c r="HI132" s="14" t="s">
        <v>117</v>
      </c>
      <c r="HJ132" s="14" t="s">
        <v>130</v>
      </c>
      <c r="HK132" s="14" t="str">
        <f t="shared" si="16"/>
        <v>Taurus - Earth</v>
      </c>
    </row>
    <row r="133" spans="215:219" x14ac:dyDescent="0.3">
      <c r="HG133" s="25">
        <v>43949</v>
      </c>
      <c r="HH133" s="14" t="str">
        <f t="shared" si="18"/>
        <v>28-Apr</v>
      </c>
      <c r="HI133" s="14" t="s">
        <v>117</v>
      </c>
      <c r="HJ133" s="14" t="s">
        <v>130</v>
      </c>
      <c r="HK133" s="14" t="str">
        <f t="shared" si="16"/>
        <v>Taurus - Earth</v>
      </c>
    </row>
    <row r="134" spans="215:219" x14ac:dyDescent="0.3">
      <c r="HG134" s="25">
        <v>43950</v>
      </c>
      <c r="HH134" s="14" t="str">
        <f t="shared" si="18"/>
        <v>29-Apr</v>
      </c>
      <c r="HI134" s="14" t="s">
        <v>117</v>
      </c>
      <c r="HJ134" s="14" t="s">
        <v>130</v>
      </c>
      <c r="HK134" s="14" t="str">
        <f t="shared" si="16"/>
        <v>Taurus - Earth</v>
      </c>
    </row>
    <row r="135" spans="215:219" x14ac:dyDescent="0.3">
      <c r="HG135" s="25">
        <v>43951</v>
      </c>
      <c r="HH135" s="14" t="str">
        <f t="shared" si="18"/>
        <v>30-Apr</v>
      </c>
      <c r="HI135" s="14" t="s">
        <v>117</v>
      </c>
      <c r="HJ135" s="14" t="s">
        <v>130</v>
      </c>
      <c r="HK135" s="14" t="str">
        <f t="shared" si="16"/>
        <v>Taurus - Earth</v>
      </c>
    </row>
    <row r="136" spans="215:219" x14ac:dyDescent="0.3">
      <c r="HG136" s="25">
        <v>43952</v>
      </c>
      <c r="HH136" s="14" t="str">
        <f t="shared" si="18"/>
        <v>01-May</v>
      </c>
      <c r="HI136" s="14" t="s">
        <v>117</v>
      </c>
      <c r="HJ136" s="14" t="s">
        <v>130</v>
      </c>
      <c r="HK136" s="14" t="str">
        <f t="shared" si="16"/>
        <v>Taurus - Earth</v>
      </c>
    </row>
    <row r="137" spans="215:219" x14ac:dyDescent="0.3">
      <c r="HG137" s="25">
        <v>43953</v>
      </c>
      <c r="HH137" s="14" t="str">
        <f t="shared" si="18"/>
        <v>02-May</v>
      </c>
      <c r="HI137" s="14" t="s">
        <v>117</v>
      </c>
      <c r="HJ137" s="14" t="s">
        <v>130</v>
      </c>
      <c r="HK137" s="14" t="str">
        <f t="shared" si="16"/>
        <v>Taurus - Earth</v>
      </c>
    </row>
    <row r="138" spans="215:219" x14ac:dyDescent="0.3">
      <c r="HG138" s="25">
        <v>43954</v>
      </c>
      <c r="HH138" s="14" t="str">
        <f t="shared" si="18"/>
        <v>03-May</v>
      </c>
      <c r="HI138" s="14" t="s">
        <v>117</v>
      </c>
      <c r="HJ138" s="14" t="s">
        <v>130</v>
      </c>
      <c r="HK138" s="14" t="str">
        <f t="shared" si="16"/>
        <v>Taurus - Earth</v>
      </c>
    </row>
    <row r="139" spans="215:219" x14ac:dyDescent="0.3">
      <c r="HG139" s="25">
        <v>43955</v>
      </c>
      <c r="HH139" s="14" t="str">
        <f t="shared" si="18"/>
        <v>04-May</v>
      </c>
      <c r="HI139" s="14" t="s">
        <v>117</v>
      </c>
      <c r="HJ139" s="14" t="s">
        <v>130</v>
      </c>
      <c r="HK139" s="14" t="str">
        <f t="shared" si="16"/>
        <v>Taurus - Earth</v>
      </c>
    </row>
    <row r="140" spans="215:219" x14ac:dyDescent="0.3">
      <c r="HG140" s="25">
        <v>43956</v>
      </c>
      <c r="HH140" s="14" t="str">
        <f t="shared" si="18"/>
        <v>05-May</v>
      </c>
      <c r="HI140" s="14" t="s">
        <v>117</v>
      </c>
      <c r="HJ140" s="14" t="s">
        <v>130</v>
      </c>
      <c r="HK140" s="14" t="str">
        <f t="shared" si="16"/>
        <v>Taurus - Earth</v>
      </c>
    </row>
    <row r="141" spans="215:219" x14ac:dyDescent="0.3">
      <c r="HG141" s="25">
        <v>43957</v>
      </c>
      <c r="HH141" s="14" t="str">
        <f t="shared" si="18"/>
        <v>06-May</v>
      </c>
      <c r="HI141" s="14" t="s">
        <v>117</v>
      </c>
      <c r="HJ141" s="14" t="s">
        <v>130</v>
      </c>
      <c r="HK141" s="14" t="str">
        <f t="shared" si="16"/>
        <v>Taurus - Earth</v>
      </c>
    </row>
    <row r="142" spans="215:219" x14ac:dyDescent="0.3">
      <c r="HG142" s="25">
        <v>43958</v>
      </c>
      <c r="HH142" s="14" t="str">
        <f t="shared" si="18"/>
        <v>07-May</v>
      </c>
      <c r="HI142" s="14" t="s">
        <v>117</v>
      </c>
      <c r="HJ142" s="14" t="s">
        <v>130</v>
      </c>
      <c r="HK142" s="14" t="str">
        <f t="shared" ref="HK142:HK205" si="19">HI142&amp;" - "&amp;HJ142</f>
        <v>Taurus - Earth</v>
      </c>
    </row>
    <row r="143" spans="215:219" x14ac:dyDescent="0.3">
      <c r="HG143" s="25">
        <v>43959</v>
      </c>
      <c r="HH143" s="14" t="str">
        <f t="shared" si="18"/>
        <v>08-May</v>
      </c>
      <c r="HI143" s="14" t="s">
        <v>117</v>
      </c>
      <c r="HJ143" s="14" t="s">
        <v>130</v>
      </c>
      <c r="HK143" s="14" t="str">
        <f t="shared" si="19"/>
        <v>Taurus - Earth</v>
      </c>
    </row>
    <row r="144" spans="215:219" x14ac:dyDescent="0.3">
      <c r="HG144" s="25">
        <v>43960</v>
      </c>
      <c r="HH144" s="14" t="str">
        <f t="shared" ref="HH144:HH207" si="20">TEXT(HG144,"DD-MMM")</f>
        <v>09-May</v>
      </c>
      <c r="HI144" s="14" t="s">
        <v>117</v>
      </c>
      <c r="HJ144" s="14" t="s">
        <v>130</v>
      </c>
      <c r="HK144" s="14" t="str">
        <f t="shared" si="19"/>
        <v>Taurus - Earth</v>
      </c>
    </row>
    <row r="145" spans="215:219" x14ac:dyDescent="0.3">
      <c r="HG145" s="25">
        <v>43961</v>
      </c>
      <c r="HH145" s="14" t="str">
        <f t="shared" si="20"/>
        <v>10-May</v>
      </c>
      <c r="HI145" s="14" t="s">
        <v>117</v>
      </c>
      <c r="HJ145" s="14" t="s">
        <v>130</v>
      </c>
      <c r="HK145" s="14" t="str">
        <f t="shared" si="19"/>
        <v>Taurus - Earth</v>
      </c>
    </row>
    <row r="146" spans="215:219" x14ac:dyDescent="0.3">
      <c r="HG146" s="25">
        <v>43962</v>
      </c>
      <c r="HH146" s="14" t="str">
        <f t="shared" si="20"/>
        <v>11-May</v>
      </c>
      <c r="HI146" s="14" t="s">
        <v>117</v>
      </c>
      <c r="HJ146" s="14" t="s">
        <v>130</v>
      </c>
      <c r="HK146" s="14" t="str">
        <f t="shared" si="19"/>
        <v>Taurus - Earth</v>
      </c>
    </row>
    <row r="147" spans="215:219" x14ac:dyDescent="0.3">
      <c r="HG147" s="25">
        <v>43963</v>
      </c>
      <c r="HH147" s="14" t="str">
        <f t="shared" si="20"/>
        <v>12-May</v>
      </c>
      <c r="HI147" s="14" t="s">
        <v>117</v>
      </c>
      <c r="HJ147" s="14" t="s">
        <v>130</v>
      </c>
      <c r="HK147" s="14" t="str">
        <f t="shared" si="19"/>
        <v>Taurus - Earth</v>
      </c>
    </row>
    <row r="148" spans="215:219" x14ac:dyDescent="0.3">
      <c r="HG148" s="25">
        <v>43964</v>
      </c>
      <c r="HH148" s="14" t="str">
        <f t="shared" si="20"/>
        <v>13-May</v>
      </c>
      <c r="HI148" s="14" t="s">
        <v>117</v>
      </c>
      <c r="HJ148" s="14" t="s">
        <v>130</v>
      </c>
      <c r="HK148" s="14" t="str">
        <f t="shared" si="19"/>
        <v>Taurus - Earth</v>
      </c>
    </row>
    <row r="149" spans="215:219" x14ac:dyDescent="0.3">
      <c r="HG149" s="25">
        <v>43965</v>
      </c>
      <c r="HH149" s="14" t="str">
        <f t="shared" si="20"/>
        <v>14-May</v>
      </c>
      <c r="HI149" s="14" t="s">
        <v>117</v>
      </c>
      <c r="HJ149" s="14" t="s">
        <v>130</v>
      </c>
      <c r="HK149" s="14" t="str">
        <f t="shared" si="19"/>
        <v>Taurus - Earth</v>
      </c>
    </row>
    <row r="150" spans="215:219" x14ac:dyDescent="0.3">
      <c r="HG150" s="25">
        <v>43966</v>
      </c>
      <c r="HH150" s="14" t="str">
        <f t="shared" si="20"/>
        <v>15-May</v>
      </c>
      <c r="HI150" s="14" t="s">
        <v>117</v>
      </c>
      <c r="HJ150" s="14" t="s">
        <v>130</v>
      </c>
      <c r="HK150" s="14" t="str">
        <f t="shared" si="19"/>
        <v>Taurus - Earth</v>
      </c>
    </row>
    <row r="151" spans="215:219" x14ac:dyDescent="0.3">
      <c r="HG151" s="25">
        <v>43967</v>
      </c>
      <c r="HH151" s="14" t="str">
        <f t="shared" si="20"/>
        <v>16-May</v>
      </c>
      <c r="HI151" s="14" t="s">
        <v>117</v>
      </c>
      <c r="HJ151" s="14" t="s">
        <v>130</v>
      </c>
      <c r="HK151" s="14" t="str">
        <f t="shared" si="19"/>
        <v>Taurus - Earth</v>
      </c>
    </row>
    <row r="152" spans="215:219" x14ac:dyDescent="0.3">
      <c r="HG152" s="25">
        <v>43968</v>
      </c>
      <c r="HH152" s="14" t="str">
        <f t="shared" si="20"/>
        <v>17-May</v>
      </c>
      <c r="HI152" s="14" t="s">
        <v>117</v>
      </c>
      <c r="HJ152" s="14" t="s">
        <v>130</v>
      </c>
      <c r="HK152" s="14" t="str">
        <f t="shared" si="19"/>
        <v>Taurus - Earth</v>
      </c>
    </row>
    <row r="153" spans="215:219" x14ac:dyDescent="0.3">
      <c r="HG153" s="25">
        <v>43969</v>
      </c>
      <c r="HH153" s="14" t="str">
        <f t="shared" si="20"/>
        <v>18-May</v>
      </c>
      <c r="HI153" s="14" t="s">
        <v>117</v>
      </c>
      <c r="HJ153" s="14" t="s">
        <v>130</v>
      </c>
      <c r="HK153" s="14" t="str">
        <f t="shared" si="19"/>
        <v>Taurus - Earth</v>
      </c>
    </row>
    <row r="154" spans="215:219" x14ac:dyDescent="0.3">
      <c r="HG154" s="25">
        <v>43970</v>
      </c>
      <c r="HH154" s="14" t="str">
        <f t="shared" si="20"/>
        <v>19-May</v>
      </c>
      <c r="HI154" s="14" t="s">
        <v>117</v>
      </c>
      <c r="HJ154" s="14" t="s">
        <v>130</v>
      </c>
      <c r="HK154" s="14" t="str">
        <f t="shared" si="19"/>
        <v>Taurus - Earth</v>
      </c>
    </row>
    <row r="155" spans="215:219" x14ac:dyDescent="0.3">
      <c r="HG155" s="25">
        <v>43971</v>
      </c>
      <c r="HH155" s="14" t="str">
        <f t="shared" si="20"/>
        <v>20-May</v>
      </c>
      <c r="HI155" s="14" t="s">
        <v>117</v>
      </c>
      <c r="HJ155" s="14" t="s">
        <v>130</v>
      </c>
      <c r="HK155" s="14" t="str">
        <f t="shared" si="19"/>
        <v>Taurus - Earth</v>
      </c>
    </row>
    <row r="156" spans="215:219" x14ac:dyDescent="0.3">
      <c r="HG156" s="25">
        <v>43972</v>
      </c>
      <c r="HH156" s="14" t="str">
        <f t="shared" si="20"/>
        <v>21-May</v>
      </c>
      <c r="HI156" s="14" t="s">
        <v>118</v>
      </c>
      <c r="HJ156" s="14" t="s">
        <v>132</v>
      </c>
      <c r="HK156" s="14" t="str">
        <f t="shared" si="19"/>
        <v>Gemini - Air</v>
      </c>
    </row>
    <row r="157" spans="215:219" x14ac:dyDescent="0.3">
      <c r="HG157" s="25">
        <v>43973</v>
      </c>
      <c r="HH157" s="14" t="str">
        <f t="shared" si="20"/>
        <v>22-May</v>
      </c>
      <c r="HI157" s="14" t="s">
        <v>118</v>
      </c>
      <c r="HJ157" s="14" t="s">
        <v>132</v>
      </c>
      <c r="HK157" s="14" t="str">
        <f t="shared" si="19"/>
        <v>Gemini - Air</v>
      </c>
    </row>
    <row r="158" spans="215:219" x14ac:dyDescent="0.3">
      <c r="HG158" s="25">
        <v>43974</v>
      </c>
      <c r="HH158" s="14" t="str">
        <f t="shared" si="20"/>
        <v>23-May</v>
      </c>
      <c r="HI158" s="14" t="s">
        <v>118</v>
      </c>
      <c r="HJ158" s="14" t="s">
        <v>132</v>
      </c>
      <c r="HK158" s="14" t="str">
        <f t="shared" si="19"/>
        <v>Gemini - Air</v>
      </c>
    </row>
    <row r="159" spans="215:219" x14ac:dyDescent="0.3">
      <c r="HG159" s="25">
        <v>43975</v>
      </c>
      <c r="HH159" s="14" t="str">
        <f t="shared" si="20"/>
        <v>24-May</v>
      </c>
      <c r="HI159" s="14" t="s">
        <v>118</v>
      </c>
      <c r="HJ159" s="14" t="s">
        <v>132</v>
      </c>
      <c r="HK159" s="14" t="str">
        <f t="shared" si="19"/>
        <v>Gemini - Air</v>
      </c>
    </row>
    <row r="160" spans="215:219" x14ac:dyDescent="0.3">
      <c r="HG160" s="25">
        <v>43976</v>
      </c>
      <c r="HH160" s="14" t="str">
        <f t="shared" si="20"/>
        <v>25-May</v>
      </c>
      <c r="HI160" s="14" t="s">
        <v>118</v>
      </c>
      <c r="HJ160" s="14" t="s">
        <v>132</v>
      </c>
      <c r="HK160" s="14" t="str">
        <f t="shared" si="19"/>
        <v>Gemini - Air</v>
      </c>
    </row>
    <row r="161" spans="215:219" x14ac:dyDescent="0.3">
      <c r="HG161" s="25">
        <v>43977</v>
      </c>
      <c r="HH161" s="14" t="str">
        <f t="shared" si="20"/>
        <v>26-May</v>
      </c>
      <c r="HI161" s="14" t="s">
        <v>118</v>
      </c>
      <c r="HJ161" s="14" t="s">
        <v>132</v>
      </c>
      <c r="HK161" s="14" t="str">
        <f t="shared" si="19"/>
        <v>Gemini - Air</v>
      </c>
    </row>
    <row r="162" spans="215:219" x14ac:dyDescent="0.3">
      <c r="HG162" s="25">
        <v>43978</v>
      </c>
      <c r="HH162" s="14" t="str">
        <f t="shared" si="20"/>
        <v>27-May</v>
      </c>
      <c r="HI162" s="14" t="s">
        <v>118</v>
      </c>
      <c r="HJ162" s="14" t="s">
        <v>132</v>
      </c>
      <c r="HK162" s="14" t="str">
        <f t="shared" si="19"/>
        <v>Gemini - Air</v>
      </c>
    </row>
    <row r="163" spans="215:219" x14ac:dyDescent="0.3">
      <c r="HG163" s="25">
        <v>43979</v>
      </c>
      <c r="HH163" s="14" t="str">
        <f t="shared" si="20"/>
        <v>28-May</v>
      </c>
      <c r="HI163" s="14" t="s">
        <v>118</v>
      </c>
      <c r="HJ163" s="14" t="s">
        <v>132</v>
      </c>
      <c r="HK163" s="14" t="str">
        <f t="shared" si="19"/>
        <v>Gemini - Air</v>
      </c>
    </row>
    <row r="164" spans="215:219" x14ac:dyDescent="0.3">
      <c r="HG164" s="25">
        <v>43980</v>
      </c>
      <c r="HH164" s="14" t="str">
        <f t="shared" si="20"/>
        <v>29-May</v>
      </c>
      <c r="HI164" s="14" t="s">
        <v>118</v>
      </c>
      <c r="HJ164" s="14" t="s">
        <v>132</v>
      </c>
      <c r="HK164" s="14" t="str">
        <f t="shared" si="19"/>
        <v>Gemini - Air</v>
      </c>
    </row>
    <row r="165" spans="215:219" x14ac:dyDescent="0.3">
      <c r="HG165" s="25">
        <v>43981</v>
      </c>
      <c r="HH165" s="14" t="str">
        <f t="shared" si="20"/>
        <v>30-May</v>
      </c>
      <c r="HI165" s="14" t="s">
        <v>118</v>
      </c>
      <c r="HJ165" s="14" t="s">
        <v>132</v>
      </c>
      <c r="HK165" s="14" t="str">
        <f t="shared" si="19"/>
        <v>Gemini - Air</v>
      </c>
    </row>
    <row r="166" spans="215:219" x14ac:dyDescent="0.3">
      <c r="HG166" s="25">
        <v>43982</v>
      </c>
      <c r="HH166" s="14" t="str">
        <f t="shared" si="20"/>
        <v>31-May</v>
      </c>
      <c r="HI166" s="14" t="s">
        <v>118</v>
      </c>
      <c r="HJ166" s="14" t="s">
        <v>132</v>
      </c>
      <c r="HK166" s="14" t="str">
        <f t="shared" si="19"/>
        <v>Gemini - Air</v>
      </c>
    </row>
    <row r="167" spans="215:219" x14ac:dyDescent="0.3">
      <c r="HG167" s="25">
        <v>43983</v>
      </c>
      <c r="HH167" s="14" t="str">
        <f t="shared" si="20"/>
        <v>01-Jun</v>
      </c>
      <c r="HI167" s="14" t="s">
        <v>118</v>
      </c>
      <c r="HJ167" s="14" t="s">
        <v>132</v>
      </c>
      <c r="HK167" s="14" t="str">
        <f t="shared" si="19"/>
        <v>Gemini - Air</v>
      </c>
    </row>
    <row r="168" spans="215:219" x14ac:dyDescent="0.3">
      <c r="HG168" s="25">
        <v>43984</v>
      </c>
      <c r="HH168" s="14" t="str">
        <f t="shared" si="20"/>
        <v>02-Jun</v>
      </c>
      <c r="HI168" s="14" t="s">
        <v>118</v>
      </c>
      <c r="HJ168" s="14" t="s">
        <v>132</v>
      </c>
      <c r="HK168" s="14" t="str">
        <f t="shared" si="19"/>
        <v>Gemini - Air</v>
      </c>
    </row>
    <row r="169" spans="215:219" x14ac:dyDescent="0.3">
      <c r="HG169" s="25">
        <v>43985</v>
      </c>
      <c r="HH169" s="14" t="str">
        <f t="shared" si="20"/>
        <v>03-Jun</v>
      </c>
      <c r="HI169" s="14" t="s">
        <v>118</v>
      </c>
      <c r="HJ169" s="14" t="s">
        <v>132</v>
      </c>
      <c r="HK169" s="14" t="str">
        <f t="shared" si="19"/>
        <v>Gemini - Air</v>
      </c>
    </row>
    <row r="170" spans="215:219" x14ac:dyDescent="0.3">
      <c r="HG170" s="25">
        <v>43986</v>
      </c>
      <c r="HH170" s="14" t="str">
        <f t="shared" si="20"/>
        <v>04-Jun</v>
      </c>
      <c r="HI170" s="14" t="s">
        <v>118</v>
      </c>
      <c r="HJ170" s="14" t="s">
        <v>132</v>
      </c>
      <c r="HK170" s="14" t="str">
        <f t="shared" si="19"/>
        <v>Gemini - Air</v>
      </c>
    </row>
    <row r="171" spans="215:219" x14ac:dyDescent="0.3">
      <c r="HG171" s="25">
        <v>43987</v>
      </c>
      <c r="HH171" s="14" t="str">
        <f t="shared" si="20"/>
        <v>05-Jun</v>
      </c>
      <c r="HI171" s="14" t="s">
        <v>118</v>
      </c>
      <c r="HJ171" s="14" t="s">
        <v>132</v>
      </c>
      <c r="HK171" s="14" t="str">
        <f t="shared" si="19"/>
        <v>Gemini - Air</v>
      </c>
    </row>
    <row r="172" spans="215:219" x14ac:dyDescent="0.3">
      <c r="HG172" s="25">
        <v>43988</v>
      </c>
      <c r="HH172" s="14" t="str">
        <f t="shared" si="20"/>
        <v>06-Jun</v>
      </c>
      <c r="HI172" s="14" t="s">
        <v>118</v>
      </c>
      <c r="HJ172" s="14" t="s">
        <v>132</v>
      </c>
      <c r="HK172" s="14" t="str">
        <f t="shared" si="19"/>
        <v>Gemini - Air</v>
      </c>
    </row>
    <row r="173" spans="215:219" x14ac:dyDescent="0.3">
      <c r="HG173" s="25">
        <v>43989</v>
      </c>
      <c r="HH173" s="14" t="str">
        <f t="shared" si="20"/>
        <v>07-Jun</v>
      </c>
      <c r="HI173" s="14" t="s">
        <v>118</v>
      </c>
      <c r="HJ173" s="14" t="s">
        <v>132</v>
      </c>
      <c r="HK173" s="14" t="str">
        <f t="shared" si="19"/>
        <v>Gemini - Air</v>
      </c>
    </row>
    <row r="174" spans="215:219" x14ac:dyDescent="0.3">
      <c r="HG174" s="25">
        <v>43990</v>
      </c>
      <c r="HH174" s="14" t="str">
        <f t="shared" si="20"/>
        <v>08-Jun</v>
      </c>
      <c r="HI174" s="14" t="s">
        <v>118</v>
      </c>
      <c r="HJ174" s="14" t="s">
        <v>132</v>
      </c>
      <c r="HK174" s="14" t="str">
        <f t="shared" si="19"/>
        <v>Gemini - Air</v>
      </c>
    </row>
    <row r="175" spans="215:219" x14ac:dyDescent="0.3">
      <c r="HG175" s="25">
        <v>43991</v>
      </c>
      <c r="HH175" s="14" t="str">
        <f t="shared" si="20"/>
        <v>09-Jun</v>
      </c>
      <c r="HI175" s="14" t="s">
        <v>118</v>
      </c>
      <c r="HJ175" s="14" t="s">
        <v>132</v>
      </c>
      <c r="HK175" s="14" t="str">
        <f t="shared" si="19"/>
        <v>Gemini - Air</v>
      </c>
    </row>
    <row r="176" spans="215:219" x14ac:dyDescent="0.3">
      <c r="HG176" s="25">
        <v>43992</v>
      </c>
      <c r="HH176" s="14" t="str">
        <f t="shared" si="20"/>
        <v>10-Jun</v>
      </c>
      <c r="HI176" s="14" t="s">
        <v>118</v>
      </c>
      <c r="HJ176" s="14" t="s">
        <v>132</v>
      </c>
      <c r="HK176" s="14" t="str">
        <f t="shared" si="19"/>
        <v>Gemini - Air</v>
      </c>
    </row>
    <row r="177" spans="215:219" x14ac:dyDescent="0.3">
      <c r="HG177" s="25">
        <v>43993</v>
      </c>
      <c r="HH177" s="14" t="str">
        <f t="shared" si="20"/>
        <v>11-Jun</v>
      </c>
      <c r="HI177" s="14" t="s">
        <v>118</v>
      </c>
      <c r="HJ177" s="14" t="s">
        <v>132</v>
      </c>
      <c r="HK177" s="14" t="str">
        <f t="shared" si="19"/>
        <v>Gemini - Air</v>
      </c>
    </row>
    <row r="178" spans="215:219" x14ac:dyDescent="0.3">
      <c r="HG178" s="25">
        <v>43994</v>
      </c>
      <c r="HH178" s="14" t="str">
        <f t="shared" si="20"/>
        <v>12-Jun</v>
      </c>
      <c r="HI178" s="14" t="s">
        <v>118</v>
      </c>
      <c r="HJ178" s="14" t="s">
        <v>132</v>
      </c>
      <c r="HK178" s="14" t="str">
        <f t="shared" si="19"/>
        <v>Gemini - Air</v>
      </c>
    </row>
    <row r="179" spans="215:219" x14ac:dyDescent="0.3">
      <c r="HG179" s="25">
        <v>43995</v>
      </c>
      <c r="HH179" s="14" t="str">
        <f t="shared" si="20"/>
        <v>13-Jun</v>
      </c>
      <c r="HI179" s="14" t="s">
        <v>118</v>
      </c>
      <c r="HJ179" s="14" t="s">
        <v>132</v>
      </c>
      <c r="HK179" s="14" t="str">
        <f t="shared" si="19"/>
        <v>Gemini - Air</v>
      </c>
    </row>
    <row r="180" spans="215:219" x14ac:dyDescent="0.3">
      <c r="HG180" s="25">
        <v>43996</v>
      </c>
      <c r="HH180" s="14" t="str">
        <f t="shared" si="20"/>
        <v>14-Jun</v>
      </c>
      <c r="HI180" s="14" t="s">
        <v>118</v>
      </c>
      <c r="HJ180" s="14" t="s">
        <v>132</v>
      </c>
      <c r="HK180" s="14" t="str">
        <f t="shared" si="19"/>
        <v>Gemini - Air</v>
      </c>
    </row>
    <row r="181" spans="215:219" x14ac:dyDescent="0.3">
      <c r="HG181" s="25">
        <v>43997</v>
      </c>
      <c r="HH181" s="14" t="str">
        <f t="shared" si="20"/>
        <v>15-Jun</v>
      </c>
      <c r="HI181" s="14" t="s">
        <v>118</v>
      </c>
      <c r="HJ181" s="14" t="s">
        <v>132</v>
      </c>
      <c r="HK181" s="14" t="str">
        <f t="shared" si="19"/>
        <v>Gemini - Air</v>
      </c>
    </row>
    <row r="182" spans="215:219" x14ac:dyDescent="0.3">
      <c r="HG182" s="25">
        <v>43998</v>
      </c>
      <c r="HH182" s="14" t="str">
        <f t="shared" si="20"/>
        <v>16-Jun</v>
      </c>
      <c r="HI182" s="14" t="s">
        <v>118</v>
      </c>
      <c r="HJ182" s="14" t="s">
        <v>132</v>
      </c>
      <c r="HK182" s="14" t="str">
        <f t="shared" si="19"/>
        <v>Gemini - Air</v>
      </c>
    </row>
    <row r="183" spans="215:219" x14ac:dyDescent="0.3">
      <c r="HG183" s="25">
        <v>43999</v>
      </c>
      <c r="HH183" s="14" t="str">
        <f t="shared" si="20"/>
        <v>17-Jun</v>
      </c>
      <c r="HI183" s="14" t="s">
        <v>118</v>
      </c>
      <c r="HJ183" s="14" t="s">
        <v>132</v>
      </c>
      <c r="HK183" s="14" t="str">
        <f t="shared" si="19"/>
        <v>Gemini - Air</v>
      </c>
    </row>
    <row r="184" spans="215:219" x14ac:dyDescent="0.3">
      <c r="HG184" s="25">
        <v>44000</v>
      </c>
      <c r="HH184" s="14" t="str">
        <f t="shared" si="20"/>
        <v>18-Jun</v>
      </c>
      <c r="HI184" s="14" t="s">
        <v>118</v>
      </c>
      <c r="HJ184" s="14" t="s">
        <v>132</v>
      </c>
      <c r="HK184" s="14" t="str">
        <f t="shared" si="19"/>
        <v>Gemini - Air</v>
      </c>
    </row>
    <row r="185" spans="215:219" x14ac:dyDescent="0.3">
      <c r="HG185" s="25">
        <v>44001</v>
      </c>
      <c r="HH185" s="14" t="str">
        <f t="shared" si="20"/>
        <v>19-Jun</v>
      </c>
      <c r="HI185" s="14" t="s">
        <v>118</v>
      </c>
      <c r="HJ185" s="14" t="s">
        <v>132</v>
      </c>
      <c r="HK185" s="14" t="str">
        <f t="shared" si="19"/>
        <v>Gemini - Air</v>
      </c>
    </row>
    <row r="186" spans="215:219" x14ac:dyDescent="0.3">
      <c r="HG186" s="25">
        <v>44002</v>
      </c>
      <c r="HH186" s="14" t="str">
        <f t="shared" si="20"/>
        <v>20-Jun</v>
      </c>
      <c r="HI186" s="14" t="s">
        <v>118</v>
      </c>
      <c r="HJ186" s="14" t="s">
        <v>132</v>
      </c>
      <c r="HK186" s="14" t="str">
        <f t="shared" si="19"/>
        <v>Gemini - Air</v>
      </c>
    </row>
    <row r="187" spans="215:219" x14ac:dyDescent="0.3">
      <c r="HG187" s="25">
        <v>44003</v>
      </c>
      <c r="HH187" s="14" t="str">
        <f t="shared" si="20"/>
        <v>21-Jun</v>
      </c>
      <c r="HI187" s="14" t="s">
        <v>119</v>
      </c>
      <c r="HJ187" s="14" t="s">
        <v>131</v>
      </c>
      <c r="HK187" s="14" t="str">
        <f t="shared" si="19"/>
        <v>Cancer - Water</v>
      </c>
    </row>
    <row r="188" spans="215:219" x14ac:dyDescent="0.3">
      <c r="HG188" s="25">
        <v>44004</v>
      </c>
      <c r="HH188" s="14" t="str">
        <f t="shared" si="20"/>
        <v>22-Jun</v>
      </c>
      <c r="HI188" s="14" t="s">
        <v>119</v>
      </c>
      <c r="HJ188" s="14" t="s">
        <v>131</v>
      </c>
      <c r="HK188" s="14" t="str">
        <f t="shared" si="19"/>
        <v>Cancer - Water</v>
      </c>
    </row>
    <row r="189" spans="215:219" x14ac:dyDescent="0.3">
      <c r="HG189" s="25">
        <v>44005</v>
      </c>
      <c r="HH189" s="14" t="str">
        <f t="shared" si="20"/>
        <v>23-Jun</v>
      </c>
      <c r="HI189" s="14" t="s">
        <v>119</v>
      </c>
      <c r="HJ189" s="14" t="s">
        <v>131</v>
      </c>
      <c r="HK189" s="14" t="str">
        <f t="shared" si="19"/>
        <v>Cancer - Water</v>
      </c>
    </row>
    <row r="190" spans="215:219" x14ac:dyDescent="0.3">
      <c r="HG190" s="25">
        <v>44006</v>
      </c>
      <c r="HH190" s="14" t="str">
        <f t="shared" si="20"/>
        <v>24-Jun</v>
      </c>
      <c r="HI190" s="14" t="s">
        <v>119</v>
      </c>
      <c r="HJ190" s="14" t="s">
        <v>131</v>
      </c>
      <c r="HK190" s="14" t="str">
        <f t="shared" si="19"/>
        <v>Cancer - Water</v>
      </c>
    </row>
    <row r="191" spans="215:219" x14ac:dyDescent="0.3">
      <c r="HG191" s="25">
        <v>44007</v>
      </c>
      <c r="HH191" s="14" t="str">
        <f t="shared" si="20"/>
        <v>25-Jun</v>
      </c>
      <c r="HI191" s="14" t="s">
        <v>119</v>
      </c>
      <c r="HJ191" s="14" t="s">
        <v>131</v>
      </c>
      <c r="HK191" s="14" t="str">
        <f t="shared" si="19"/>
        <v>Cancer - Water</v>
      </c>
    </row>
    <row r="192" spans="215:219" x14ac:dyDescent="0.3">
      <c r="HG192" s="25">
        <v>44008</v>
      </c>
      <c r="HH192" s="14" t="str">
        <f t="shared" si="20"/>
        <v>26-Jun</v>
      </c>
      <c r="HI192" s="14" t="s">
        <v>119</v>
      </c>
      <c r="HJ192" s="14" t="s">
        <v>131</v>
      </c>
      <c r="HK192" s="14" t="str">
        <f t="shared" si="19"/>
        <v>Cancer - Water</v>
      </c>
    </row>
    <row r="193" spans="215:219" x14ac:dyDescent="0.3">
      <c r="HG193" s="25">
        <v>44009</v>
      </c>
      <c r="HH193" s="14" t="str">
        <f t="shared" si="20"/>
        <v>27-Jun</v>
      </c>
      <c r="HI193" s="14" t="s">
        <v>119</v>
      </c>
      <c r="HJ193" s="14" t="s">
        <v>131</v>
      </c>
      <c r="HK193" s="14" t="str">
        <f t="shared" si="19"/>
        <v>Cancer - Water</v>
      </c>
    </row>
    <row r="194" spans="215:219" x14ac:dyDescent="0.3">
      <c r="HG194" s="25">
        <v>44010</v>
      </c>
      <c r="HH194" s="14" t="str">
        <f t="shared" si="20"/>
        <v>28-Jun</v>
      </c>
      <c r="HI194" s="14" t="s">
        <v>119</v>
      </c>
      <c r="HJ194" s="14" t="s">
        <v>131</v>
      </c>
      <c r="HK194" s="14" t="str">
        <f t="shared" si="19"/>
        <v>Cancer - Water</v>
      </c>
    </row>
    <row r="195" spans="215:219" x14ac:dyDescent="0.3">
      <c r="HG195" s="25">
        <v>44011</v>
      </c>
      <c r="HH195" s="14" t="str">
        <f t="shared" si="20"/>
        <v>29-Jun</v>
      </c>
      <c r="HI195" s="14" t="s">
        <v>119</v>
      </c>
      <c r="HJ195" s="14" t="s">
        <v>131</v>
      </c>
      <c r="HK195" s="14" t="str">
        <f t="shared" si="19"/>
        <v>Cancer - Water</v>
      </c>
    </row>
    <row r="196" spans="215:219" x14ac:dyDescent="0.3">
      <c r="HG196" s="25">
        <v>44012</v>
      </c>
      <c r="HH196" s="14" t="str">
        <f t="shared" si="20"/>
        <v>30-Jun</v>
      </c>
      <c r="HI196" s="14" t="s">
        <v>119</v>
      </c>
      <c r="HJ196" s="14" t="s">
        <v>131</v>
      </c>
      <c r="HK196" s="14" t="str">
        <f t="shared" si="19"/>
        <v>Cancer - Water</v>
      </c>
    </row>
    <row r="197" spans="215:219" x14ac:dyDescent="0.3">
      <c r="HG197" s="25">
        <v>44013</v>
      </c>
      <c r="HH197" s="14" t="str">
        <f t="shared" si="20"/>
        <v>01-Jul</v>
      </c>
      <c r="HI197" s="14" t="s">
        <v>119</v>
      </c>
      <c r="HJ197" s="14" t="s">
        <v>131</v>
      </c>
      <c r="HK197" s="14" t="str">
        <f t="shared" si="19"/>
        <v>Cancer - Water</v>
      </c>
    </row>
    <row r="198" spans="215:219" x14ac:dyDescent="0.3">
      <c r="HG198" s="25">
        <v>44014</v>
      </c>
      <c r="HH198" s="14" t="str">
        <f t="shared" si="20"/>
        <v>02-Jul</v>
      </c>
      <c r="HI198" s="14" t="s">
        <v>119</v>
      </c>
      <c r="HJ198" s="14" t="s">
        <v>131</v>
      </c>
      <c r="HK198" s="14" t="str">
        <f t="shared" si="19"/>
        <v>Cancer - Water</v>
      </c>
    </row>
    <row r="199" spans="215:219" x14ac:dyDescent="0.3">
      <c r="HG199" s="25">
        <v>44015</v>
      </c>
      <c r="HH199" s="14" t="str">
        <f t="shared" si="20"/>
        <v>03-Jul</v>
      </c>
      <c r="HI199" s="14" t="s">
        <v>119</v>
      </c>
      <c r="HJ199" s="14" t="s">
        <v>131</v>
      </c>
      <c r="HK199" s="14" t="str">
        <f t="shared" si="19"/>
        <v>Cancer - Water</v>
      </c>
    </row>
    <row r="200" spans="215:219" x14ac:dyDescent="0.3">
      <c r="HG200" s="25">
        <v>44016</v>
      </c>
      <c r="HH200" s="14" t="str">
        <f t="shared" si="20"/>
        <v>04-Jul</v>
      </c>
      <c r="HI200" s="14" t="s">
        <v>119</v>
      </c>
      <c r="HJ200" s="14" t="s">
        <v>131</v>
      </c>
      <c r="HK200" s="14" t="str">
        <f t="shared" si="19"/>
        <v>Cancer - Water</v>
      </c>
    </row>
    <row r="201" spans="215:219" x14ac:dyDescent="0.3">
      <c r="HG201" s="25">
        <v>44017</v>
      </c>
      <c r="HH201" s="14" t="str">
        <f t="shared" si="20"/>
        <v>05-Jul</v>
      </c>
      <c r="HI201" s="14" t="s">
        <v>119</v>
      </c>
      <c r="HJ201" s="14" t="s">
        <v>131</v>
      </c>
      <c r="HK201" s="14" t="str">
        <f t="shared" si="19"/>
        <v>Cancer - Water</v>
      </c>
    </row>
    <row r="202" spans="215:219" x14ac:dyDescent="0.3">
      <c r="HG202" s="25">
        <v>44018</v>
      </c>
      <c r="HH202" s="14" t="str">
        <f t="shared" si="20"/>
        <v>06-Jul</v>
      </c>
      <c r="HI202" s="14" t="s">
        <v>119</v>
      </c>
      <c r="HJ202" s="14" t="s">
        <v>131</v>
      </c>
      <c r="HK202" s="14" t="str">
        <f t="shared" si="19"/>
        <v>Cancer - Water</v>
      </c>
    </row>
    <row r="203" spans="215:219" x14ac:dyDescent="0.3">
      <c r="HG203" s="25">
        <v>44019</v>
      </c>
      <c r="HH203" s="14" t="str">
        <f t="shared" si="20"/>
        <v>07-Jul</v>
      </c>
      <c r="HI203" s="14" t="s">
        <v>119</v>
      </c>
      <c r="HJ203" s="14" t="s">
        <v>131</v>
      </c>
      <c r="HK203" s="14" t="str">
        <f t="shared" si="19"/>
        <v>Cancer - Water</v>
      </c>
    </row>
    <row r="204" spans="215:219" x14ac:dyDescent="0.3">
      <c r="HG204" s="25">
        <v>44020</v>
      </c>
      <c r="HH204" s="14" t="str">
        <f t="shared" si="20"/>
        <v>08-Jul</v>
      </c>
      <c r="HI204" s="14" t="s">
        <v>119</v>
      </c>
      <c r="HJ204" s="14" t="s">
        <v>131</v>
      </c>
      <c r="HK204" s="14" t="str">
        <f t="shared" si="19"/>
        <v>Cancer - Water</v>
      </c>
    </row>
    <row r="205" spans="215:219" x14ac:dyDescent="0.3">
      <c r="HG205" s="25">
        <v>44021</v>
      </c>
      <c r="HH205" s="14" t="str">
        <f t="shared" si="20"/>
        <v>09-Jul</v>
      </c>
      <c r="HI205" s="14" t="s">
        <v>119</v>
      </c>
      <c r="HJ205" s="14" t="s">
        <v>131</v>
      </c>
      <c r="HK205" s="14" t="str">
        <f t="shared" si="19"/>
        <v>Cancer - Water</v>
      </c>
    </row>
    <row r="206" spans="215:219" x14ac:dyDescent="0.3">
      <c r="HG206" s="25">
        <v>44022</v>
      </c>
      <c r="HH206" s="14" t="str">
        <f t="shared" si="20"/>
        <v>10-Jul</v>
      </c>
      <c r="HI206" s="14" t="s">
        <v>119</v>
      </c>
      <c r="HJ206" s="14" t="s">
        <v>131</v>
      </c>
      <c r="HK206" s="14" t="str">
        <f t="shared" ref="HK206:HK269" si="21">HI206&amp;" - "&amp;HJ206</f>
        <v>Cancer - Water</v>
      </c>
    </row>
    <row r="207" spans="215:219" x14ac:dyDescent="0.3">
      <c r="HG207" s="25">
        <v>44023</v>
      </c>
      <c r="HH207" s="14" t="str">
        <f t="shared" si="20"/>
        <v>11-Jul</v>
      </c>
      <c r="HI207" s="14" t="s">
        <v>119</v>
      </c>
      <c r="HJ207" s="14" t="s">
        <v>131</v>
      </c>
      <c r="HK207" s="14" t="str">
        <f t="shared" si="21"/>
        <v>Cancer - Water</v>
      </c>
    </row>
    <row r="208" spans="215:219" x14ac:dyDescent="0.3">
      <c r="HG208" s="25">
        <v>44024</v>
      </c>
      <c r="HH208" s="14" t="str">
        <f t="shared" ref="HH208:HH271" si="22">TEXT(HG208,"DD-MMM")</f>
        <v>12-Jul</v>
      </c>
      <c r="HI208" s="14" t="s">
        <v>119</v>
      </c>
      <c r="HJ208" s="14" t="s">
        <v>131</v>
      </c>
      <c r="HK208" s="14" t="str">
        <f t="shared" si="21"/>
        <v>Cancer - Water</v>
      </c>
    </row>
    <row r="209" spans="215:219" x14ac:dyDescent="0.3">
      <c r="HG209" s="25">
        <v>44025</v>
      </c>
      <c r="HH209" s="14" t="str">
        <f t="shared" si="22"/>
        <v>13-Jul</v>
      </c>
      <c r="HI209" s="14" t="s">
        <v>119</v>
      </c>
      <c r="HJ209" s="14" t="s">
        <v>131</v>
      </c>
      <c r="HK209" s="14" t="str">
        <f t="shared" si="21"/>
        <v>Cancer - Water</v>
      </c>
    </row>
    <row r="210" spans="215:219" x14ac:dyDescent="0.3">
      <c r="HG210" s="25">
        <v>44026</v>
      </c>
      <c r="HH210" s="14" t="str">
        <f t="shared" si="22"/>
        <v>14-Jul</v>
      </c>
      <c r="HI210" s="14" t="s">
        <v>119</v>
      </c>
      <c r="HJ210" s="14" t="s">
        <v>131</v>
      </c>
      <c r="HK210" s="14" t="str">
        <f t="shared" si="21"/>
        <v>Cancer - Water</v>
      </c>
    </row>
    <row r="211" spans="215:219" x14ac:dyDescent="0.3">
      <c r="HG211" s="25">
        <v>44027</v>
      </c>
      <c r="HH211" s="14" t="str">
        <f t="shared" si="22"/>
        <v>15-Jul</v>
      </c>
      <c r="HI211" s="14" t="s">
        <v>119</v>
      </c>
      <c r="HJ211" s="14" t="s">
        <v>131</v>
      </c>
      <c r="HK211" s="14" t="str">
        <f t="shared" si="21"/>
        <v>Cancer - Water</v>
      </c>
    </row>
    <row r="212" spans="215:219" x14ac:dyDescent="0.3">
      <c r="HG212" s="25">
        <v>44028</v>
      </c>
      <c r="HH212" s="14" t="str">
        <f t="shared" si="22"/>
        <v>16-Jul</v>
      </c>
      <c r="HI212" s="14" t="s">
        <v>119</v>
      </c>
      <c r="HJ212" s="14" t="s">
        <v>131</v>
      </c>
      <c r="HK212" s="14" t="str">
        <f t="shared" si="21"/>
        <v>Cancer - Water</v>
      </c>
    </row>
    <row r="213" spans="215:219" x14ac:dyDescent="0.3">
      <c r="HG213" s="25">
        <v>44029</v>
      </c>
      <c r="HH213" s="14" t="str">
        <f t="shared" si="22"/>
        <v>17-Jul</v>
      </c>
      <c r="HI213" s="14" t="s">
        <v>119</v>
      </c>
      <c r="HJ213" s="14" t="s">
        <v>131</v>
      </c>
      <c r="HK213" s="14" t="str">
        <f t="shared" si="21"/>
        <v>Cancer - Water</v>
      </c>
    </row>
    <row r="214" spans="215:219" x14ac:dyDescent="0.3">
      <c r="HG214" s="25">
        <v>44030</v>
      </c>
      <c r="HH214" s="14" t="str">
        <f t="shared" si="22"/>
        <v>18-Jul</v>
      </c>
      <c r="HI214" s="14" t="s">
        <v>119</v>
      </c>
      <c r="HJ214" s="14" t="s">
        <v>131</v>
      </c>
      <c r="HK214" s="14" t="str">
        <f t="shared" si="21"/>
        <v>Cancer - Water</v>
      </c>
    </row>
    <row r="215" spans="215:219" x14ac:dyDescent="0.3">
      <c r="HG215" s="25">
        <v>44031</v>
      </c>
      <c r="HH215" s="14" t="str">
        <f t="shared" si="22"/>
        <v>19-Jul</v>
      </c>
      <c r="HI215" s="14" t="s">
        <v>119</v>
      </c>
      <c r="HJ215" s="14" t="s">
        <v>131</v>
      </c>
      <c r="HK215" s="14" t="str">
        <f t="shared" si="21"/>
        <v>Cancer - Water</v>
      </c>
    </row>
    <row r="216" spans="215:219" x14ac:dyDescent="0.3">
      <c r="HG216" s="25">
        <v>44032</v>
      </c>
      <c r="HH216" s="14" t="str">
        <f t="shared" si="22"/>
        <v>20-Jul</v>
      </c>
      <c r="HI216" s="14" t="s">
        <v>119</v>
      </c>
      <c r="HJ216" s="14" t="s">
        <v>131</v>
      </c>
      <c r="HK216" s="14" t="str">
        <f t="shared" si="21"/>
        <v>Cancer - Water</v>
      </c>
    </row>
    <row r="217" spans="215:219" x14ac:dyDescent="0.3">
      <c r="HG217" s="25">
        <v>44033</v>
      </c>
      <c r="HH217" s="14" t="str">
        <f t="shared" si="22"/>
        <v>21-Jul</v>
      </c>
      <c r="HI217" s="14" t="s">
        <v>119</v>
      </c>
      <c r="HJ217" s="14" t="s">
        <v>131</v>
      </c>
      <c r="HK217" s="14" t="str">
        <f t="shared" si="21"/>
        <v>Cancer - Water</v>
      </c>
    </row>
    <row r="218" spans="215:219" x14ac:dyDescent="0.3">
      <c r="HG218" s="25">
        <v>44034</v>
      </c>
      <c r="HH218" s="14" t="str">
        <f t="shared" si="22"/>
        <v>22-Jul</v>
      </c>
      <c r="HI218" s="14" t="s">
        <v>119</v>
      </c>
      <c r="HJ218" s="14" t="s">
        <v>131</v>
      </c>
      <c r="HK218" s="14" t="str">
        <f t="shared" si="21"/>
        <v>Cancer - Water</v>
      </c>
    </row>
    <row r="219" spans="215:219" x14ac:dyDescent="0.3">
      <c r="HG219" s="25">
        <v>44035</v>
      </c>
      <c r="HH219" s="14" t="str">
        <f t="shared" si="22"/>
        <v>23-Jul</v>
      </c>
      <c r="HI219" s="14" t="s">
        <v>120</v>
      </c>
      <c r="HJ219" s="14" t="s">
        <v>129</v>
      </c>
      <c r="HK219" s="14" t="str">
        <f t="shared" si="21"/>
        <v>Leo - Fire</v>
      </c>
    </row>
    <row r="220" spans="215:219" x14ac:dyDescent="0.3">
      <c r="HG220" s="25">
        <v>44036</v>
      </c>
      <c r="HH220" s="14" t="str">
        <f t="shared" si="22"/>
        <v>24-Jul</v>
      </c>
      <c r="HI220" s="14" t="s">
        <v>120</v>
      </c>
      <c r="HJ220" s="14" t="s">
        <v>129</v>
      </c>
      <c r="HK220" s="14" t="str">
        <f t="shared" si="21"/>
        <v>Leo - Fire</v>
      </c>
    </row>
    <row r="221" spans="215:219" x14ac:dyDescent="0.3">
      <c r="HG221" s="25">
        <v>44037</v>
      </c>
      <c r="HH221" s="14" t="str">
        <f t="shared" si="22"/>
        <v>25-Jul</v>
      </c>
      <c r="HI221" s="14" t="s">
        <v>120</v>
      </c>
      <c r="HJ221" s="14" t="s">
        <v>129</v>
      </c>
      <c r="HK221" s="14" t="str">
        <f t="shared" si="21"/>
        <v>Leo - Fire</v>
      </c>
    </row>
    <row r="222" spans="215:219" x14ac:dyDescent="0.3">
      <c r="HG222" s="25">
        <v>44038</v>
      </c>
      <c r="HH222" s="14" t="str">
        <f t="shared" si="22"/>
        <v>26-Jul</v>
      </c>
      <c r="HI222" s="14" t="s">
        <v>120</v>
      </c>
      <c r="HJ222" s="14" t="s">
        <v>129</v>
      </c>
      <c r="HK222" s="14" t="str">
        <f t="shared" si="21"/>
        <v>Leo - Fire</v>
      </c>
    </row>
    <row r="223" spans="215:219" x14ac:dyDescent="0.3">
      <c r="HG223" s="25">
        <v>44039</v>
      </c>
      <c r="HH223" s="14" t="str">
        <f t="shared" si="22"/>
        <v>27-Jul</v>
      </c>
      <c r="HI223" s="14" t="s">
        <v>120</v>
      </c>
      <c r="HJ223" s="14" t="s">
        <v>129</v>
      </c>
      <c r="HK223" s="14" t="str">
        <f t="shared" si="21"/>
        <v>Leo - Fire</v>
      </c>
    </row>
    <row r="224" spans="215:219" x14ac:dyDescent="0.3">
      <c r="HG224" s="25">
        <v>44040</v>
      </c>
      <c r="HH224" s="14" t="str">
        <f t="shared" si="22"/>
        <v>28-Jul</v>
      </c>
      <c r="HI224" s="14" t="s">
        <v>120</v>
      </c>
      <c r="HJ224" s="14" t="s">
        <v>129</v>
      </c>
      <c r="HK224" s="14" t="str">
        <f t="shared" si="21"/>
        <v>Leo - Fire</v>
      </c>
    </row>
    <row r="225" spans="215:219" x14ac:dyDescent="0.3">
      <c r="HG225" s="25">
        <v>44041</v>
      </c>
      <c r="HH225" s="14" t="str">
        <f t="shared" si="22"/>
        <v>29-Jul</v>
      </c>
      <c r="HI225" s="14" t="s">
        <v>120</v>
      </c>
      <c r="HJ225" s="14" t="s">
        <v>129</v>
      </c>
      <c r="HK225" s="14" t="str">
        <f t="shared" si="21"/>
        <v>Leo - Fire</v>
      </c>
    </row>
    <row r="226" spans="215:219" x14ac:dyDescent="0.3">
      <c r="HG226" s="25">
        <v>44042</v>
      </c>
      <c r="HH226" s="14" t="str">
        <f t="shared" si="22"/>
        <v>30-Jul</v>
      </c>
      <c r="HI226" s="14" t="s">
        <v>120</v>
      </c>
      <c r="HJ226" s="14" t="s">
        <v>129</v>
      </c>
      <c r="HK226" s="14" t="str">
        <f t="shared" si="21"/>
        <v>Leo - Fire</v>
      </c>
    </row>
    <row r="227" spans="215:219" x14ac:dyDescent="0.3">
      <c r="HG227" s="25">
        <v>44043</v>
      </c>
      <c r="HH227" s="14" t="str">
        <f t="shared" si="22"/>
        <v>31-Jul</v>
      </c>
      <c r="HI227" s="14" t="s">
        <v>120</v>
      </c>
      <c r="HJ227" s="14" t="s">
        <v>129</v>
      </c>
      <c r="HK227" s="14" t="str">
        <f t="shared" si="21"/>
        <v>Leo - Fire</v>
      </c>
    </row>
    <row r="228" spans="215:219" x14ac:dyDescent="0.3">
      <c r="HG228" s="25">
        <v>44044</v>
      </c>
      <c r="HH228" s="14" t="str">
        <f t="shared" si="22"/>
        <v>01-Aug</v>
      </c>
      <c r="HI228" s="14" t="s">
        <v>120</v>
      </c>
      <c r="HJ228" s="14" t="s">
        <v>129</v>
      </c>
      <c r="HK228" s="14" t="str">
        <f t="shared" si="21"/>
        <v>Leo - Fire</v>
      </c>
    </row>
    <row r="229" spans="215:219" x14ac:dyDescent="0.3">
      <c r="HG229" s="25">
        <v>44045</v>
      </c>
      <c r="HH229" s="14" t="str">
        <f t="shared" si="22"/>
        <v>02-Aug</v>
      </c>
      <c r="HI229" s="14" t="s">
        <v>120</v>
      </c>
      <c r="HJ229" s="14" t="s">
        <v>129</v>
      </c>
      <c r="HK229" s="14" t="str">
        <f t="shared" si="21"/>
        <v>Leo - Fire</v>
      </c>
    </row>
    <row r="230" spans="215:219" x14ac:dyDescent="0.3">
      <c r="HG230" s="25">
        <v>44046</v>
      </c>
      <c r="HH230" s="14" t="str">
        <f t="shared" si="22"/>
        <v>03-Aug</v>
      </c>
      <c r="HI230" s="14" t="s">
        <v>120</v>
      </c>
      <c r="HJ230" s="14" t="s">
        <v>129</v>
      </c>
      <c r="HK230" s="14" t="str">
        <f t="shared" si="21"/>
        <v>Leo - Fire</v>
      </c>
    </row>
    <row r="231" spans="215:219" x14ac:dyDescent="0.3">
      <c r="HG231" s="25">
        <v>44047</v>
      </c>
      <c r="HH231" s="14" t="str">
        <f t="shared" si="22"/>
        <v>04-Aug</v>
      </c>
      <c r="HI231" s="14" t="s">
        <v>120</v>
      </c>
      <c r="HJ231" s="14" t="s">
        <v>129</v>
      </c>
      <c r="HK231" s="14" t="str">
        <f t="shared" si="21"/>
        <v>Leo - Fire</v>
      </c>
    </row>
    <row r="232" spans="215:219" x14ac:dyDescent="0.3">
      <c r="HG232" s="25">
        <v>44048</v>
      </c>
      <c r="HH232" s="14" t="str">
        <f t="shared" si="22"/>
        <v>05-Aug</v>
      </c>
      <c r="HI232" s="14" t="s">
        <v>120</v>
      </c>
      <c r="HJ232" s="14" t="s">
        <v>129</v>
      </c>
      <c r="HK232" s="14" t="str">
        <f t="shared" si="21"/>
        <v>Leo - Fire</v>
      </c>
    </row>
    <row r="233" spans="215:219" x14ac:dyDescent="0.3">
      <c r="HG233" s="25">
        <v>44049</v>
      </c>
      <c r="HH233" s="14" t="str">
        <f t="shared" si="22"/>
        <v>06-Aug</v>
      </c>
      <c r="HI233" s="14" t="s">
        <v>120</v>
      </c>
      <c r="HJ233" s="14" t="s">
        <v>129</v>
      </c>
      <c r="HK233" s="14" t="str">
        <f t="shared" si="21"/>
        <v>Leo - Fire</v>
      </c>
    </row>
    <row r="234" spans="215:219" x14ac:dyDescent="0.3">
      <c r="HG234" s="25">
        <v>44050</v>
      </c>
      <c r="HH234" s="14" t="str">
        <f t="shared" si="22"/>
        <v>07-Aug</v>
      </c>
      <c r="HI234" s="14" t="s">
        <v>120</v>
      </c>
      <c r="HJ234" s="14" t="s">
        <v>129</v>
      </c>
      <c r="HK234" s="14" t="str">
        <f t="shared" si="21"/>
        <v>Leo - Fire</v>
      </c>
    </row>
    <row r="235" spans="215:219" x14ac:dyDescent="0.3">
      <c r="HG235" s="25">
        <v>44051</v>
      </c>
      <c r="HH235" s="14" t="str">
        <f t="shared" si="22"/>
        <v>08-Aug</v>
      </c>
      <c r="HI235" s="14" t="s">
        <v>120</v>
      </c>
      <c r="HJ235" s="14" t="s">
        <v>129</v>
      </c>
      <c r="HK235" s="14" t="str">
        <f t="shared" si="21"/>
        <v>Leo - Fire</v>
      </c>
    </row>
    <row r="236" spans="215:219" x14ac:dyDescent="0.3">
      <c r="HG236" s="25">
        <v>44052</v>
      </c>
      <c r="HH236" s="14" t="str">
        <f t="shared" si="22"/>
        <v>09-Aug</v>
      </c>
      <c r="HI236" s="14" t="s">
        <v>120</v>
      </c>
      <c r="HJ236" s="14" t="s">
        <v>129</v>
      </c>
      <c r="HK236" s="14" t="str">
        <f t="shared" si="21"/>
        <v>Leo - Fire</v>
      </c>
    </row>
    <row r="237" spans="215:219" x14ac:dyDescent="0.3">
      <c r="HG237" s="25">
        <v>44053</v>
      </c>
      <c r="HH237" s="14" t="str">
        <f t="shared" si="22"/>
        <v>10-Aug</v>
      </c>
      <c r="HI237" s="14" t="s">
        <v>120</v>
      </c>
      <c r="HJ237" s="14" t="s">
        <v>129</v>
      </c>
      <c r="HK237" s="14" t="str">
        <f t="shared" si="21"/>
        <v>Leo - Fire</v>
      </c>
    </row>
    <row r="238" spans="215:219" x14ac:dyDescent="0.3">
      <c r="HG238" s="25">
        <v>44054</v>
      </c>
      <c r="HH238" s="14" t="str">
        <f t="shared" si="22"/>
        <v>11-Aug</v>
      </c>
      <c r="HI238" s="14" t="s">
        <v>120</v>
      </c>
      <c r="HJ238" s="14" t="s">
        <v>129</v>
      </c>
      <c r="HK238" s="14" t="str">
        <f t="shared" si="21"/>
        <v>Leo - Fire</v>
      </c>
    </row>
    <row r="239" spans="215:219" x14ac:dyDescent="0.3">
      <c r="HG239" s="25">
        <v>44055</v>
      </c>
      <c r="HH239" s="14" t="str">
        <f t="shared" si="22"/>
        <v>12-Aug</v>
      </c>
      <c r="HI239" s="14" t="s">
        <v>120</v>
      </c>
      <c r="HJ239" s="14" t="s">
        <v>129</v>
      </c>
      <c r="HK239" s="14" t="str">
        <f t="shared" si="21"/>
        <v>Leo - Fire</v>
      </c>
    </row>
    <row r="240" spans="215:219" x14ac:dyDescent="0.3">
      <c r="HG240" s="25">
        <v>44056</v>
      </c>
      <c r="HH240" s="14" t="str">
        <f t="shared" si="22"/>
        <v>13-Aug</v>
      </c>
      <c r="HI240" s="14" t="s">
        <v>120</v>
      </c>
      <c r="HJ240" s="14" t="s">
        <v>129</v>
      </c>
      <c r="HK240" s="14" t="str">
        <f t="shared" si="21"/>
        <v>Leo - Fire</v>
      </c>
    </row>
    <row r="241" spans="215:219" x14ac:dyDescent="0.3">
      <c r="HG241" s="25">
        <v>44057</v>
      </c>
      <c r="HH241" s="14" t="str">
        <f t="shared" si="22"/>
        <v>14-Aug</v>
      </c>
      <c r="HI241" s="14" t="s">
        <v>120</v>
      </c>
      <c r="HJ241" s="14" t="s">
        <v>129</v>
      </c>
      <c r="HK241" s="14" t="str">
        <f t="shared" si="21"/>
        <v>Leo - Fire</v>
      </c>
    </row>
    <row r="242" spans="215:219" x14ac:dyDescent="0.3">
      <c r="HG242" s="25">
        <v>44058</v>
      </c>
      <c r="HH242" s="14" t="str">
        <f t="shared" si="22"/>
        <v>15-Aug</v>
      </c>
      <c r="HI242" s="14" t="s">
        <v>120</v>
      </c>
      <c r="HJ242" s="14" t="s">
        <v>129</v>
      </c>
      <c r="HK242" s="14" t="str">
        <f t="shared" si="21"/>
        <v>Leo - Fire</v>
      </c>
    </row>
    <row r="243" spans="215:219" x14ac:dyDescent="0.3">
      <c r="HG243" s="25">
        <v>44059</v>
      </c>
      <c r="HH243" s="14" t="str">
        <f t="shared" si="22"/>
        <v>16-Aug</v>
      </c>
      <c r="HI243" s="14" t="s">
        <v>120</v>
      </c>
      <c r="HJ243" s="14" t="s">
        <v>129</v>
      </c>
      <c r="HK243" s="14" t="str">
        <f t="shared" si="21"/>
        <v>Leo - Fire</v>
      </c>
    </row>
    <row r="244" spans="215:219" x14ac:dyDescent="0.3">
      <c r="HG244" s="25">
        <v>44060</v>
      </c>
      <c r="HH244" s="14" t="str">
        <f t="shared" si="22"/>
        <v>17-Aug</v>
      </c>
      <c r="HI244" s="14" t="s">
        <v>120</v>
      </c>
      <c r="HJ244" s="14" t="s">
        <v>129</v>
      </c>
      <c r="HK244" s="14" t="str">
        <f t="shared" si="21"/>
        <v>Leo - Fire</v>
      </c>
    </row>
    <row r="245" spans="215:219" x14ac:dyDescent="0.3">
      <c r="HG245" s="25">
        <v>44061</v>
      </c>
      <c r="HH245" s="14" t="str">
        <f t="shared" si="22"/>
        <v>18-Aug</v>
      </c>
      <c r="HI245" s="14" t="s">
        <v>120</v>
      </c>
      <c r="HJ245" s="14" t="s">
        <v>129</v>
      </c>
      <c r="HK245" s="14" t="str">
        <f t="shared" si="21"/>
        <v>Leo - Fire</v>
      </c>
    </row>
    <row r="246" spans="215:219" x14ac:dyDescent="0.3">
      <c r="HG246" s="25">
        <v>44062</v>
      </c>
      <c r="HH246" s="14" t="str">
        <f t="shared" si="22"/>
        <v>19-Aug</v>
      </c>
      <c r="HI246" s="14" t="s">
        <v>120</v>
      </c>
      <c r="HJ246" s="14" t="s">
        <v>129</v>
      </c>
      <c r="HK246" s="14" t="str">
        <f t="shared" si="21"/>
        <v>Leo - Fire</v>
      </c>
    </row>
    <row r="247" spans="215:219" x14ac:dyDescent="0.3">
      <c r="HG247" s="25">
        <v>44063</v>
      </c>
      <c r="HH247" s="14" t="str">
        <f t="shared" si="22"/>
        <v>20-Aug</v>
      </c>
      <c r="HI247" s="14" t="s">
        <v>120</v>
      </c>
      <c r="HJ247" s="14" t="s">
        <v>129</v>
      </c>
      <c r="HK247" s="14" t="str">
        <f t="shared" si="21"/>
        <v>Leo - Fire</v>
      </c>
    </row>
    <row r="248" spans="215:219" x14ac:dyDescent="0.3">
      <c r="HG248" s="25">
        <v>44064</v>
      </c>
      <c r="HH248" s="14" t="str">
        <f t="shared" si="22"/>
        <v>21-Aug</v>
      </c>
      <c r="HI248" s="14" t="s">
        <v>120</v>
      </c>
      <c r="HJ248" s="14" t="s">
        <v>129</v>
      </c>
      <c r="HK248" s="14" t="str">
        <f t="shared" si="21"/>
        <v>Leo - Fire</v>
      </c>
    </row>
    <row r="249" spans="215:219" x14ac:dyDescent="0.3">
      <c r="HG249" s="25">
        <v>44065</v>
      </c>
      <c r="HH249" s="14" t="str">
        <f t="shared" si="22"/>
        <v>22-Aug</v>
      </c>
      <c r="HI249" s="14" t="s">
        <v>120</v>
      </c>
      <c r="HJ249" s="14" t="s">
        <v>129</v>
      </c>
      <c r="HK249" s="14" t="str">
        <f t="shared" si="21"/>
        <v>Leo - Fire</v>
      </c>
    </row>
    <row r="250" spans="215:219" x14ac:dyDescent="0.3">
      <c r="HG250" s="25">
        <v>44066</v>
      </c>
      <c r="HH250" s="14" t="str">
        <f t="shared" si="22"/>
        <v>23-Aug</v>
      </c>
      <c r="HI250" s="14" t="s">
        <v>121</v>
      </c>
      <c r="HJ250" s="14" t="s">
        <v>130</v>
      </c>
      <c r="HK250" s="14" t="str">
        <f t="shared" si="21"/>
        <v>Virgo - Earth</v>
      </c>
    </row>
    <row r="251" spans="215:219" x14ac:dyDescent="0.3">
      <c r="HG251" s="25">
        <v>44067</v>
      </c>
      <c r="HH251" s="14" t="str">
        <f t="shared" si="22"/>
        <v>24-Aug</v>
      </c>
      <c r="HI251" s="14" t="s">
        <v>121</v>
      </c>
      <c r="HJ251" s="14" t="s">
        <v>130</v>
      </c>
      <c r="HK251" s="14" t="str">
        <f t="shared" si="21"/>
        <v>Virgo - Earth</v>
      </c>
    </row>
    <row r="252" spans="215:219" x14ac:dyDescent="0.3">
      <c r="HG252" s="25">
        <v>44068</v>
      </c>
      <c r="HH252" s="14" t="str">
        <f t="shared" si="22"/>
        <v>25-Aug</v>
      </c>
      <c r="HI252" s="14" t="s">
        <v>121</v>
      </c>
      <c r="HJ252" s="14" t="s">
        <v>130</v>
      </c>
      <c r="HK252" s="14" t="str">
        <f t="shared" si="21"/>
        <v>Virgo - Earth</v>
      </c>
    </row>
    <row r="253" spans="215:219" x14ac:dyDescent="0.3">
      <c r="HG253" s="25">
        <v>44069</v>
      </c>
      <c r="HH253" s="14" t="str">
        <f t="shared" si="22"/>
        <v>26-Aug</v>
      </c>
      <c r="HI253" s="14" t="s">
        <v>121</v>
      </c>
      <c r="HJ253" s="14" t="s">
        <v>130</v>
      </c>
      <c r="HK253" s="14" t="str">
        <f t="shared" si="21"/>
        <v>Virgo - Earth</v>
      </c>
    </row>
    <row r="254" spans="215:219" x14ac:dyDescent="0.3">
      <c r="HG254" s="25">
        <v>44070</v>
      </c>
      <c r="HH254" s="14" t="str">
        <f t="shared" si="22"/>
        <v>27-Aug</v>
      </c>
      <c r="HI254" s="14" t="s">
        <v>121</v>
      </c>
      <c r="HJ254" s="14" t="s">
        <v>130</v>
      </c>
      <c r="HK254" s="14" t="str">
        <f t="shared" si="21"/>
        <v>Virgo - Earth</v>
      </c>
    </row>
    <row r="255" spans="215:219" x14ac:dyDescent="0.3">
      <c r="HG255" s="25">
        <v>44071</v>
      </c>
      <c r="HH255" s="14" t="str">
        <f t="shared" si="22"/>
        <v>28-Aug</v>
      </c>
      <c r="HI255" s="14" t="s">
        <v>121</v>
      </c>
      <c r="HJ255" s="14" t="s">
        <v>130</v>
      </c>
      <c r="HK255" s="14" t="str">
        <f t="shared" si="21"/>
        <v>Virgo - Earth</v>
      </c>
    </row>
    <row r="256" spans="215:219" x14ac:dyDescent="0.3">
      <c r="HG256" s="25">
        <v>44072</v>
      </c>
      <c r="HH256" s="14" t="str">
        <f t="shared" si="22"/>
        <v>29-Aug</v>
      </c>
      <c r="HI256" s="14" t="s">
        <v>121</v>
      </c>
      <c r="HJ256" s="14" t="s">
        <v>130</v>
      </c>
      <c r="HK256" s="14" t="str">
        <f t="shared" si="21"/>
        <v>Virgo - Earth</v>
      </c>
    </row>
    <row r="257" spans="215:219" x14ac:dyDescent="0.3">
      <c r="HG257" s="25">
        <v>44073</v>
      </c>
      <c r="HH257" s="14" t="str">
        <f t="shared" si="22"/>
        <v>30-Aug</v>
      </c>
      <c r="HI257" s="14" t="s">
        <v>121</v>
      </c>
      <c r="HJ257" s="14" t="s">
        <v>130</v>
      </c>
      <c r="HK257" s="14" t="str">
        <f t="shared" si="21"/>
        <v>Virgo - Earth</v>
      </c>
    </row>
    <row r="258" spans="215:219" x14ac:dyDescent="0.3">
      <c r="HG258" s="25">
        <v>44074</v>
      </c>
      <c r="HH258" s="14" t="str">
        <f t="shared" si="22"/>
        <v>31-Aug</v>
      </c>
      <c r="HI258" s="14" t="s">
        <v>121</v>
      </c>
      <c r="HJ258" s="14" t="s">
        <v>130</v>
      </c>
      <c r="HK258" s="14" t="str">
        <f t="shared" si="21"/>
        <v>Virgo - Earth</v>
      </c>
    </row>
    <row r="259" spans="215:219" x14ac:dyDescent="0.3">
      <c r="HG259" s="25">
        <v>44075</v>
      </c>
      <c r="HH259" s="14" t="str">
        <f t="shared" si="22"/>
        <v>01-Sep</v>
      </c>
      <c r="HI259" s="14" t="s">
        <v>121</v>
      </c>
      <c r="HJ259" s="14" t="s">
        <v>130</v>
      </c>
      <c r="HK259" s="14" t="str">
        <f t="shared" si="21"/>
        <v>Virgo - Earth</v>
      </c>
    </row>
    <row r="260" spans="215:219" x14ac:dyDescent="0.3">
      <c r="HG260" s="25">
        <v>44076</v>
      </c>
      <c r="HH260" s="14" t="str">
        <f t="shared" si="22"/>
        <v>02-Sep</v>
      </c>
      <c r="HI260" s="14" t="s">
        <v>121</v>
      </c>
      <c r="HJ260" s="14" t="s">
        <v>130</v>
      </c>
      <c r="HK260" s="14" t="str">
        <f t="shared" si="21"/>
        <v>Virgo - Earth</v>
      </c>
    </row>
    <row r="261" spans="215:219" x14ac:dyDescent="0.3">
      <c r="HG261" s="25">
        <v>44077</v>
      </c>
      <c r="HH261" s="14" t="str">
        <f t="shared" si="22"/>
        <v>03-Sep</v>
      </c>
      <c r="HI261" s="14" t="s">
        <v>121</v>
      </c>
      <c r="HJ261" s="14" t="s">
        <v>130</v>
      </c>
      <c r="HK261" s="14" t="str">
        <f t="shared" si="21"/>
        <v>Virgo - Earth</v>
      </c>
    </row>
    <row r="262" spans="215:219" x14ac:dyDescent="0.3">
      <c r="HG262" s="25">
        <v>44078</v>
      </c>
      <c r="HH262" s="14" t="str">
        <f t="shared" si="22"/>
        <v>04-Sep</v>
      </c>
      <c r="HI262" s="14" t="s">
        <v>121</v>
      </c>
      <c r="HJ262" s="14" t="s">
        <v>130</v>
      </c>
      <c r="HK262" s="14" t="str">
        <f t="shared" si="21"/>
        <v>Virgo - Earth</v>
      </c>
    </row>
    <row r="263" spans="215:219" x14ac:dyDescent="0.3">
      <c r="HG263" s="25">
        <v>44079</v>
      </c>
      <c r="HH263" s="14" t="str">
        <f t="shared" si="22"/>
        <v>05-Sep</v>
      </c>
      <c r="HI263" s="14" t="s">
        <v>121</v>
      </c>
      <c r="HJ263" s="14" t="s">
        <v>130</v>
      </c>
      <c r="HK263" s="14" t="str">
        <f t="shared" si="21"/>
        <v>Virgo - Earth</v>
      </c>
    </row>
    <row r="264" spans="215:219" x14ac:dyDescent="0.3">
      <c r="HG264" s="25">
        <v>44080</v>
      </c>
      <c r="HH264" s="14" t="str">
        <f t="shared" si="22"/>
        <v>06-Sep</v>
      </c>
      <c r="HI264" s="14" t="s">
        <v>121</v>
      </c>
      <c r="HJ264" s="14" t="s">
        <v>130</v>
      </c>
      <c r="HK264" s="14" t="str">
        <f t="shared" si="21"/>
        <v>Virgo - Earth</v>
      </c>
    </row>
    <row r="265" spans="215:219" x14ac:dyDescent="0.3">
      <c r="HG265" s="25">
        <v>44081</v>
      </c>
      <c r="HH265" s="14" t="str">
        <f t="shared" si="22"/>
        <v>07-Sep</v>
      </c>
      <c r="HI265" s="14" t="s">
        <v>121</v>
      </c>
      <c r="HJ265" s="14" t="s">
        <v>130</v>
      </c>
      <c r="HK265" s="14" t="str">
        <f t="shared" si="21"/>
        <v>Virgo - Earth</v>
      </c>
    </row>
    <row r="266" spans="215:219" x14ac:dyDescent="0.3">
      <c r="HG266" s="25">
        <v>44082</v>
      </c>
      <c r="HH266" s="14" t="str">
        <f t="shared" si="22"/>
        <v>08-Sep</v>
      </c>
      <c r="HI266" s="14" t="s">
        <v>121</v>
      </c>
      <c r="HJ266" s="14" t="s">
        <v>130</v>
      </c>
      <c r="HK266" s="14" t="str">
        <f t="shared" si="21"/>
        <v>Virgo - Earth</v>
      </c>
    </row>
    <row r="267" spans="215:219" x14ac:dyDescent="0.3">
      <c r="HG267" s="25">
        <v>44083</v>
      </c>
      <c r="HH267" s="14" t="str">
        <f t="shared" si="22"/>
        <v>09-Sep</v>
      </c>
      <c r="HI267" s="14" t="s">
        <v>121</v>
      </c>
      <c r="HJ267" s="14" t="s">
        <v>130</v>
      </c>
      <c r="HK267" s="14" t="str">
        <f t="shared" si="21"/>
        <v>Virgo - Earth</v>
      </c>
    </row>
    <row r="268" spans="215:219" x14ac:dyDescent="0.3">
      <c r="HG268" s="25">
        <v>44084</v>
      </c>
      <c r="HH268" s="14" t="str">
        <f t="shared" si="22"/>
        <v>10-Sep</v>
      </c>
      <c r="HI268" s="14" t="s">
        <v>121</v>
      </c>
      <c r="HJ268" s="14" t="s">
        <v>130</v>
      </c>
      <c r="HK268" s="14" t="str">
        <f t="shared" si="21"/>
        <v>Virgo - Earth</v>
      </c>
    </row>
    <row r="269" spans="215:219" x14ac:dyDescent="0.3">
      <c r="HG269" s="25">
        <v>44085</v>
      </c>
      <c r="HH269" s="14" t="str">
        <f t="shared" si="22"/>
        <v>11-Sep</v>
      </c>
      <c r="HI269" s="14" t="s">
        <v>121</v>
      </c>
      <c r="HJ269" s="14" t="s">
        <v>130</v>
      </c>
      <c r="HK269" s="14" t="str">
        <f t="shared" si="21"/>
        <v>Virgo - Earth</v>
      </c>
    </row>
    <row r="270" spans="215:219" x14ac:dyDescent="0.3">
      <c r="HG270" s="25">
        <v>44086</v>
      </c>
      <c r="HH270" s="14" t="str">
        <f t="shared" si="22"/>
        <v>12-Sep</v>
      </c>
      <c r="HI270" s="14" t="s">
        <v>121</v>
      </c>
      <c r="HJ270" s="14" t="s">
        <v>130</v>
      </c>
      <c r="HK270" s="14" t="str">
        <f t="shared" ref="HK270:HK333" si="23">HI270&amp;" - "&amp;HJ270</f>
        <v>Virgo - Earth</v>
      </c>
    </row>
    <row r="271" spans="215:219" x14ac:dyDescent="0.3">
      <c r="HG271" s="25">
        <v>44087</v>
      </c>
      <c r="HH271" s="14" t="str">
        <f t="shared" si="22"/>
        <v>13-Sep</v>
      </c>
      <c r="HI271" s="14" t="s">
        <v>121</v>
      </c>
      <c r="HJ271" s="14" t="s">
        <v>130</v>
      </c>
      <c r="HK271" s="14" t="str">
        <f t="shared" si="23"/>
        <v>Virgo - Earth</v>
      </c>
    </row>
    <row r="272" spans="215:219" x14ac:dyDescent="0.3">
      <c r="HG272" s="25">
        <v>44088</v>
      </c>
      <c r="HH272" s="14" t="str">
        <f t="shared" ref="HH272:HH335" si="24">TEXT(HG272,"DD-MMM")</f>
        <v>14-Sep</v>
      </c>
      <c r="HI272" s="14" t="s">
        <v>121</v>
      </c>
      <c r="HJ272" s="14" t="s">
        <v>130</v>
      </c>
      <c r="HK272" s="14" t="str">
        <f t="shared" si="23"/>
        <v>Virgo - Earth</v>
      </c>
    </row>
    <row r="273" spans="215:219" x14ac:dyDescent="0.3">
      <c r="HG273" s="25">
        <v>44089</v>
      </c>
      <c r="HH273" s="14" t="str">
        <f t="shared" si="24"/>
        <v>15-Sep</v>
      </c>
      <c r="HI273" s="14" t="s">
        <v>121</v>
      </c>
      <c r="HJ273" s="14" t="s">
        <v>130</v>
      </c>
      <c r="HK273" s="14" t="str">
        <f t="shared" si="23"/>
        <v>Virgo - Earth</v>
      </c>
    </row>
    <row r="274" spans="215:219" x14ac:dyDescent="0.3">
      <c r="HG274" s="25">
        <v>44090</v>
      </c>
      <c r="HH274" s="14" t="str">
        <f t="shared" si="24"/>
        <v>16-Sep</v>
      </c>
      <c r="HI274" s="14" t="s">
        <v>121</v>
      </c>
      <c r="HJ274" s="14" t="s">
        <v>130</v>
      </c>
      <c r="HK274" s="14" t="str">
        <f t="shared" si="23"/>
        <v>Virgo - Earth</v>
      </c>
    </row>
    <row r="275" spans="215:219" x14ac:dyDescent="0.3">
      <c r="HG275" s="25">
        <v>44091</v>
      </c>
      <c r="HH275" s="14" t="str">
        <f t="shared" si="24"/>
        <v>17-Sep</v>
      </c>
      <c r="HI275" s="14" t="s">
        <v>121</v>
      </c>
      <c r="HJ275" s="14" t="s">
        <v>130</v>
      </c>
      <c r="HK275" s="14" t="str">
        <f t="shared" si="23"/>
        <v>Virgo - Earth</v>
      </c>
    </row>
    <row r="276" spans="215:219" x14ac:dyDescent="0.3">
      <c r="HG276" s="25">
        <v>44092</v>
      </c>
      <c r="HH276" s="14" t="str">
        <f t="shared" si="24"/>
        <v>18-Sep</v>
      </c>
      <c r="HI276" s="14" t="s">
        <v>121</v>
      </c>
      <c r="HJ276" s="14" t="s">
        <v>130</v>
      </c>
      <c r="HK276" s="14" t="str">
        <f t="shared" si="23"/>
        <v>Virgo - Earth</v>
      </c>
    </row>
    <row r="277" spans="215:219" x14ac:dyDescent="0.3">
      <c r="HG277" s="25">
        <v>44093</v>
      </c>
      <c r="HH277" s="14" t="str">
        <f t="shared" si="24"/>
        <v>19-Sep</v>
      </c>
      <c r="HI277" s="14" t="s">
        <v>121</v>
      </c>
      <c r="HJ277" s="14" t="s">
        <v>130</v>
      </c>
      <c r="HK277" s="14" t="str">
        <f t="shared" si="23"/>
        <v>Virgo - Earth</v>
      </c>
    </row>
    <row r="278" spans="215:219" x14ac:dyDescent="0.3">
      <c r="HG278" s="25">
        <v>44094</v>
      </c>
      <c r="HH278" s="14" t="str">
        <f t="shared" si="24"/>
        <v>20-Sep</v>
      </c>
      <c r="HI278" s="14" t="s">
        <v>121</v>
      </c>
      <c r="HJ278" s="14" t="s">
        <v>130</v>
      </c>
      <c r="HK278" s="14" t="str">
        <f t="shared" si="23"/>
        <v>Virgo - Earth</v>
      </c>
    </row>
    <row r="279" spans="215:219" x14ac:dyDescent="0.3">
      <c r="HG279" s="25">
        <v>44095</v>
      </c>
      <c r="HH279" s="14" t="str">
        <f t="shared" si="24"/>
        <v>21-Sep</v>
      </c>
      <c r="HI279" s="14" t="s">
        <v>121</v>
      </c>
      <c r="HJ279" s="14" t="s">
        <v>130</v>
      </c>
      <c r="HK279" s="14" t="str">
        <f t="shared" si="23"/>
        <v>Virgo - Earth</v>
      </c>
    </row>
    <row r="280" spans="215:219" x14ac:dyDescent="0.3">
      <c r="HG280" s="25">
        <v>44096</v>
      </c>
      <c r="HH280" s="14" t="str">
        <f t="shared" si="24"/>
        <v>22-Sep</v>
      </c>
      <c r="HI280" s="14" t="s">
        <v>121</v>
      </c>
      <c r="HJ280" s="14" t="s">
        <v>130</v>
      </c>
      <c r="HK280" s="14" t="str">
        <f t="shared" si="23"/>
        <v>Virgo - Earth</v>
      </c>
    </row>
    <row r="281" spans="215:219" x14ac:dyDescent="0.3">
      <c r="HG281" s="25">
        <v>44097</v>
      </c>
      <c r="HH281" s="14" t="str">
        <f t="shared" si="24"/>
        <v>23-Sep</v>
      </c>
      <c r="HI281" s="14" t="s">
        <v>122</v>
      </c>
      <c r="HJ281" s="14" t="s">
        <v>132</v>
      </c>
      <c r="HK281" s="14" t="str">
        <f t="shared" si="23"/>
        <v>Libra - Air</v>
      </c>
    </row>
    <row r="282" spans="215:219" x14ac:dyDescent="0.3">
      <c r="HG282" s="25">
        <v>44098</v>
      </c>
      <c r="HH282" s="14" t="str">
        <f t="shared" si="24"/>
        <v>24-Sep</v>
      </c>
      <c r="HI282" s="14" t="s">
        <v>122</v>
      </c>
      <c r="HJ282" s="14" t="s">
        <v>132</v>
      </c>
      <c r="HK282" s="14" t="str">
        <f t="shared" si="23"/>
        <v>Libra - Air</v>
      </c>
    </row>
    <row r="283" spans="215:219" x14ac:dyDescent="0.3">
      <c r="HG283" s="25">
        <v>44099</v>
      </c>
      <c r="HH283" s="14" t="str">
        <f t="shared" si="24"/>
        <v>25-Sep</v>
      </c>
      <c r="HI283" s="14" t="s">
        <v>122</v>
      </c>
      <c r="HJ283" s="14" t="s">
        <v>132</v>
      </c>
      <c r="HK283" s="14" t="str">
        <f t="shared" si="23"/>
        <v>Libra - Air</v>
      </c>
    </row>
    <row r="284" spans="215:219" x14ac:dyDescent="0.3">
      <c r="HG284" s="25">
        <v>44100</v>
      </c>
      <c r="HH284" s="14" t="str">
        <f t="shared" si="24"/>
        <v>26-Sep</v>
      </c>
      <c r="HI284" s="14" t="s">
        <v>122</v>
      </c>
      <c r="HJ284" s="14" t="s">
        <v>132</v>
      </c>
      <c r="HK284" s="14" t="str">
        <f t="shared" si="23"/>
        <v>Libra - Air</v>
      </c>
    </row>
    <row r="285" spans="215:219" x14ac:dyDescent="0.3">
      <c r="HG285" s="25">
        <v>44101</v>
      </c>
      <c r="HH285" s="14" t="str">
        <f t="shared" si="24"/>
        <v>27-Sep</v>
      </c>
      <c r="HI285" s="14" t="s">
        <v>122</v>
      </c>
      <c r="HJ285" s="14" t="s">
        <v>132</v>
      </c>
      <c r="HK285" s="14" t="str">
        <f t="shared" si="23"/>
        <v>Libra - Air</v>
      </c>
    </row>
    <row r="286" spans="215:219" x14ac:dyDescent="0.3">
      <c r="HG286" s="25">
        <v>44102</v>
      </c>
      <c r="HH286" s="14" t="str">
        <f t="shared" si="24"/>
        <v>28-Sep</v>
      </c>
      <c r="HI286" s="14" t="s">
        <v>122</v>
      </c>
      <c r="HJ286" s="14" t="s">
        <v>132</v>
      </c>
      <c r="HK286" s="14" t="str">
        <f t="shared" si="23"/>
        <v>Libra - Air</v>
      </c>
    </row>
    <row r="287" spans="215:219" x14ac:dyDescent="0.3">
      <c r="HG287" s="25">
        <v>44103</v>
      </c>
      <c r="HH287" s="14" t="str">
        <f t="shared" si="24"/>
        <v>29-Sep</v>
      </c>
      <c r="HI287" s="14" t="s">
        <v>122</v>
      </c>
      <c r="HJ287" s="14" t="s">
        <v>132</v>
      </c>
      <c r="HK287" s="14" t="str">
        <f t="shared" si="23"/>
        <v>Libra - Air</v>
      </c>
    </row>
    <row r="288" spans="215:219" x14ac:dyDescent="0.3">
      <c r="HG288" s="25">
        <v>44104</v>
      </c>
      <c r="HH288" s="14" t="str">
        <f t="shared" si="24"/>
        <v>30-Sep</v>
      </c>
      <c r="HI288" s="14" t="s">
        <v>122</v>
      </c>
      <c r="HJ288" s="14" t="s">
        <v>132</v>
      </c>
      <c r="HK288" s="14" t="str">
        <f t="shared" si="23"/>
        <v>Libra - Air</v>
      </c>
    </row>
    <row r="289" spans="215:219" x14ac:dyDescent="0.3">
      <c r="HG289" s="25">
        <v>44105</v>
      </c>
      <c r="HH289" s="14" t="str">
        <f t="shared" si="24"/>
        <v>01-Oct</v>
      </c>
      <c r="HI289" s="14" t="s">
        <v>122</v>
      </c>
      <c r="HJ289" s="14" t="s">
        <v>132</v>
      </c>
      <c r="HK289" s="14" t="str">
        <f t="shared" si="23"/>
        <v>Libra - Air</v>
      </c>
    </row>
    <row r="290" spans="215:219" x14ac:dyDescent="0.3">
      <c r="HG290" s="25">
        <v>44106</v>
      </c>
      <c r="HH290" s="14" t="str">
        <f t="shared" si="24"/>
        <v>02-Oct</v>
      </c>
      <c r="HI290" s="14" t="s">
        <v>122</v>
      </c>
      <c r="HJ290" s="14" t="s">
        <v>132</v>
      </c>
      <c r="HK290" s="14" t="str">
        <f t="shared" si="23"/>
        <v>Libra - Air</v>
      </c>
    </row>
    <row r="291" spans="215:219" x14ac:dyDescent="0.3">
      <c r="HG291" s="25">
        <v>44107</v>
      </c>
      <c r="HH291" s="14" t="str">
        <f t="shared" si="24"/>
        <v>03-Oct</v>
      </c>
      <c r="HI291" s="14" t="s">
        <v>122</v>
      </c>
      <c r="HJ291" s="14" t="s">
        <v>132</v>
      </c>
      <c r="HK291" s="14" t="str">
        <f t="shared" si="23"/>
        <v>Libra - Air</v>
      </c>
    </row>
    <row r="292" spans="215:219" x14ac:dyDescent="0.3">
      <c r="HG292" s="25">
        <v>44108</v>
      </c>
      <c r="HH292" s="14" t="str">
        <f t="shared" si="24"/>
        <v>04-Oct</v>
      </c>
      <c r="HI292" s="14" t="s">
        <v>122</v>
      </c>
      <c r="HJ292" s="14" t="s">
        <v>132</v>
      </c>
      <c r="HK292" s="14" t="str">
        <f t="shared" si="23"/>
        <v>Libra - Air</v>
      </c>
    </row>
    <row r="293" spans="215:219" x14ac:dyDescent="0.3">
      <c r="HG293" s="25">
        <v>44109</v>
      </c>
      <c r="HH293" s="14" t="str">
        <f t="shared" si="24"/>
        <v>05-Oct</v>
      </c>
      <c r="HI293" s="14" t="s">
        <v>122</v>
      </c>
      <c r="HJ293" s="14" t="s">
        <v>132</v>
      </c>
      <c r="HK293" s="14" t="str">
        <f t="shared" si="23"/>
        <v>Libra - Air</v>
      </c>
    </row>
    <row r="294" spans="215:219" x14ac:dyDescent="0.3">
      <c r="HG294" s="25">
        <v>44110</v>
      </c>
      <c r="HH294" s="14" t="str">
        <f t="shared" si="24"/>
        <v>06-Oct</v>
      </c>
      <c r="HI294" s="14" t="s">
        <v>122</v>
      </c>
      <c r="HJ294" s="14" t="s">
        <v>132</v>
      </c>
      <c r="HK294" s="14" t="str">
        <f t="shared" si="23"/>
        <v>Libra - Air</v>
      </c>
    </row>
    <row r="295" spans="215:219" x14ac:dyDescent="0.3">
      <c r="HG295" s="25">
        <v>44111</v>
      </c>
      <c r="HH295" s="14" t="str">
        <f t="shared" si="24"/>
        <v>07-Oct</v>
      </c>
      <c r="HI295" s="14" t="s">
        <v>122</v>
      </c>
      <c r="HJ295" s="14" t="s">
        <v>132</v>
      </c>
      <c r="HK295" s="14" t="str">
        <f t="shared" si="23"/>
        <v>Libra - Air</v>
      </c>
    </row>
    <row r="296" spans="215:219" x14ac:dyDescent="0.3">
      <c r="HG296" s="25">
        <v>44112</v>
      </c>
      <c r="HH296" s="14" t="str">
        <f t="shared" si="24"/>
        <v>08-Oct</v>
      </c>
      <c r="HI296" s="14" t="s">
        <v>122</v>
      </c>
      <c r="HJ296" s="14" t="s">
        <v>132</v>
      </c>
      <c r="HK296" s="14" t="str">
        <f t="shared" si="23"/>
        <v>Libra - Air</v>
      </c>
    </row>
    <row r="297" spans="215:219" x14ac:dyDescent="0.3">
      <c r="HG297" s="25">
        <v>44113</v>
      </c>
      <c r="HH297" s="14" t="str">
        <f t="shared" si="24"/>
        <v>09-Oct</v>
      </c>
      <c r="HI297" s="14" t="s">
        <v>122</v>
      </c>
      <c r="HJ297" s="14" t="s">
        <v>132</v>
      </c>
      <c r="HK297" s="14" t="str">
        <f t="shared" si="23"/>
        <v>Libra - Air</v>
      </c>
    </row>
    <row r="298" spans="215:219" x14ac:dyDescent="0.3">
      <c r="HG298" s="25">
        <v>44114</v>
      </c>
      <c r="HH298" s="14" t="str">
        <f t="shared" si="24"/>
        <v>10-Oct</v>
      </c>
      <c r="HI298" s="14" t="s">
        <v>122</v>
      </c>
      <c r="HJ298" s="14" t="s">
        <v>132</v>
      </c>
      <c r="HK298" s="14" t="str">
        <f t="shared" si="23"/>
        <v>Libra - Air</v>
      </c>
    </row>
    <row r="299" spans="215:219" x14ac:dyDescent="0.3">
      <c r="HG299" s="25">
        <v>44115</v>
      </c>
      <c r="HH299" s="14" t="str">
        <f t="shared" si="24"/>
        <v>11-Oct</v>
      </c>
      <c r="HI299" s="14" t="s">
        <v>122</v>
      </c>
      <c r="HJ299" s="14" t="s">
        <v>132</v>
      </c>
      <c r="HK299" s="14" t="str">
        <f t="shared" si="23"/>
        <v>Libra - Air</v>
      </c>
    </row>
    <row r="300" spans="215:219" x14ac:dyDescent="0.3">
      <c r="HG300" s="25">
        <v>44116</v>
      </c>
      <c r="HH300" s="14" t="str">
        <f t="shared" si="24"/>
        <v>12-Oct</v>
      </c>
      <c r="HI300" s="14" t="s">
        <v>122</v>
      </c>
      <c r="HJ300" s="14" t="s">
        <v>132</v>
      </c>
      <c r="HK300" s="14" t="str">
        <f t="shared" si="23"/>
        <v>Libra - Air</v>
      </c>
    </row>
    <row r="301" spans="215:219" x14ac:dyDescent="0.3">
      <c r="HG301" s="25">
        <v>44117</v>
      </c>
      <c r="HH301" s="14" t="str">
        <f t="shared" si="24"/>
        <v>13-Oct</v>
      </c>
      <c r="HI301" s="14" t="s">
        <v>122</v>
      </c>
      <c r="HJ301" s="14" t="s">
        <v>132</v>
      </c>
      <c r="HK301" s="14" t="str">
        <f t="shared" si="23"/>
        <v>Libra - Air</v>
      </c>
    </row>
    <row r="302" spans="215:219" x14ac:dyDescent="0.3">
      <c r="HG302" s="25">
        <v>44118</v>
      </c>
      <c r="HH302" s="14" t="str">
        <f t="shared" si="24"/>
        <v>14-Oct</v>
      </c>
      <c r="HI302" s="14" t="s">
        <v>122</v>
      </c>
      <c r="HJ302" s="14" t="s">
        <v>132</v>
      </c>
      <c r="HK302" s="14" t="str">
        <f t="shared" si="23"/>
        <v>Libra - Air</v>
      </c>
    </row>
    <row r="303" spans="215:219" x14ac:dyDescent="0.3">
      <c r="HG303" s="25">
        <v>44119</v>
      </c>
      <c r="HH303" s="14" t="str">
        <f t="shared" si="24"/>
        <v>15-Oct</v>
      </c>
      <c r="HI303" s="14" t="s">
        <v>122</v>
      </c>
      <c r="HJ303" s="14" t="s">
        <v>132</v>
      </c>
      <c r="HK303" s="14" t="str">
        <f t="shared" si="23"/>
        <v>Libra - Air</v>
      </c>
    </row>
    <row r="304" spans="215:219" x14ac:dyDescent="0.3">
      <c r="HG304" s="25">
        <v>44120</v>
      </c>
      <c r="HH304" s="14" t="str">
        <f t="shared" si="24"/>
        <v>16-Oct</v>
      </c>
      <c r="HI304" s="14" t="s">
        <v>122</v>
      </c>
      <c r="HJ304" s="14" t="s">
        <v>132</v>
      </c>
      <c r="HK304" s="14" t="str">
        <f t="shared" si="23"/>
        <v>Libra - Air</v>
      </c>
    </row>
    <row r="305" spans="215:219" x14ac:dyDescent="0.3">
      <c r="HG305" s="25">
        <v>44121</v>
      </c>
      <c r="HH305" s="14" t="str">
        <f t="shared" si="24"/>
        <v>17-Oct</v>
      </c>
      <c r="HI305" s="14" t="s">
        <v>122</v>
      </c>
      <c r="HJ305" s="14" t="s">
        <v>132</v>
      </c>
      <c r="HK305" s="14" t="str">
        <f t="shared" si="23"/>
        <v>Libra - Air</v>
      </c>
    </row>
    <row r="306" spans="215:219" x14ac:dyDescent="0.3">
      <c r="HG306" s="25">
        <v>44122</v>
      </c>
      <c r="HH306" s="14" t="str">
        <f t="shared" si="24"/>
        <v>18-Oct</v>
      </c>
      <c r="HI306" s="14" t="s">
        <v>122</v>
      </c>
      <c r="HJ306" s="14" t="s">
        <v>132</v>
      </c>
      <c r="HK306" s="14" t="str">
        <f t="shared" si="23"/>
        <v>Libra - Air</v>
      </c>
    </row>
    <row r="307" spans="215:219" x14ac:dyDescent="0.3">
      <c r="HG307" s="25">
        <v>44123</v>
      </c>
      <c r="HH307" s="14" t="str">
        <f t="shared" si="24"/>
        <v>19-Oct</v>
      </c>
      <c r="HI307" s="14" t="s">
        <v>122</v>
      </c>
      <c r="HJ307" s="14" t="s">
        <v>132</v>
      </c>
      <c r="HK307" s="14" t="str">
        <f t="shared" si="23"/>
        <v>Libra - Air</v>
      </c>
    </row>
    <row r="308" spans="215:219" x14ac:dyDescent="0.3">
      <c r="HG308" s="25">
        <v>44124</v>
      </c>
      <c r="HH308" s="14" t="str">
        <f t="shared" si="24"/>
        <v>20-Oct</v>
      </c>
      <c r="HI308" s="14" t="s">
        <v>122</v>
      </c>
      <c r="HJ308" s="14" t="s">
        <v>132</v>
      </c>
      <c r="HK308" s="14" t="str">
        <f t="shared" si="23"/>
        <v>Libra - Air</v>
      </c>
    </row>
    <row r="309" spans="215:219" x14ac:dyDescent="0.3">
      <c r="HG309" s="25">
        <v>44125</v>
      </c>
      <c r="HH309" s="14" t="str">
        <f t="shared" si="24"/>
        <v>21-Oct</v>
      </c>
      <c r="HI309" s="14" t="s">
        <v>122</v>
      </c>
      <c r="HJ309" s="14" t="s">
        <v>132</v>
      </c>
      <c r="HK309" s="14" t="str">
        <f t="shared" si="23"/>
        <v>Libra - Air</v>
      </c>
    </row>
    <row r="310" spans="215:219" x14ac:dyDescent="0.3">
      <c r="HG310" s="25">
        <v>44126</v>
      </c>
      <c r="HH310" s="14" t="str">
        <f t="shared" si="24"/>
        <v>22-Oct</v>
      </c>
      <c r="HI310" s="14" t="s">
        <v>122</v>
      </c>
      <c r="HJ310" s="14" t="s">
        <v>132</v>
      </c>
      <c r="HK310" s="14" t="str">
        <f t="shared" si="23"/>
        <v>Libra - Air</v>
      </c>
    </row>
    <row r="311" spans="215:219" x14ac:dyDescent="0.3">
      <c r="HG311" s="25">
        <v>44127</v>
      </c>
      <c r="HH311" s="14" t="str">
        <f t="shared" si="24"/>
        <v>23-Oct</v>
      </c>
      <c r="HI311" s="14" t="s">
        <v>123</v>
      </c>
      <c r="HJ311" s="14" t="s">
        <v>131</v>
      </c>
      <c r="HK311" s="14" t="str">
        <f t="shared" si="23"/>
        <v>Scorpio - Water</v>
      </c>
    </row>
    <row r="312" spans="215:219" x14ac:dyDescent="0.3">
      <c r="HG312" s="25">
        <v>44128</v>
      </c>
      <c r="HH312" s="14" t="str">
        <f t="shared" si="24"/>
        <v>24-Oct</v>
      </c>
      <c r="HI312" s="14" t="s">
        <v>123</v>
      </c>
      <c r="HJ312" s="14" t="s">
        <v>131</v>
      </c>
      <c r="HK312" s="14" t="str">
        <f t="shared" si="23"/>
        <v>Scorpio - Water</v>
      </c>
    </row>
    <row r="313" spans="215:219" x14ac:dyDescent="0.3">
      <c r="HG313" s="25">
        <v>44129</v>
      </c>
      <c r="HH313" s="14" t="str">
        <f t="shared" si="24"/>
        <v>25-Oct</v>
      </c>
      <c r="HI313" s="14" t="s">
        <v>123</v>
      </c>
      <c r="HJ313" s="14" t="s">
        <v>131</v>
      </c>
      <c r="HK313" s="14" t="str">
        <f t="shared" si="23"/>
        <v>Scorpio - Water</v>
      </c>
    </row>
    <row r="314" spans="215:219" x14ac:dyDescent="0.3">
      <c r="HG314" s="25">
        <v>44130</v>
      </c>
      <c r="HH314" s="14" t="str">
        <f t="shared" si="24"/>
        <v>26-Oct</v>
      </c>
      <c r="HI314" s="14" t="s">
        <v>123</v>
      </c>
      <c r="HJ314" s="14" t="s">
        <v>131</v>
      </c>
      <c r="HK314" s="14" t="str">
        <f t="shared" si="23"/>
        <v>Scorpio - Water</v>
      </c>
    </row>
    <row r="315" spans="215:219" x14ac:dyDescent="0.3">
      <c r="HG315" s="25">
        <v>44131</v>
      </c>
      <c r="HH315" s="14" t="str">
        <f t="shared" si="24"/>
        <v>27-Oct</v>
      </c>
      <c r="HI315" s="14" t="s">
        <v>123</v>
      </c>
      <c r="HJ315" s="14" t="s">
        <v>131</v>
      </c>
      <c r="HK315" s="14" t="str">
        <f t="shared" si="23"/>
        <v>Scorpio - Water</v>
      </c>
    </row>
    <row r="316" spans="215:219" x14ac:dyDescent="0.3">
      <c r="HG316" s="25">
        <v>44132</v>
      </c>
      <c r="HH316" s="14" t="str">
        <f t="shared" si="24"/>
        <v>28-Oct</v>
      </c>
      <c r="HI316" s="14" t="s">
        <v>123</v>
      </c>
      <c r="HJ316" s="14" t="s">
        <v>131</v>
      </c>
      <c r="HK316" s="14" t="str">
        <f t="shared" si="23"/>
        <v>Scorpio - Water</v>
      </c>
    </row>
    <row r="317" spans="215:219" x14ac:dyDescent="0.3">
      <c r="HG317" s="25">
        <v>44133</v>
      </c>
      <c r="HH317" s="14" t="str">
        <f t="shared" si="24"/>
        <v>29-Oct</v>
      </c>
      <c r="HI317" s="14" t="s">
        <v>123</v>
      </c>
      <c r="HJ317" s="14" t="s">
        <v>131</v>
      </c>
      <c r="HK317" s="14" t="str">
        <f t="shared" si="23"/>
        <v>Scorpio - Water</v>
      </c>
    </row>
    <row r="318" spans="215:219" x14ac:dyDescent="0.3">
      <c r="HG318" s="25">
        <v>44134</v>
      </c>
      <c r="HH318" s="14" t="str">
        <f t="shared" si="24"/>
        <v>30-Oct</v>
      </c>
      <c r="HI318" s="14" t="s">
        <v>123</v>
      </c>
      <c r="HJ318" s="14" t="s">
        <v>131</v>
      </c>
      <c r="HK318" s="14" t="str">
        <f t="shared" si="23"/>
        <v>Scorpio - Water</v>
      </c>
    </row>
    <row r="319" spans="215:219" x14ac:dyDescent="0.3">
      <c r="HG319" s="25">
        <v>44135</v>
      </c>
      <c r="HH319" s="14" t="str">
        <f t="shared" si="24"/>
        <v>31-Oct</v>
      </c>
      <c r="HI319" s="14" t="s">
        <v>123</v>
      </c>
      <c r="HJ319" s="14" t="s">
        <v>131</v>
      </c>
      <c r="HK319" s="14" t="str">
        <f t="shared" si="23"/>
        <v>Scorpio - Water</v>
      </c>
    </row>
    <row r="320" spans="215:219" x14ac:dyDescent="0.3">
      <c r="HG320" s="25">
        <v>44136</v>
      </c>
      <c r="HH320" s="14" t="str">
        <f t="shared" si="24"/>
        <v>01-Nov</v>
      </c>
      <c r="HI320" s="14" t="s">
        <v>123</v>
      </c>
      <c r="HJ320" s="14" t="s">
        <v>131</v>
      </c>
      <c r="HK320" s="14" t="str">
        <f t="shared" si="23"/>
        <v>Scorpio - Water</v>
      </c>
    </row>
    <row r="321" spans="215:219" x14ac:dyDescent="0.3">
      <c r="HG321" s="25">
        <v>44137</v>
      </c>
      <c r="HH321" s="14" t="str">
        <f t="shared" si="24"/>
        <v>02-Nov</v>
      </c>
      <c r="HI321" s="14" t="s">
        <v>123</v>
      </c>
      <c r="HJ321" s="14" t="s">
        <v>131</v>
      </c>
      <c r="HK321" s="14" t="str">
        <f t="shared" si="23"/>
        <v>Scorpio - Water</v>
      </c>
    </row>
    <row r="322" spans="215:219" x14ac:dyDescent="0.3">
      <c r="HG322" s="25">
        <v>44138</v>
      </c>
      <c r="HH322" s="14" t="str">
        <f t="shared" si="24"/>
        <v>03-Nov</v>
      </c>
      <c r="HI322" s="14" t="s">
        <v>123</v>
      </c>
      <c r="HJ322" s="14" t="s">
        <v>131</v>
      </c>
      <c r="HK322" s="14" t="str">
        <f t="shared" si="23"/>
        <v>Scorpio - Water</v>
      </c>
    </row>
    <row r="323" spans="215:219" x14ac:dyDescent="0.3">
      <c r="HG323" s="25">
        <v>44139</v>
      </c>
      <c r="HH323" s="14" t="str">
        <f t="shared" si="24"/>
        <v>04-Nov</v>
      </c>
      <c r="HI323" s="14" t="s">
        <v>123</v>
      </c>
      <c r="HJ323" s="14" t="s">
        <v>131</v>
      </c>
      <c r="HK323" s="14" t="str">
        <f t="shared" si="23"/>
        <v>Scorpio - Water</v>
      </c>
    </row>
    <row r="324" spans="215:219" x14ac:dyDescent="0.3">
      <c r="HG324" s="25">
        <v>44140</v>
      </c>
      <c r="HH324" s="14" t="str">
        <f t="shared" si="24"/>
        <v>05-Nov</v>
      </c>
      <c r="HI324" s="14" t="s">
        <v>123</v>
      </c>
      <c r="HJ324" s="14" t="s">
        <v>131</v>
      </c>
      <c r="HK324" s="14" t="str">
        <f t="shared" si="23"/>
        <v>Scorpio - Water</v>
      </c>
    </row>
    <row r="325" spans="215:219" x14ac:dyDescent="0.3">
      <c r="HG325" s="25">
        <v>44141</v>
      </c>
      <c r="HH325" s="14" t="str">
        <f t="shared" si="24"/>
        <v>06-Nov</v>
      </c>
      <c r="HI325" s="14" t="s">
        <v>123</v>
      </c>
      <c r="HJ325" s="14" t="s">
        <v>131</v>
      </c>
      <c r="HK325" s="14" t="str">
        <f t="shared" si="23"/>
        <v>Scorpio - Water</v>
      </c>
    </row>
    <row r="326" spans="215:219" x14ac:dyDescent="0.3">
      <c r="HG326" s="25">
        <v>44142</v>
      </c>
      <c r="HH326" s="14" t="str">
        <f t="shared" si="24"/>
        <v>07-Nov</v>
      </c>
      <c r="HI326" s="14" t="s">
        <v>123</v>
      </c>
      <c r="HJ326" s="14" t="s">
        <v>131</v>
      </c>
      <c r="HK326" s="14" t="str">
        <f t="shared" si="23"/>
        <v>Scorpio - Water</v>
      </c>
    </row>
    <row r="327" spans="215:219" x14ac:dyDescent="0.3">
      <c r="HG327" s="25">
        <v>44143</v>
      </c>
      <c r="HH327" s="14" t="str">
        <f t="shared" si="24"/>
        <v>08-Nov</v>
      </c>
      <c r="HI327" s="14" t="s">
        <v>123</v>
      </c>
      <c r="HJ327" s="14" t="s">
        <v>131</v>
      </c>
      <c r="HK327" s="14" t="str">
        <f t="shared" si="23"/>
        <v>Scorpio - Water</v>
      </c>
    </row>
    <row r="328" spans="215:219" x14ac:dyDescent="0.3">
      <c r="HG328" s="25">
        <v>44144</v>
      </c>
      <c r="HH328" s="14" t="str">
        <f t="shared" si="24"/>
        <v>09-Nov</v>
      </c>
      <c r="HI328" s="14" t="s">
        <v>123</v>
      </c>
      <c r="HJ328" s="14" t="s">
        <v>131</v>
      </c>
      <c r="HK328" s="14" t="str">
        <f t="shared" si="23"/>
        <v>Scorpio - Water</v>
      </c>
    </row>
    <row r="329" spans="215:219" x14ac:dyDescent="0.3">
      <c r="HG329" s="25">
        <v>44145</v>
      </c>
      <c r="HH329" s="14" t="str">
        <f t="shared" si="24"/>
        <v>10-Nov</v>
      </c>
      <c r="HI329" s="14" t="s">
        <v>123</v>
      </c>
      <c r="HJ329" s="14" t="s">
        <v>131</v>
      </c>
      <c r="HK329" s="14" t="str">
        <f t="shared" si="23"/>
        <v>Scorpio - Water</v>
      </c>
    </row>
    <row r="330" spans="215:219" x14ac:dyDescent="0.3">
      <c r="HG330" s="25">
        <v>44146</v>
      </c>
      <c r="HH330" s="14" t="str">
        <f t="shared" si="24"/>
        <v>11-Nov</v>
      </c>
      <c r="HI330" s="14" t="s">
        <v>123</v>
      </c>
      <c r="HJ330" s="14" t="s">
        <v>131</v>
      </c>
      <c r="HK330" s="14" t="str">
        <f t="shared" si="23"/>
        <v>Scorpio - Water</v>
      </c>
    </row>
    <row r="331" spans="215:219" x14ac:dyDescent="0.3">
      <c r="HG331" s="25">
        <v>44147</v>
      </c>
      <c r="HH331" s="14" t="str">
        <f t="shared" si="24"/>
        <v>12-Nov</v>
      </c>
      <c r="HI331" s="14" t="s">
        <v>123</v>
      </c>
      <c r="HJ331" s="14" t="s">
        <v>131</v>
      </c>
      <c r="HK331" s="14" t="str">
        <f t="shared" si="23"/>
        <v>Scorpio - Water</v>
      </c>
    </row>
    <row r="332" spans="215:219" x14ac:dyDescent="0.3">
      <c r="HG332" s="25">
        <v>44148</v>
      </c>
      <c r="HH332" s="14" t="str">
        <f t="shared" si="24"/>
        <v>13-Nov</v>
      </c>
      <c r="HI332" s="14" t="s">
        <v>123</v>
      </c>
      <c r="HJ332" s="14" t="s">
        <v>131</v>
      </c>
      <c r="HK332" s="14" t="str">
        <f t="shared" si="23"/>
        <v>Scorpio - Water</v>
      </c>
    </row>
    <row r="333" spans="215:219" x14ac:dyDescent="0.3">
      <c r="HG333" s="25">
        <v>44149</v>
      </c>
      <c r="HH333" s="14" t="str">
        <f t="shared" si="24"/>
        <v>14-Nov</v>
      </c>
      <c r="HI333" s="14" t="s">
        <v>123</v>
      </c>
      <c r="HJ333" s="14" t="s">
        <v>131</v>
      </c>
      <c r="HK333" s="14" t="str">
        <f t="shared" si="23"/>
        <v>Scorpio - Water</v>
      </c>
    </row>
    <row r="334" spans="215:219" x14ac:dyDescent="0.3">
      <c r="HG334" s="25">
        <v>44150</v>
      </c>
      <c r="HH334" s="14" t="str">
        <f t="shared" si="24"/>
        <v>15-Nov</v>
      </c>
      <c r="HI334" s="14" t="s">
        <v>123</v>
      </c>
      <c r="HJ334" s="14" t="s">
        <v>131</v>
      </c>
      <c r="HK334" s="14" t="str">
        <f t="shared" ref="HK334:HK380" si="25">HI334&amp;" - "&amp;HJ334</f>
        <v>Scorpio - Water</v>
      </c>
    </row>
    <row r="335" spans="215:219" x14ac:dyDescent="0.3">
      <c r="HG335" s="25">
        <v>44151</v>
      </c>
      <c r="HH335" s="14" t="str">
        <f t="shared" si="24"/>
        <v>16-Nov</v>
      </c>
      <c r="HI335" s="14" t="s">
        <v>123</v>
      </c>
      <c r="HJ335" s="14" t="s">
        <v>131</v>
      </c>
      <c r="HK335" s="14" t="str">
        <f t="shared" si="25"/>
        <v>Scorpio - Water</v>
      </c>
    </row>
    <row r="336" spans="215:219" x14ac:dyDescent="0.3">
      <c r="HG336" s="25">
        <v>44152</v>
      </c>
      <c r="HH336" s="14" t="str">
        <f t="shared" ref="HH336:HH380" si="26">TEXT(HG336,"DD-MMM")</f>
        <v>17-Nov</v>
      </c>
      <c r="HI336" s="14" t="s">
        <v>123</v>
      </c>
      <c r="HJ336" s="14" t="s">
        <v>131</v>
      </c>
      <c r="HK336" s="14" t="str">
        <f t="shared" si="25"/>
        <v>Scorpio - Water</v>
      </c>
    </row>
    <row r="337" spans="215:219" x14ac:dyDescent="0.3">
      <c r="HG337" s="25">
        <v>44153</v>
      </c>
      <c r="HH337" s="14" t="str">
        <f t="shared" si="26"/>
        <v>18-Nov</v>
      </c>
      <c r="HI337" s="14" t="s">
        <v>123</v>
      </c>
      <c r="HJ337" s="14" t="s">
        <v>131</v>
      </c>
      <c r="HK337" s="14" t="str">
        <f t="shared" si="25"/>
        <v>Scorpio - Water</v>
      </c>
    </row>
    <row r="338" spans="215:219" x14ac:dyDescent="0.3">
      <c r="HG338" s="25">
        <v>44154</v>
      </c>
      <c r="HH338" s="14" t="str">
        <f t="shared" si="26"/>
        <v>19-Nov</v>
      </c>
      <c r="HI338" s="14" t="s">
        <v>123</v>
      </c>
      <c r="HJ338" s="14" t="s">
        <v>131</v>
      </c>
      <c r="HK338" s="14" t="str">
        <f t="shared" si="25"/>
        <v>Scorpio - Water</v>
      </c>
    </row>
    <row r="339" spans="215:219" x14ac:dyDescent="0.3">
      <c r="HG339" s="25">
        <v>44155</v>
      </c>
      <c r="HH339" s="14" t="str">
        <f t="shared" si="26"/>
        <v>20-Nov</v>
      </c>
      <c r="HI339" s="14" t="s">
        <v>123</v>
      </c>
      <c r="HJ339" s="14" t="s">
        <v>131</v>
      </c>
      <c r="HK339" s="14" t="str">
        <f t="shared" si="25"/>
        <v>Scorpio - Water</v>
      </c>
    </row>
    <row r="340" spans="215:219" x14ac:dyDescent="0.3">
      <c r="HG340" s="25">
        <v>44156</v>
      </c>
      <c r="HH340" s="14" t="str">
        <f t="shared" si="26"/>
        <v>21-Nov</v>
      </c>
      <c r="HI340" s="14" t="s">
        <v>123</v>
      </c>
      <c r="HJ340" s="14" t="s">
        <v>131</v>
      </c>
      <c r="HK340" s="14" t="str">
        <f t="shared" si="25"/>
        <v>Scorpio - Water</v>
      </c>
    </row>
    <row r="341" spans="215:219" x14ac:dyDescent="0.3">
      <c r="HG341" s="25">
        <v>44157</v>
      </c>
      <c r="HH341" s="14" t="str">
        <f t="shared" si="26"/>
        <v>22-Nov</v>
      </c>
      <c r="HI341" s="14" t="s">
        <v>124</v>
      </c>
      <c r="HJ341" s="14" t="s">
        <v>129</v>
      </c>
      <c r="HK341" s="14" t="str">
        <f t="shared" si="25"/>
        <v>Sagittarius - Fire</v>
      </c>
    </row>
    <row r="342" spans="215:219" x14ac:dyDescent="0.3">
      <c r="HG342" s="25">
        <v>44158</v>
      </c>
      <c r="HH342" s="14" t="str">
        <f t="shared" si="26"/>
        <v>23-Nov</v>
      </c>
      <c r="HI342" s="14" t="s">
        <v>124</v>
      </c>
      <c r="HJ342" s="14" t="s">
        <v>129</v>
      </c>
      <c r="HK342" s="14" t="str">
        <f t="shared" si="25"/>
        <v>Sagittarius - Fire</v>
      </c>
    </row>
    <row r="343" spans="215:219" x14ac:dyDescent="0.3">
      <c r="HG343" s="25">
        <v>44159</v>
      </c>
      <c r="HH343" s="14" t="str">
        <f t="shared" si="26"/>
        <v>24-Nov</v>
      </c>
      <c r="HI343" s="14" t="s">
        <v>124</v>
      </c>
      <c r="HJ343" s="14" t="s">
        <v>129</v>
      </c>
      <c r="HK343" s="14" t="str">
        <f t="shared" si="25"/>
        <v>Sagittarius - Fire</v>
      </c>
    </row>
    <row r="344" spans="215:219" x14ac:dyDescent="0.3">
      <c r="HG344" s="25">
        <v>44160</v>
      </c>
      <c r="HH344" s="14" t="str">
        <f t="shared" si="26"/>
        <v>25-Nov</v>
      </c>
      <c r="HI344" s="14" t="s">
        <v>124</v>
      </c>
      <c r="HJ344" s="14" t="s">
        <v>129</v>
      </c>
      <c r="HK344" s="14" t="str">
        <f t="shared" si="25"/>
        <v>Sagittarius - Fire</v>
      </c>
    </row>
    <row r="345" spans="215:219" x14ac:dyDescent="0.3">
      <c r="HG345" s="25">
        <v>44161</v>
      </c>
      <c r="HH345" s="14" t="str">
        <f t="shared" si="26"/>
        <v>26-Nov</v>
      </c>
      <c r="HI345" s="14" t="s">
        <v>124</v>
      </c>
      <c r="HJ345" s="14" t="s">
        <v>129</v>
      </c>
      <c r="HK345" s="14" t="str">
        <f t="shared" si="25"/>
        <v>Sagittarius - Fire</v>
      </c>
    </row>
    <row r="346" spans="215:219" x14ac:dyDescent="0.3">
      <c r="HG346" s="25">
        <v>44162</v>
      </c>
      <c r="HH346" s="14" t="str">
        <f t="shared" si="26"/>
        <v>27-Nov</v>
      </c>
      <c r="HI346" s="14" t="s">
        <v>124</v>
      </c>
      <c r="HJ346" s="14" t="s">
        <v>129</v>
      </c>
      <c r="HK346" s="14" t="str">
        <f t="shared" si="25"/>
        <v>Sagittarius - Fire</v>
      </c>
    </row>
    <row r="347" spans="215:219" x14ac:dyDescent="0.3">
      <c r="HG347" s="25">
        <v>44163</v>
      </c>
      <c r="HH347" s="14" t="str">
        <f t="shared" si="26"/>
        <v>28-Nov</v>
      </c>
      <c r="HI347" s="14" t="s">
        <v>124</v>
      </c>
      <c r="HJ347" s="14" t="s">
        <v>129</v>
      </c>
      <c r="HK347" s="14" t="str">
        <f t="shared" si="25"/>
        <v>Sagittarius - Fire</v>
      </c>
    </row>
    <row r="348" spans="215:219" x14ac:dyDescent="0.3">
      <c r="HG348" s="25">
        <v>44164</v>
      </c>
      <c r="HH348" s="14" t="str">
        <f t="shared" si="26"/>
        <v>29-Nov</v>
      </c>
      <c r="HI348" s="14" t="s">
        <v>124</v>
      </c>
      <c r="HJ348" s="14" t="s">
        <v>129</v>
      </c>
      <c r="HK348" s="14" t="str">
        <f t="shared" si="25"/>
        <v>Sagittarius - Fire</v>
      </c>
    </row>
    <row r="349" spans="215:219" x14ac:dyDescent="0.3">
      <c r="HG349" s="25">
        <v>44165</v>
      </c>
      <c r="HH349" s="14" t="str">
        <f t="shared" si="26"/>
        <v>30-Nov</v>
      </c>
      <c r="HI349" s="14" t="s">
        <v>124</v>
      </c>
      <c r="HJ349" s="14" t="s">
        <v>129</v>
      </c>
      <c r="HK349" s="14" t="str">
        <f t="shared" si="25"/>
        <v>Sagittarius - Fire</v>
      </c>
    </row>
    <row r="350" spans="215:219" x14ac:dyDescent="0.3">
      <c r="HG350" s="25">
        <v>44166</v>
      </c>
      <c r="HH350" s="14" t="str">
        <f t="shared" si="26"/>
        <v>01-Dec</v>
      </c>
      <c r="HI350" s="14" t="s">
        <v>124</v>
      </c>
      <c r="HJ350" s="14" t="s">
        <v>129</v>
      </c>
      <c r="HK350" s="14" t="str">
        <f t="shared" si="25"/>
        <v>Sagittarius - Fire</v>
      </c>
    </row>
    <row r="351" spans="215:219" x14ac:dyDescent="0.3">
      <c r="HG351" s="25">
        <v>44167</v>
      </c>
      <c r="HH351" s="14" t="str">
        <f t="shared" si="26"/>
        <v>02-Dec</v>
      </c>
      <c r="HI351" s="14" t="s">
        <v>124</v>
      </c>
      <c r="HJ351" s="14" t="s">
        <v>129</v>
      </c>
      <c r="HK351" s="14" t="str">
        <f t="shared" si="25"/>
        <v>Sagittarius - Fire</v>
      </c>
    </row>
    <row r="352" spans="215:219" x14ac:dyDescent="0.3">
      <c r="HG352" s="25">
        <v>44168</v>
      </c>
      <c r="HH352" s="14" t="str">
        <f t="shared" si="26"/>
        <v>03-Dec</v>
      </c>
      <c r="HI352" s="14" t="s">
        <v>124</v>
      </c>
      <c r="HJ352" s="14" t="s">
        <v>129</v>
      </c>
      <c r="HK352" s="14" t="str">
        <f t="shared" si="25"/>
        <v>Sagittarius - Fire</v>
      </c>
    </row>
    <row r="353" spans="215:219" x14ac:dyDescent="0.3">
      <c r="HG353" s="25">
        <v>44169</v>
      </c>
      <c r="HH353" s="14" t="str">
        <f t="shared" si="26"/>
        <v>04-Dec</v>
      </c>
      <c r="HI353" s="14" t="s">
        <v>124</v>
      </c>
      <c r="HJ353" s="14" t="s">
        <v>129</v>
      </c>
      <c r="HK353" s="14" t="str">
        <f t="shared" si="25"/>
        <v>Sagittarius - Fire</v>
      </c>
    </row>
    <row r="354" spans="215:219" x14ac:dyDescent="0.3">
      <c r="HG354" s="25">
        <v>44170</v>
      </c>
      <c r="HH354" s="14" t="str">
        <f t="shared" si="26"/>
        <v>05-Dec</v>
      </c>
      <c r="HI354" s="14" t="s">
        <v>124</v>
      </c>
      <c r="HJ354" s="14" t="s">
        <v>129</v>
      </c>
      <c r="HK354" s="14" t="str">
        <f t="shared" si="25"/>
        <v>Sagittarius - Fire</v>
      </c>
    </row>
    <row r="355" spans="215:219" x14ac:dyDescent="0.3">
      <c r="HG355" s="25">
        <v>44171</v>
      </c>
      <c r="HH355" s="14" t="str">
        <f t="shared" si="26"/>
        <v>06-Dec</v>
      </c>
      <c r="HI355" s="14" t="s">
        <v>124</v>
      </c>
      <c r="HJ355" s="14" t="s">
        <v>129</v>
      </c>
      <c r="HK355" s="14" t="str">
        <f t="shared" si="25"/>
        <v>Sagittarius - Fire</v>
      </c>
    </row>
    <row r="356" spans="215:219" x14ac:dyDescent="0.3">
      <c r="HG356" s="25">
        <v>44172</v>
      </c>
      <c r="HH356" s="14" t="str">
        <f t="shared" si="26"/>
        <v>07-Dec</v>
      </c>
      <c r="HI356" s="14" t="s">
        <v>124</v>
      </c>
      <c r="HJ356" s="14" t="s">
        <v>129</v>
      </c>
      <c r="HK356" s="14" t="str">
        <f t="shared" si="25"/>
        <v>Sagittarius - Fire</v>
      </c>
    </row>
    <row r="357" spans="215:219" x14ac:dyDescent="0.3">
      <c r="HG357" s="25">
        <v>44173</v>
      </c>
      <c r="HH357" s="14" t="str">
        <f t="shared" si="26"/>
        <v>08-Dec</v>
      </c>
      <c r="HI357" s="14" t="s">
        <v>124</v>
      </c>
      <c r="HJ357" s="14" t="s">
        <v>129</v>
      </c>
      <c r="HK357" s="14" t="str">
        <f t="shared" si="25"/>
        <v>Sagittarius - Fire</v>
      </c>
    </row>
    <row r="358" spans="215:219" x14ac:dyDescent="0.3">
      <c r="HG358" s="25">
        <v>44174</v>
      </c>
      <c r="HH358" s="14" t="str">
        <f t="shared" si="26"/>
        <v>09-Dec</v>
      </c>
      <c r="HI358" s="14" t="s">
        <v>124</v>
      </c>
      <c r="HJ358" s="14" t="s">
        <v>129</v>
      </c>
      <c r="HK358" s="14" t="str">
        <f t="shared" si="25"/>
        <v>Sagittarius - Fire</v>
      </c>
    </row>
    <row r="359" spans="215:219" x14ac:dyDescent="0.3">
      <c r="HG359" s="25">
        <v>44175</v>
      </c>
      <c r="HH359" s="14" t="str">
        <f t="shared" si="26"/>
        <v>10-Dec</v>
      </c>
      <c r="HI359" s="14" t="s">
        <v>124</v>
      </c>
      <c r="HJ359" s="14" t="s">
        <v>129</v>
      </c>
      <c r="HK359" s="14" t="str">
        <f t="shared" si="25"/>
        <v>Sagittarius - Fire</v>
      </c>
    </row>
    <row r="360" spans="215:219" x14ac:dyDescent="0.3">
      <c r="HG360" s="25">
        <v>44176</v>
      </c>
      <c r="HH360" s="14" t="str">
        <f t="shared" si="26"/>
        <v>11-Dec</v>
      </c>
      <c r="HI360" s="14" t="s">
        <v>124</v>
      </c>
      <c r="HJ360" s="14" t="s">
        <v>129</v>
      </c>
      <c r="HK360" s="14" t="str">
        <f t="shared" si="25"/>
        <v>Sagittarius - Fire</v>
      </c>
    </row>
    <row r="361" spans="215:219" x14ac:dyDescent="0.3">
      <c r="HG361" s="25">
        <v>44177</v>
      </c>
      <c r="HH361" s="14" t="str">
        <f t="shared" si="26"/>
        <v>12-Dec</v>
      </c>
      <c r="HI361" s="14" t="s">
        <v>124</v>
      </c>
      <c r="HJ361" s="14" t="s">
        <v>129</v>
      </c>
      <c r="HK361" s="14" t="str">
        <f t="shared" si="25"/>
        <v>Sagittarius - Fire</v>
      </c>
    </row>
    <row r="362" spans="215:219" x14ac:dyDescent="0.3">
      <c r="HG362" s="25">
        <v>44178</v>
      </c>
      <c r="HH362" s="14" t="str">
        <f t="shared" si="26"/>
        <v>13-Dec</v>
      </c>
      <c r="HI362" s="14" t="s">
        <v>124</v>
      </c>
      <c r="HJ362" s="14" t="s">
        <v>129</v>
      </c>
      <c r="HK362" s="14" t="str">
        <f t="shared" si="25"/>
        <v>Sagittarius - Fire</v>
      </c>
    </row>
    <row r="363" spans="215:219" x14ac:dyDescent="0.3">
      <c r="HG363" s="25">
        <v>44179</v>
      </c>
      <c r="HH363" s="14" t="str">
        <f t="shared" si="26"/>
        <v>14-Dec</v>
      </c>
      <c r="HI363" s="14" t="s">
        <v>124</v>
      </c>
      <c r="HJ363" s="14" t="s">
        <v>129</v>
      </c>
      <c r="HK363" s="14" t="str">
        <f t="shared" si="25"/>
        <v>Sagittarius - Fire</v>
      </c>
    </row>
    <row r="364" spans="215:219" x14ac:dyDescent="0.3">
      <c r="HG364" s="25">
        <v>44180</v>
      </c>
      <c r="HH364" s="14" t="str">
        <f t="shared" si="26"/>
        <v>15-Dec</v>
      </c>
      <c r="HI364" s="14" t="s">
        <v>124</v>
      </c>
      <c r="HJ364" s="14" t="s">
        <v>129</v>
      </c>
      <c r="HK364" s="14" t="str">
        <f t="shared" si="25"/>
        <v>Sagittarius - Fire</v>
      </c>
    </row>
    <row r="365" spans="215:219" x14ac:dyDescent="0.3">
      <c r="HG365" s="25">
        <v>44181</v>
      </c>
      <c r="HH365" s="14" t="str">
        <f t="shared" si="26"/>
        <v>16-Dec</v>
      </c>
      <c r="HI365" s="14" t="s">
        <v>124</v>
      </c>
      <c r="HJ365" s="14" t="s">
        <v>129</v>
      </c>
      <c r="HK365" s="14" t="str">
        <f t="shared" si="25"/>
        <v>Sagittarius - Fire</v>
      </c>
    </row>
    <row r="366" spans="215:219" x14ac:dyDescent="0.3">
      <c r="HG366" s="25">
        <v>44182</v>
      </c>
      <c r="HH366" s="14" t="str">
        <f t="shared" si="26"/>
        <v>17-Dec</v>
      </c>
      <c r="HI366" s="14" t="s">
        <v>124</v>
      </c>
      <c r="HJ366" s="14" t="s">
        <v>129</v>
      </c>
      <c r="HK366" s="14" t="str">
        <f t="shared" si="25"/>
        <v>Sagittarius - Fire</v>
      </c>
    </row>
    <row r="367" spans="215:219" x14ac:dyDescent="0.3">
      <c r="HG367" s="25">
        <v>44183</v>
      </c>
      <c r="HH367" s="14" t="str">
        <f t="shared" si="26"/>
        <v>18-Dec</v>
      </c>
      <c r="HI367" s="14" t="s">
        <v>124</v>
      </c>
      <c r="HJ367" s="14" t="s">
        <v>129</v>
      </c>
      <c r="HK367" s="14" t="str">
        <f t="shared" si="25"/>
        <v>Sagittarius - Fire</v>
      </c>
    </row>
    <row r="368" spans="215:219" x14ac:dyDescent="0.3">
      <c r="HG368" s="25">
        <v>44184</v>
      </c>
      <c r="HH368" s="14" t="str">
        <f t="shared" si="26"/>
        <v>19-Dec</v>
      </c>
      <c r="HI368" s="14" t="s">
        <v>124</v>
      </c>
      <c r="HJ368" s="14" t="s">
        <v>129</v>
      </c>
      <c r="HK368" s="14" t="str">
        <f t="shared" si="25"/>
        <v>Sagittarius - Fire</v>
      </c>
    </row>
    <row r="369" spans="215:219" x14ac:dyDescent="0.3">
      <c r="HG369" s="25">
        <v>44185</v>
      </c>
      <c r="HH369" s="14" t="str">
        <f t="shared" si="26"/>
        <v>20-Dec</v>
      </c>
      <c r="HI369" s="14" t="s">
        <v>124</v>
      </c>
      <c r="HJ369" s="14" t="s">
        <v>129</v>
      </c>
      <c r="HK369" s="14" t="str">
        <f t="shared" si="25"/>
        <v>Sagittarius - Fire</v>
      </c>
    </row>
    <row r="370" spans="215:219" x14ac:dyDescent="0.3">
      <c r="HG370" s="25">
        <v>44186</v>
      </c>
      <c r="HH370" s="14" t="str">
        <f t="shared" si="26"/>
        <v>21-Dec</v>
      </c>
      <c r="HI370" s="14" t="s">
        <v>124</v>
      </c>
      <c r="HJ370" s="14" t="s">
        <v>129</v>
      </c>
      <c r="HK370" s="14" t="str">
        <f>HI370&amp;" - "&amp;HJ370</f>
        <v>Sagittarius - Fire</v>
      </c>
    </row>
    <row r="371" spans="215:219" x14ac:dyDescent="0.3">
      <c r="HG371" s="25">
        <v>44187</v>
      </c>
      <c r="HH371" s="14" t="str">
        <f t="shared" si="26"/>
        <v>22-Dec</v>
      </c>
      <c r="HI371" s="14" t="s">
        <v>113</v>
      </c>
      <c r="HJ371" s="14" t="s">
        <v>130</v>
      </c>
      <c r="HK371" s="14" t="str">
        <f t="shared" si="25"/>
        <v>Capricorn - Earth</v>
      </c>
    </row>
    <row r="372" spans="215:219" x14ac:dyDescent="0.3">
      <c r="HG372" s="25">
        <v>44188</v>
      </c>
      <c r="HH372" s="14" t="str">
        <f t="shared" si="26"/>
        <v>23-Dec</v>
      </c>
      <c r="HI372" s="14" t="s">
        <v>113</v>
      </c>
      <c r="HJ372" s="14" t="s">
        <v>130</v>
      </c>
      <c r="HK372" s="14" t="str">
        <f t="shared" si="25"/>
        <v>Capricorn - Earth</v>
      </c>
    </row>
    <row r="373" spans="215:219" x14ac:dyDescent="0.3">
      <c r="HG373" s="25">
        <v>44189</v>
      </c>
      <c r="HH373" s="14" t="str">
        <f t="shared" si="26"/>
        <v>24-Dec</v>
      </c>
      <c r="HI373" s="14" t="s">
        <v>113</v>
      </c>
      <c r="HJ373" s="14" t="s">
        <v>130</v>
      </c>
      <c r="HK373" s="14" t="str">
        <f t="shared" si="25"/>
        <v>Capricorn - Earth</v>
      </c>
    </row>
    <row r="374" spans="215:219" x14ac:dyDescent="0.3">
      <c r="HG374" s="25">
        <v>44190</v>
      </c>
      <c r="HH374" s="14" t="str">
        <f t="shared" si="26"/>
        <v>25-Dec</v>
      </c>
      <c r="HI374" s="14" t="s">
        <v>113</v>
      </c>
      <c r="HJ374" s="14" t="s">
        <v>130</v>
      </c>
      <c r="HK374" s="14" t="str">
        <f t="shared" si="25"/>
        <v>Capricorn - Earth</v>
      </c>
    </row>
    <row r="375" spans="215:219" x14ac:dyDescent="0.3">
      <c r="HG375" s="25">
        <v>44191</v>
      </c>
      <c r="HH375" s="14" t="str">
        <f t="shared" si="26"/>
        <v>26-Dec</v>
      </c>
      <c r="HI375" s="14" t="s">
        <v>113</v>
      </c>
      <c r="HJ375" s="14" t="s">
        <v>130</v>
      </c>
      <c r="HK375" s="14" t="str">
        <f t="shared" si="25"/>
        <v>Capricorn - Earth</v>
      </c>
    </row>
    <row r="376" spans="215:219" x14ac:dyDescent="0.3">
      <c r="HG376" s="25">
        <v>44192</v>
      </c>
      <c r="HH376" s="14" t="str">
        <f t="shared" si="26"/>
        <v>27-Dec</v>
      </c>
      <c r="HI376" s="14" t="s">
        <v>113</v>
      </c>
      <c r="HJ376" s="14" t="s">
        <v>130</v>
      </c>
      <c r="HK376" s="14" t="str">
        <f t="shared" si="25"/>
        <v>Capricorn - Earth</v>
      </c>
    </row>
    <row r="377" spans="215:219" x14ac:dyDescent="0.3">
      <c r="HG377" s="25">
        <v>44193</v>
      </c>
      <c r="HH377" s="14" t="str">
        <f t="shared" si="26"/>
        <v>28-Dec</v>
      </c>
      <c r="HI377" s="14" t="s">
        <v>113</v>
      </c>
      <c r="HJ377" s="14" t="s">
        <v>130</v>
      </c>
      <c r="HK377" s="14" t="str">
        <f t="shared" si="25"/>
        <v>Capricorn - Earth</v>
      </c>
    </row>
    <row r="378" spans="215:219" x14ac:dyDescent="0.3">
      <c r="HG378" s="25">
        <v>44194</v>
      </c>
      <c r="HH378" s="14" t="str">
        <f t="shared" si="26"/>
        <v>29-Dec</v>
      </c>
      <c r="HI378" s="14" t="s">
        <v>113</v>
      </c>
      <c r="HJ378" s="14" t="s">
        <v>130</v>
      </c>
      <c r="HK378" s="14" t="str">
        <f t="shared" si="25"/>
        <v>Capricorn - Earth</v>
      </c>
    </row>
    <row r="379" spans="215:219" x14ac:dyDescent="0.3">
      <c r="HG379" s="25">
        <v>44195</v>
      </c>
      <c r="HH379" s="14" t="str">
        <f t="shared" si="26"/>
        <v>30-Dec</v>
      </c>
      <c r="HI379" s="14" t="s">
        <v>113</v>
      </c>
      <c r="HJ379" s="14" t="s">
        <v>130</v>
      </c>
      <c r="HK379" s="14" t="str">
        <f t="shared" si="25"/>
        <v>Capricorn - Earth</v>
      </c>
    </row>
    <row r="380" spans="215:219" x14ac:dyDescent="0.3">
      <c r="HG380" s="25">
        <v>44196</v>
      </c>
      <c r="HH380" s="14" t="str">
        <f t="shared" si="26"/>
        <v>31-Dec</v>
      </c>
      <c r="HI380" s="14" t="s">
        <v>113</v>
      </c>
      <c r="HJ380" s="14" t="s">
        <v>130</v>
      </c>
      <c r="HK380" s="14" t="str">
        <f t="shared" si="25"/>
        <v>Capricorn - Earth</v>
      </c>
    </row>
  </sheetData>
  <mergeCells count="32">
    <mergeCell ref="GU12:GV12"/>
    <mergeCell ref="M15:N15"/>
    <mergeCell ref="A29:B29"/>
    <mergeCell ref="M29:N29"/>
    <mergeCell ref="A15:B15"/>
    <mergeCell ref="AD17:AE17"/>
    <mergeCell ref="AJ17:AK17"/>
    <mergeCell ref="AH12:AQ12"/>
    <mergeCell ref="GG12:GP12"/>
    <mergeCell ref="D75:E75"/>
    <mergeCell ref="B75:C75"/>
    <mergeCell ref="F75:G75"/>
    <mergeCell ref="A74:G74"/>
    <mergeCell ref="AH1:AQ1"/>
    <mergeCell ref="A61:D61"/>
    <mergeCell ref="A39:B39"/>
    <mergeCell ref="M39:N39"/>
    <mergeCell ref="A50:B50"/>
    <mergeCell ref="M50:N50"/>
    <mergeCell ref="C4:D4"/>
    <mergeCell ref="F4:G4"/>
    <mergeCell ref="I4:L4"/>
    <mergeCell ref="C5:D5"/>
    <mergeCell ref="F5:G5"/>
    <mergeCell ref="I5:L5"/>
    <mergeCell ref="H88:I88"/>
    <mergeCell ref="H89:I89"/>
    <mergeCell ref="H90:I90"/>
    <mergeCell ref="B93:C93"/>
    <mergeCell ref="D93:E93"/>
    <mergeCell ref="F93:G93"/>
    <mergeCell ref="A92:G92"/>
  </mergeCells>
  <conditionalFormatting sqref="G16 G19 G40 G43 G30 G51 G54 G33">
    <cfRule type="cellIs" dxfId="223" priority="299" operator="equal">
      <formula>"√"</formula>
    </cfRule>
    <cfRule type="cellIs" dxfId="222" priority="300" operator="equal">
      <formula>"*"</formula>
    </cfRule>
    <cfRule type="cellIs" dxfId="221" priority="301" operator="equal">
      <formula>"X"</formula>
    </cfRule>
  </conditionalFormatting>
  <conditionalFormatting sqref="AI3:AQ11 GH14:GP22">
    <cfRule type="containsText" dxfId="220" priority="272" operator="containsText" text="SA">
      <formula>NOT(ISERROR(SEARCH("SA",AI3)))</formula>
    </cfRule>
    <cfRule type="containsText" dxfId="219" priority="273" operator="containsText" text="A">
      <formula>NOT(ISERROR(SEARCH("A",AI3)))</formula>
    </cfRule>
    <cfRule type="containsText" dxfId="218" priority="274" operator="containsText" text="VG">
      <formula>NOT(ISERROR(SEARCH("VG",AI3)))</formula>
    </cfRule>
    <cfRule type="containsText" dxfId="217" priority="275" operator="containsText" text="G">
      <formula>NOT(ISERROR(SEARCH("G",AI3)))</formula>
    </cfRule>
    <cfRule type="containsText" dxfId="216" priority="276" operator="containsText" text="VG">
      <formula>NOT(ISERROR(SEARCH("VG",AI3)))</formula>
    </cfRule>
    <cfRule type="containsText" dxfId="215" priority="277" operator="containsText" text="E">
      <formula>NOT(ISERROR(SEARCH("E",AI3)))</formula>
    </cfRule>
  </conditionalFormatting>
  <conditionalFormatting sqref="Q3:R11 AD18:AE27 AJ18:AK27">
    <cfRule type="cellIs" dxfId="214" priority="267" operator="equal">
      <formula>"SA"</formula>
    </cfRule>
    <cfRule type="cellIs" dxfId="213" priority="268" operator="equal">
      <formula>"A"</formula>
    </cfRule>
    <cfRule type="cellIs" dxfId="212" priority="269" operator="equal">
      <formula>"E"</formula>
    </cfRule>
    <cfRule type="cellIs" dxfId="211" priority="270" operator="equal">
      <formula>"G"</formula>
    </cfRule>
  </conditionalFormatting>
  <conditionalFormatting sqref="Q2:R11 AD18:AE27 AJ18:AK27 AD16:AE16 AJ16:AK16">
    <cfRule type="cellIs" dxfId="210" priority="262" operator="equal">
      <formula>"VG"</formula>
    </cfRule>
  </conditionalFormatting>
  <conditionalFormatting sqref="M19:N22 M33:N36 M43:N46 M54:N57">
    <cfRule type="cellIs" dxfId="209" priority="215" operator="equal">
      <formula>"SA"</formula>
    </cfRule>
    <cfRule type="cellIs" dxfId="208" priority="217" operator="equal">
      <formula>"A"</formula>
    </cfRule>
  </conditionalFormatting>
  <conditionalFormatting sqref="M17:N17 M31:N31 M41:N41 M52:N52">
    <cfRule type="cellIs" dxfId="207" priority="213" operator="equal">
      <formula>"Active"</formula>
    </cfRule>
  </conditionalFormatting>
  <conditionalFormatting sqref="Q2 AD16 AJ16">
    <cfRule type="expression" dxfId="206" priority="309">
      <formula>$N$5&lt;35</formula>
    </cfRule>
  </conditionalFormatting>
  <conditionalFormatting sqref="R2 AE16 AK16">
    <cfRule type="expression" dxfId="205" priority="310">
      <formula>$N$5&gt;=35</formula>
    </cfRule>
  </conditionalFormatting>
  <conditionalFormatting sqref="AV16:AV23">
    <cfRule type="colorScale" priority="48">
      <colorScale>
        <cfvo type="min"/>
        <cfvo type="max"/>
        <color rgb="FFFF3399"/>
        <color theme="8" tint="0.79998168889431442"/>
      </colorScale>
    </cfRule>
  </conditionalFormatting>
  <conditionalFormatting sqref="R16:S24 R28:S36 R39:S47 R50:S58">
    <cfRule type="cellIs" dxfId="204" priority="47" operator="greaterThan">
      <formula>1</formula>
    </cfRule>
  </conditionalFormatting>
  <conditionalFormatting sqref="U16:U23">
    <cfRule type="colorScale" priority="38">
      <colorScale>
        <cfvo type="min"/>
        <cfvo type="max"/>
        <color rgb="FFFF3399"/>
        <color theme="8" tint="0.79998168889431442"/>
      </colorScale>
    </cfRule>
  </conditionalFormatting>
  <conditionalFormatting sqref="U28:U35">
    <cfRule type="colorScale" priority="37">
      <colorScale>
        <cfvo type="min"/>
        <cfvo type="max"/>
        <color rgb="FFFF3399"/>
        <color theme="8" tint="0.79998168889431442"/>
      </colorScale>
    </cfRule>
  </conditionalFormatting>
  <conditionalFormatting sqref="U39:U46">
    <cfRule type="colorScale" priority="36">
      <colorScale>
        <cfvo type="min"/>
        <cfvo type="max"/>
        <color rgb="FFFF3399"/>
        <color theme="8" tint="0.79998168889431442"/>
      </colorScale>
    </cfRule>
  </conditionalFormatting>
  <conditionalFormatting sqref="U50:U57">
    <cfRule type="colorScale" priority="20">
      <colorScale>
        <cfvo type="min"/>
        <cfvo type="max"/>
        <color rgb="FFFF3399"/>
        <color theme="8" tint="0.79998168889431442"/>
      </colorScale>
    </cfRule>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AF49"/>
  <sheetViews>
    <sheetView zoomScale="90" zoomScaleNormal="80" workbookViewId="0">
      <selection activeCell="U9" sqref="U9"/>
    </sheetView>
  </sheetViews>
  <sheetFormatPr defaultColWidth="0" defaultRowHeight="14.4" x14ac:dyDescent="0.3"/>
  <cols>
    <col min="1" max="1" width="14.5546875" style="100" bestFit="1" customWidth="1"/>
    <col min="2" max="2" width="13.5546875" style="100" bestFit="1" customWidth="1"/>
    <col min="3" max="3" width="17" style="100" bestFit="1" customWidth="1"/>
    <col min="4" max="5" width="5.77734375" style="100" bestFit="1" customWidth="1"/>
    <col min="6" max="6" width="4.44140625" style="100" customWidth="1"/>
    <col min="7" max="7" width="5.77734375" style="100" bestFit="1" customWidth="1"/>
    <col min="8" max="8" width="2.77734375" style="100" bestFit="1" customWidth="1"/>
    <col min="9" max="9" width="2.5546875" style="100" customWidth="1"/>
    <col min="10" max="10" width="7.77734375" style="100" bestFit="1" customWidth="1"/>
    <col min="11" max="12" width="5.77734375" style="100" bestFit="1" customWidth="1"/>
    <col min="13" max="13" width="8.44140625" style="100" bestFit="1" customWidth="1"/>
    <col min="14" max="14" width="8.21875" style="100" customWidth="1"/>
    <col min="15" max="15" width="6" style="100" bestFit="1" customWidth="1"/>
    <col min="16" max="16" width="2.21875" style="100" customWidth="1"/>
    <col min="17" max="18" width="5.77734375" style="100" hidden="1" customWidth="1"/>
    <col min="19" max="19" width="3.44140625" style="100" customWidth="1"/>
    <col min="20" max="20" width="9.21875" style="100" customWidth="1"/>
    <col min="21" max="22" width="11.77734375" style="100" customWidth="1"/>
    <col min="23" max="23" width="14.77734375" style="100" bestFit="1" customWidth="1"/>
    <col min="24" max="24" width="10.77734375" style="100" bestFit="1" customWidth="1"/>
    <col min="25" max="25" width="9.21875" style="100" customWidth="1"/>
    <col min="26" max="26" width="9.21875" style="304" hidden="1" customWidth="1"/>
    <col min="27" max="27" width="8.21875" style="304" hidden="1" customWidth="1"/>
    <col min="28" max="31" width="9.21875" style="302" hidden="1" customWidth="1"/>
    <col min="32" max="32" width="0" style="302" hidden="1" customWidth="1"/>
    <col min="33" max="16384" width="9.21875" style="302" hidden="1"/>
  </cols>
  <sheetData>
    <row r="1" spans="1:31" ht="15" thickBot="1" x14ac:dyDescent="0.35">
      <c r="B1" s="347"/>
      <c r="C1" s="347"/>
      <c r="D1" s="347"/>
      <c r="E1" s="347"/>
      <c r="F1" s="347"/>
      <c r="G1" s="347"/>
      <c r="H1" s="347"/>
      <c r="I1" s="347"/>
      <c r="J1" s="347"/>
      <c r="K1" s="347"/>
      <c r="L1" s="347"/>
      <c r="M1" s="347"/>
      <c r="N1" s="347"/>
      <c r="O1" s="347"/>
      <c r="Z1" s="303" t="s">
        <v>1</v>
      </c>
      <c r="AA1" s="303" t="s">
        <v>2</v>
      </c>
    </row>
    <row r="2" spans="1:31" ht="15" thickBot="1" x14ac:dyDescent="0.35">
      <c r="B2" s="616" t="str">
        <f>'Master Calculator'!B16</f>
        <v>ACHARYA</v>
      </c>
      <c r="C2" s="616"/>
      <c r="D2" s="346" t="s">
        <v>29</v>
      </c>
      <c r="E2" s="346" t="s">
        <v>29</v>
      </c>
      <c r="F2" s="346"/>
      <c r="G2" s="346" t="s">
        <v>47</v>
      </c>
      <c r="H2" s="346" t="s">
        <v>47</v>
      </c>
      <c r="I2" s="346"/>
      <c r="J2" s="346" t="s">
        <v>48</v>
      </c>
      <c r="K2" s="346" t="s">
        <v>48</v>
      </c>
      <c r="L2" s="346" t="s">
        <v>48</v>
      </c>
      <c r="M2" s="346" t="s">
        <v>48</v>
      </c>
      <c r="N2" s="347"/>
      <c r="O2" s="514" t="s">
        <v>111</v>
      </c>
      <c r="Q2" s="100" t="s">
        <v>15</v>
      </c>
      <c r="R2" s="100" t="s">
        <v>138</v>
      </c>
      <c r="V2" s="151" t="s">
        <v>149</v>
      </c>
      <c r="Z2" s="304" t="s">
        <v>14</v>
      </c>
      <c r="AA2" s="304">
        <v>1</v>
      </c>
      <c r="AC2" s="302" t="s">
        <v>125</v>
      </c>
      <c r="AD2" s="302" t="s">
        <v>246</v>
      </c>
      <c r="AE2" s="302" t="s">
        <v>247</v>
      </c>
    </row>
    <row r="3" spans="1:31" x14ac:dyDescent="0.3">
      <c r="B3" s="348" t="s">
        <v>108</v>
      </c>
      <c r="C3" s="349">
        <f>'Master Calculator'!B2</f>
        <v>28884</v>
      </c>
      <c r="D3" s="346" t="str">
        <f>MID(B5,1,1)</f>
        <v>2</v>
      </c>
      <c r="E3" s="346" t="str">
        <f>MID(B5,2,1)</f>
        <v>9</v>
      </c>
      <c r="F3" s="346"/>
      <c r="G3" s="346" t="str">
        <f>MID(B5,4,1)</f>
        <v>0</v>
      </c>
      <c r="H3" s="346" t="str">
        <f>MID(B5,5,1)</f>
        <v>1</v>
      </c>
      <c r="I3" s="346"/>
      <c r="J3" s="346" t="str">
        <f>MID(B5,7,1)</f>
        <v>1</v>
      </c>
      <c r="K3" s="347" t="str">
        <f>MID(B5,8,1)</f>
        <v>9</v>
      </c>
      <c r="L3" s="347" t="str">
        <f>MID(B5,9,1)</f>
        <v>7</v>
      </c>
      <c r="M3" s="347" t="str">
        <f>MID(B5,10,1)</f>
        <v>9</v>
      </c>
      <c r="N3" s="347"/>
      <c r="O3" s="350">
        <f ca="1">(TODAY()-C3)/365</f>
        <v>46.471232876712328</v>
      </c>
      <c r="Q3" s="452">
        <v>1</v>
      </c>
      <c r="R3" s="100">
        <f>COUNTIF(D$3:M$3,Q3)+COUNTIF(C$9:C$11,Q3)</f>
        <v>2</v>
      </c>
      <c r="X3" s="617" t="s">
        <v>184</v>
      </c>
      <c r="Z3" s="304" t="s">
        <v>22</v>
      </c>
      <c r="AA3" s="304">
        <v>2</v>
      </c>
      <c r="AC3" s="302">
        <v>1</v>
      </c>
      <c r="AD3" s="302" t="s">
        <v>248</v>
      </c>
      <c r="AE3" s="302">
        <v>0</v>
      </c>
    </row>
    <row r="4" spans="1:31" ht="15" thickBot="1" x14ac:dyDescent="0.35">
      <c r="B4" s="351" t="str">
        <f>TEXT(C3,("DD-MMM"))</f>
        <v>29-Jan</v>
      </c>
      <c r="C4" s="347"/>
      <c r="D4" s="351" t="str">
        <f>D3</f>
        <v>2</v>
      </c>
      <c r="E4" s="351" t="str">
        <f t="shared" ref="E4:M4" si="0">E3</f>
        <v>9</v>
      </c>
      <c r="F4" s="351">
        <f>DAY(C3)</f>
        <v>29</v>
      </c>
      <c r="G4" s="351" t="str">
        <f t="shared" si="0"/>
        <v>0</v>
      </c>
      <c r="H4" s="351" t="str">
        <f t="shared" si="0"/>
        <v>1</v>
      </c>
      <c r="I4" s="351"/>
      <c r="J4" s="351" t="str">
        <f t="shared" si="0"/>
        <v>1</v>
      </c>
      <c r="K4" s="351" t="str">
        <f t="shared" si="0"/>
        <v>9</v>
      </c>
      <c r="L4" s="351" t="str">
        <f t="shared" si="0"/>
        <v>7</v>
      </c>
      <c r="M4" s="351" t="str">
        <f t="shared" si="0"/>
        <v>9</v>
      </c>
      <c r="N4" s="347"/>
      <c r="O4" s="347"/>
      <c r="Q4" s="452">
        <v>2</v>
      </c>
      <c r="R4" s="100">
        <f t="shared" ref="R4:R11" si="1">COUNTIF(D$3:M$3,Q4)+COUNTIF(C$9:C$11,Q4)</f>
        <v>3</v>
      </c>
      <c r="U4" s="144" t="s">
        <v>172</v>
      </c>
      <c r="V4" s="144" t="s">
        <v>139</v>
      </c>
      <c r="W4" s="144" t="s">
        <v>183</v>
      </c>
      <c r="X4" s="618"/>
      <c r="Z4" s="304" t="s">
        <v>27</v>
      </c>
      <c r="AA4" s="304">
        <v>3</v>
      </c>
      <c r="AC4" s="302">
        <v>2</v>
      </c>
      <c r="AD4" s="302" t="s">
        <v>248</v>
      </c>
      <c r="AE4" s="302">
        <v>0</v>
      </c>
    </row>
    <row r="5" spans="1:31" ht="28.8" x14ac:dyDescent="0.3">
      <c r="B5" s="351" t="str">
        <f>TEXT(C3,"DD-MM-YYYY")</f>
        <v>29-01-1979</v>
      </c>
      <c r="C5" s="352" t="s">
        <v>127</v>
      </c>
      <c r="D5" s="619" t="s">
        <v>18</v>
      </c>
      <c r="E5" s="619"/>
      <c r="F5" s="346"/>
      <c r="G5" s="619" t="s">
        <v>54</v>
      </c>
      <c r="H5" s="619"/>
      <c r="I5" s="346"/>
      <c r="J5" s="619" t="s">
        <v>55</v>
      </c>
      <c r="K5" s="619"/>
      <c r="L5" s="619"/>
      <c r="M5" s="619"/>
      <c r="N5" s="347"/>
      <c r="O5" s="347"/>
      <c r="Q5" s="452">
        <v>3</v>
      </c>
      <c r="R5" s="100">
        <f t="shared" si="1"/>
        <v>1</v>
      </c>
      <c r="U5" s="152" t="s">
        <v>140</v>
      </c>
      <c r="V5" s="153" t="s">
        <v>141</v>
      </c>
      <c r="W5" s="154" t="s">
        <v>142</v>
      </c>
      <c r="X5" s="155" t="s">
        <v>153</v>
      </c>
      <c r="Z5" s="304" t="s">
        <v>29</v>
      </c>
      <c r="AA5" s="304">
        <v>4</v>
      </c>
      <c r="AC5" s="302">
        <v>3</v>
      </c>
      <c r="AD5" s="302" t="s">
        <v>248</v>
      </c>
      <c r="AE5" s="302">
        <v>0</v>
      </c>
    </row>
    <row r="6" spans="1:31" ht="15" thickBot="1" x14ac:dyDescent="0.35">
      <c r="B6" s="353"/>
      <c r="C6" s="346" t="str">
        <f>CHOOSE(MATCH(1,(DATEVALUE({"22/12/2011","21/01/2012","20/02/2012","21/03/2012","21/04/2012","22/05/2012","22/06/2012","23/07/2012","23/08/2012","24/09/2012","24/10/2012","23/11/2012","22/12/2012"})&lt;=DATEVALUE(TEXT(C3,"dd/mm/")&amp;"2012"))*(DATEVALUE({"20/01/2012","19/02/2012","20/03/2012","20/04/2012","21/05/2012","21/06/2012","22/07/2012","22/08/2012","23/09/2012","23/10/2012","22/11/2012","21/12/2012","20/01/2013"})&gt;=DATEVALUE(TEXT(C3,"dd/mm/")&amp;"2012")),0),"Capricorn - Earth","Aquarius - Air","Pisces - Water","Aries - Fire","Taurus - Earth","Gemini - Air","Cancer - Water","Leo - Fire","Virgo - Earth","Libra - Air","Scorpio - Water","Sagittarius Fire","Capricorn - Earth")</f>
        <v>Aquarius - Air</v>
      </c>
      <c r="D6" s="620">
        <f>D3+E3</f>
        <v>11</v>
      </c>
      <c r="E6" s="620"/>
      <c r="F6" s="346"/>
      <c r="G6" s="621">
        <f>G3+H3</f>
        <v>1</v>
      </c>
      <c r="H6" s="621"/>
      <c r="I6" s="346"/>
      <c r="J6" s="621">
        <f>J3+K3+L3+M3</f>
        <v>26</v>
      </c>
      <c r="K6" s="621"/>
      <c r="L6" s="621"/>
      <c r="M6" s="621"/>
      <c r="N6" s="347"/>
      <c r="O6" s="347"/>
      <c r="Q6" s="452">
        <v>4</v>
      </c>
      <c r="R6" s="100">
        <f t="shared" si="1"/>
        <v>0</v>
      </c>
      <c r="U6" s="156">
        <f>IF(R6&lt;=0,COUNTIF(E7:E8,Q6),R6)</f>
        <v>0</v>
      </c>
      <c r="V6" s="156">
        <f>IF(R11&lt;=0,COUNTIF(E7:E8,Q11),R11)</f>
        <v>3</v>
      </c>
      <c r="W6" s="157">
        <f>IF(R4&lt;=0,COUNTIF(E7:E8,Q4),R4)</f>
        <v>3</v>
      </c>
      <c r="X6" s="158"/>
      <c r="Z6" s="304" t="s">
        <v>19</v>
      </c>
      <c r="AA6" s="304">
        <v>5</v>
      </c>
      <c r="AC6" s="302">
        <v>4</v>
      </c>
      <c r="AD6" s="302" t="s">
        <v>248</v>
      </c>
      <c r="AE6" s="302">
        <v>0</v>
      </c>
    </row>
    <row r="7" spans="1:31" ht="28.8" x14ac:dyDescent="0.3">
      <c r="B7" s="516"/>
      <c r="C7" s="516"/>
      <c r="D7" s="347"/>
      <c r="E7" s="354">
        <f>IF(LEN(D6)&gt;1,LEFT(D6,1)+RIGHT(D6,1),D6)</f>
        <v>2</v>
      </c>
      <c r="F7" s="346"/>
      <c r="G7" s="354">
        <f>IF(LEN(G6)&gt;1,LEFT(G6,1)+RIGHT(G6,1),G6)</f>
        <v>1</v>
      </c>
      <c r="H7" s="346"/>
      <c r="I7" s="346"/>
      <c r="J7" s="354">
        <f>IF(LEN(J6)&gt;1,LEFT(J6,1)+RIGHT(J6,1),J6)</f>
        <v>8</v>
      </c>
      <c r="K7" s="346"/>
      <c r="L7" s="346"/>
      <c r="M7" s="346"/>
      <c r="N7" s="347"/>
      <c r="O7" s="347"/>
      <c r="Q7" s="452">
        <v>5</v>
      </c>
      <c r="R7" s="100">
        <f t="shared" si="1"/>
        <v>0</v>
      </c>
      <c r="U7" s="159" t="s">
        <v>143</v>
      </c>
      <c r="V7" s="160" t="s">
        <v>144</v>
      </c>
      <c r="W7" s="161" t="s">
        <v>145</v>
      </c>
      <c r="X7" s="155" t="s">
        <v>154</v>
      </c>
      <c r="Z7" s="304" t="s">
        <v>21</v>
      </c>
      <c r="AA7" s="304">
        <v>8</v>
      </c>
      <c r="AC7" s="302">
        <v>5</v>
      </c>
      <c r="AD7" s="302" t="s">
        <v>248</v>
      </c>
      <c r="AE7" s="302">
        <v>0</v>
      </c>
    </row>
    <row r="8" spans="1:31" ht="15" thickBot="1" x14ac:dyDescent="0.35">
      <c r="B8" s="517" t="s">
        <v>18</v>
      </c>
      <c r="C8" s="518">
        <f>MOD((D3+E3)-1,9)+1</f>
        <v>2</v>
      </c>
      <c r="D8" s="453">
        <f>C8</f>
        <v>2</v>
      </c>
      <c r="F8" s="346"/>
      <c r="G8" s="346"/>
      <c r="H8" s="346"/>
      <c r="I8" s="346"/>
      <c r="J8" s="346"/>
      <c r="K8" s="346"/>
      <c r="L8" s="346"/>
      <c r="M8" s="346"/>
      <c r="N8" s="347"/>
      <c r="O8" s="347"/>
      <c r="Q8" s="452">
        <v>6</v>
      </c>
      <c r="R8" s="100">
        <f t="shared" si="1"/>
        <v>0</v>
      </c>
      <c r="U8" s="162">
        <f>IF(R5&lt;=0,COUNTIF(E7:E8,Q5),R5)</f>
        <v>1</v>
      </c>
      <c r="V8" s="163">
        <f>IF(R7&lt;=0,COUNTIF(E7:E8,Q7),R7)</f>
        <v>0</v>
      </c>
      <c r="W8" s="164">
        <f>IF(R9&lt;=0,COUNTIF(E7:E8,Q9),R9)</f>
        <v>1</v>
      </c>
      <c r="X8" s="158"/>
      <c r="Z8" s="304" t="s">
        <v>20</v>
      </c>
      <c r="AA8" s="304">
        <v>3</v>
      </c>
      <c r="AC8" s="302">
        <v>6</v>
      </c>
      <c r="AD8" s="302" t="s">
        <v>248</v>
      </c>
      <c r="AE8" s="302">
        <v>0</v>
      </c>
    </row>
    <row r="9" spans="1:31" ht="28.8" x14ac:dyDescent="0.3">
      <c r="B9" s="519" t="s">
        <v>250</v>
      </c>
      <c r="C9" s="520">
        <f>VLOOKUP(F4,$AC$2:$AE$32,3,0)</f>
        <v>2</v>
      </c>
      <c r="D9" s="302"/>
      <c r="Q9" s="452">
        <v>7</v>
      </c>
      <c r="R9" s="100">
        <f t="shared" si="1"/>
        <v>1</v>
      </c>
      <c r="U9" s="152" t="s">
        <v>148</v>
      </c>
      <c r="V9" s="153" t="s">
        <v>147</v>
      </c>
      <c r="W9" s="154" t="s">
        <v>146</v>
      </c>
      <c r="X9" s="155" t="s">
        <v>155</v>
      </c>
      <c r="Z9" s="304" t="s">
        <v>41</v>
      </c>
      <c r="AA9" s="304">
        <v>5</v>
      </c>
      <c r="AC9" s="302">
        <v>7</v>
      </c>
      <c r="AD9" s="302" t="s">
        <v>248</v>
      </c>
      <c r="AE9" s="302">
        <v>0</v>
      </c>
    </row>
    <row r="10" spans="1:31" ht="15" thickBot="1" x14ac:dyDescent="0.35">
      <c r="B10" s="517" t="s">
        <v>25</v>
      </c>
      <c r="C10" s="518">
        <f>MOD((D6+G6+J6)-1,9)+1</f>
        <v>2</v>
      </c>
      <c r="D10" s="302">
        <f>C10</f>
        <v>2</v>
      </c>
      <c r="Q10" s="452">
        <v>8</v>
      </c>
      <c r="R10" s="100">
        <f t="shared" si="1"/>
        <v>0</v>
      </c>
      <c r="U10" s="165">
        <f>IF(R10&lt;=0,COUNTIF(E7:E8,Q10),R10)</f>
        <v>0</v>
      </c>
      <c r="V10" s="166">
        <f>IF(R3&lt;=0,COUNTIF(E7:E8,Q3),R3)</f>
        <v>2</v>
      </c>
      <c r="W10" s="167">
        <f>IF(R8&lt;=0,COUNTIF(E7:E8,Q8),R8)</f>
        <v>0</v>
      </c>
      <c r="X10" s="158"/>
      <c r="Z10" s="304" t="s">
        <v>43</v>
      </c>
      <c r="AA10" s="304">
        <v>1</v>
      </c>
      <c r="AC10" s="302">
        <v>8</v>
      </c>
      <c r="AD10" s="302" t="s">
        <v>248</v>
      </c>
      <c r="AE10" s="302">
        <v>0</v>
      </c>
    </row>
    <row r="11" spans="1:31" x14ac:dyDescent="0.3">
      <c r="B11" s="519" t="s">
        <v>251</v>
      </c>
      <c r="C11" s="520">
        <f>C12</f>
        <v>3</v>
      </c>
      <c r="D11" s="302"/>
      <c r="Q11" s="452">
        <v>9</v>
      </c>
      <c r="R11" s="100">
        <f t="shared" si="1"/>
        <v>3</v>
      </c>
      <c r="X11" s="617" t="s">
        <v>185</v>
      </c>
      <c r="Z11" s="304" t="s">
        <v>46</v>
      </c>
      <c r="AA11" s="304">
        <v>1</v>
      </c>
      <c r="AC11" s="302">
        <v>9</v>
      </c>
      <c r="AD11" s="302" t="s">
        <v>248</v>
      </c>
      <c r="AE11" s="302">
        <v>0</v>
      </c>
    </row>
    <row r="12" spans="1:31" ht="15" thickBot="1" x14ac:dyDescent="0.35">
      <c r="A12" s="355" t="s">
        <v>151</v>
      </c>
      <c r="B12" s="516" t="str">
        <f>'Master Calculator'!B9</f>
        <v>female</v>
      </c>
      <c r="C12" s="356">
        <f>IF(B12="Male",MOD((11-J6)-1,9)+1,MOD((J6+4)-1,9)+1)</f>
        <v>3</v>
      </c>
      <c r="D12" s="302">
        <f>C12</f>
        <v>3</v>
      </c>
      <c r="X12" s="618"/>
      <c r="Z12" s="304" t="s">
        <v>50</v>
      </c>
      <c r="AA12" s="304">
        <v>2</v>
      </c>
      <c r="AC12" s="302">
        <v>10</v>
      </c>
      <c r="AD12" s="302" t="s">
        <v>248</v>
      </c>
      <c r="AE12" s="302">
        <v>0</v>
      </c>
    </row>
    <row r="13" spans="1:31" ht="15" thickBot="1" x14ac:dyDescent="0.35">
      <c r="T13" s="615" t="s">
        <v>252</v>
      </c>
      <c r="U13" s="615"/>
      <c r="V13" s="615"/>
      <c r="X13" s="158"/>
      <c r="AA13" s="304">
        <v>3</v>
      </c>
      <c r="AC13" s="302">
        <v>11</v>
      </c>
      <c r="AD13" s="302" t="s">
        <v>249</v>
      </c>
      <c r="AE13" s="302">
        <v>2</v>
      </c>
    </row>
    <row r="14" spans="1:31" x14ac:dyDescent="0.3">
      <c r="A14" s="622" t="s">
        <v>10</v>
      </c>
      <c r="B14" s="623"/>
      <c r="C14" s="383"/>
      <c r="D14" s="193"/>
      <c r="E14" s="383"/>
      <c r="F14" s="383"/>
      <c r="G14" s="384"/>
      <c r="H14" s="135"/>
      <c r="I14" s="135"/>
      <c r="J14" s="385"/>
      <c r="K14" s="386"/>
      <c r="L14" s="386"/>
      <c r="M14" s="624" t="s">
        <v>99</v>
      </c>
      <c r="N14" s="625"/>
      <c r="T14" s="346">
        <v>1</v>
      </c>
      <c r="U14" s="346">
        <f>COUNTIF(D3:$M$3,T14)+COUNTIF($D$8:$D$12,T14)</f>
        <v>2</v>
      </c>
      <c r="V14" s="510" t="s">
        <v>244</v>
      </c>
      <c r="X14" s="158"/>
      <c r="AA14" s="304">
        <v>4</v>
      </c>
      <c r="AC14" s="302">
        <v>12</v>
      </c>
      <c r="AD14" s="302" t="s">
        <v>249</v>
      </c>
      <c r="AE14" s="302">
        <v>3</v>
      </c>
    </row>
    <row r="15" spans="1:31" x14ac:dyDescent="0.3">
      <c r="A15" s="387" t="s">
        <v>17</v>
      </c>
      <c r="B15" s="388" t="str">
        <f>'Master Calculator'!B16</f>
        <v>ACHARYA</v>
      </c>
      <c r="C15" s="99"/>
      <c r="D15" s="389">
        <f>'Master Calculator'!D16</f>
        <v>14</v>
      </c>
      <c r="E15" s="99">
        <f>'Master Calculator'!E16</f>
        <v>5</v>
      </c>
      <c r="F15" s="390" t="str">
        <f>'Master Calculator'!F16</f>
        <v>FN</v>
      </c>
      <c r="G15" s="181" t="str">
        <f>'Master Calculator'!G16</f>
        <v>√</v>
      </c>
      <c r="H15" s="99"/>
      <c r="I15" s="99"/>
      <c r="J15" s="391" t="s">
        <v>206</v>
      </c>
      <c r="K15" s="346"/>
      <c r="L15" s="346"/>
      <c r="M15" s="392" t="s">
        <v>12</v>
      </c>
      <c r="N15" s="393" t="s">
        <v>13</v>
      </c>
      <c r="T15" s="346">
        <v>2</v>
      </c>
      <c r="U15" s="346">
        <f>COUNTIF(D$3:$M3,T15)+COUNTIF($D$8:$D$12,T15)</f>
        <v>3</v>
      </c>
      <c r="V15" s="512" t="s">
        <v>245</v>
      </c>
      <c r="X15" s="158"/>
      <c r="AA15" s="304">
        <v>5</v>
      </c>
      <c r="AC15" s="302">
        <v>13</v>
      </c>
      <c r="AD15" s="302" t="s">
        <v>249</v>
      </c>
      <c r="AE15" s="302">
        <v>4</v>
      </c>
    </row>
    <row r="16" spans="1:31" x14ac:dyDescent="0.3">
      <c r="A16" s="387" t="s">
        <v>30</v>
      </c>
      <c r="B16" s="388" t="str">
        <f>'Master Calculator'!B17</f>
        <v>KAMLESH</v>
      </c>
      <c r="C16" s="99"/>
      <c r="D16" s="389">
        <f>'Master Calculator'!D17</f>
        <v>23</v>
      </c>
      <c r="E16" s="99">
        <f>'Master Calculator'!E17</f>
        <v>5</v>
      </c>
      <c r="F16" s="99"/>
      <c r="G16" s="134"/>
      <c r="H16" s="99"/>
      <c r="I16" s="99"/>
      <c r="J16" s="394" t="s">
        <v>18</v>
      </c>
      <c r="K16" s="346"/>
      <c r="L16" s="515">
        <f>'Master Calculator'!L17</f>
        <v>2</v>
      </c>
      <c r="M16" s="346">
        <f ca="1">'Master Calculator'!M17</f>
        <v>0</v>
      </c>
      <c r="N16" s="393" t="str">
        <f ca="1">'Master Calculator'!N17</f>
        <v>Active</v>
      </c>
      <c r="T16" s="346">
        <v>3</v>
      </c>
      <c r="U16" s="346">
        <f>COUNTIF(D$3:$M3,T16)+COUNTIF($D$8:$D$12,T16)</f>
        <v>1</v>
      </c>
      <c r="V16" s="510" t="s">
        <v>244</v>
      </c>
      <c r="X16" s="158"/>
      <c r="AA16" s="304">
        <v>7</v>
      </c>
      <c r="AC16" s="302">
        <v>14</v>
      </c>
      <c r="AD16" s="302" t="s">
        <v>249</v>
      </c>
      <c r="AE16" s="302">
        <v>5</v>
      </c>
    </row>
    <row r="17" spans="1:31" x14ac:dyDescent="0.3">
      <c r="A17" s="387" t="s">
        <v>37</v>
      </c>
      <c r="B17" s="388" t="str">
        <f>'Master Calculator'!B18</f>
        <v>MEENA</v>
      </c>
      <c r="C17" s="99"/>
      <c r="D17" s="389">
        <f>'Master Calculator'!D18</f>
        <v>20</v>
      </c>
      <c r="E17" s="99">
        <f>'Master Calculator'!E18</f>
        <v>2</v>
      </c>
      <c r="F17" s="99"/>
      <c r="G17" s="134"/>
      <c r="H17" s="99"/>
      <c r="I17" s="99"/>
      <c r="J17" s="394" t="s">
        <v>25</v>
      </c>
      <c r="K17" s="346"/>
      <c r="L17" s="515">
        <f ca="1">'Master Calculator'!L18</f>
        <v>2</v>
      </c>
      <c r="M17" s="346"/>
      <c r="N17" s="395"/>
      <c r="T17" s="346">
        <v>4</v>
      </c>
      <c r="U17" s="346">
        <f>COUNTIF(D$3:$M3,T17)+COUNTIF($D$8:$D$12,T17)</f>
        <v>0</v>
      </c>
      <c r="V17" s="512" t="s">
        <v>245</v>
      </c>
      <c r="X17" s="158"/>
      <c r="AA17" s="304">
        <v>8</v>
      </c>
      <c r="AC17" s="302">
        <v>15</v>
      </c>
      <c r="AD17" s="302" t="s">
        <v>249</v>
      </c>
      <c r="AE17" s="302">
        <v>6</v>
      </c>
    </row>
    <row r="18" spans="1:31" ht="15" thickBot="1" x14ac:dyDescent="0.35">
      <c r="A18" s="396"/>
      <c r="B18" s="397"/>
      <c r="C18" s="397"/>
      <c r="D18" s="398">
        <f>'Master Calculator'!D19</f>
        <v>57</v>
      </c>
      <c r="E18" s="397">
        <f>'Master Calculator'!E19</f>
        <v>12</v>
      </c>
      <c r="F18" s="399" t="str">
        <f>'Master Calculator'!F19</f>
        <v>EXP</v>
      </c>
      <c r="G18" s="400" t="str">
        <f>'Master Calculator'!G19</f>
        <v>√</v>
      </c>
      <c r="H18" s="99"/>
      <c r="I18" s="99"/>
      <c r="J18" s="394" t="s">
        <v>24</v>
      </c>
      <c r="K18" s="346">
        <f>'Master Calculator'!K19</f>
        <v>14</v>
      </c>
      <c r="L18" s="515">
        <f>'Master Calculator'!L19</f>
        <v>5</v>
      </c>
      <c r="M18" s="346" t="str">
        <f>'Master Calculator'!M19</f>
        <v>F</v>
      </c>
      <c r="N18" s="395" t="str">
        <f ca="1">'Master Calculator'!N19</f>
        <v>F</v>
      </c>
      <c r="T18" s="346">
        <v>5</v>
      </c>
      <c r="U18" s="346">
        <f>COUNTIF(D$3:$M3,T18)+COUNTIF($D$8:$D$12,T18)</f>
        <v>0</v>
      </c>
      <c r="V18" s="510" t="s">
        <v>244</v>
      </c>
      <c r="X18" s="158"/>
      <c r="AA18" s="304">
        <v>1</v>
      </c>
      <c r="AC18" s="302">
        <v>16</v>
      </c>
      <c r="AD18" s="302" t="s">
        <v>249</v>
      </c>
      <c r="AE18" s="302">
        <v>7</v>
      </c>
    </row>
    <row r="19" spans="1:31" x14ac:dyDescent="0.3">
      <c r="A19" s="99"/>
      <c r="B19" s="99"/>
      <c r="C19" s="99"/>
      <c r="D19" s="132"/>
      <c r="E19" s="99"/>
      <c r="F19" s="99"/>
      <c r="G19" s="99"/>
      <c r="H19" s="99"/>
      <c r="I19" s="99"/>
      <c r="J19" s="394" t="s">
        <v>31</v>
      </c>
      <c r="K19" s="346">
        <f>'Master Calculator'!K20</f>
        <v>57</v>
      </c>
      <c r="L19" s="515">
        <f>'Master Calculator'!L20</f>
        <v>3</v>
      </c>
      <c r="M19" s="346" t="str">
        <f>'Master Calculator'!M20</f>
        <v>G</v>
      </c>
      <c r="N19" s="395" t="str">
        <f ca="1">'Master Calculator'!N20</f>
        <v>G</v>
      </c>
      <c r="T19" s="346">
        <v>6</v>
      </c>
      <c r="U19" s="346">
        <f>COUNTIF(D$3:$M3,T19)+COUNTIF($D$8:$D$12,T19)</f>
        <v>0</v>
      </c>
      <c r="V19" s="512" t="s">
        <v>245</v>
      </c>
      <c r="X19" s="158"/>
      <c r="AA19" s="304">
        <v>2</v>
      </c>
      <c r="AC19" s="302">
        <v>17</v>
      </c>
      <c r="AD19" s="302" t="s">
        <v>249</v>
      </c>
      <c r="AE19" s="302">
        <v>8</v>
      </c>
    </row>
    <row r="20" spans="1:31" x14ac:dyDescent="0.3">
      <c r="A20" s="99"/>
      <c r="B20" s="99"/>
      <c r="C20" s="99"/>
      <c r="D20" s="132"/>
      <c r="E20" s="99"/>
      <c r="F20" s="99"/>
      <c r="G20" s="99"/>
      <c r="H20" s="99"/>
      <c r="I20" s="99"/>
      <c r="J20" s="394" t="s">
        <v>32</v>
      </c>
      <c r="K20" s="346">
        <f>'Master Calculator'!K21</f>
        <v>20</v>
      </c>
      <c r="L20" s="515">
        <f>'Master Calculator'!L21</f>
        <v>2</v>
      </c>
      <c r="M20" s="346" t="str">
        <f>'Master Calculator'!M21</f>
        <v>E</v>
      </c>
      <c r="N20" s="395" t="str">
        <f ca="1">'Master Calculator'!N21</f>
        <v>E</v>
      </c>
      <c r="T20" s="346">
        <v>7</v>
      </c>
      <c r="U20" s="346">
        <f>COUNTIF(D$3:$M3,T20)+COUNTIF($D$8:$D$12,T20)</f>
        <v>1</v>
      </c>
      <c r="V20" s="510" t="s">
        <v>244</v>
      </c>
      <c r="X20" s="158"/>
      <c r="AA20" s="304">
        <v>3</v>
      </c>
      <c r="AC20" s="302">
        <v>18</v>
      </c>
      <c r="AD20" s="302" t="s">
        <v>249</v>
      </c>
      <c r="AE20" s="302">
        <v>9</v>
      </c>
    </row>
    <row r="21" spans="1:31" ht="15" thickBot="1" x14ac:dyDescent="0.35">
      <c r="A21" s="99"/>
      <c r="B21" s="99"/>
      <c r="C21" s="99"/>
      <c r="D21" s="132"/>
      <c r="E21" s="99"/>
      <c r="F21" s="99"/>
      <c r="G21" s="99"/>
      <c r="H21" s="99"/>
      <c r="I21" s="99"/>
      <c r="J21" s="401" t="s">
        <v>35</v>
      </c>
      <c r="K21" s="402">
        <f>'Master Calculator'!K22</f>
        <v>37</v>
      </c>
      <c r="L21" s="403">
        <f>'Master Calculator'!L22</f>
        <v>1</v>
      </c>
      <c r="M21" s="402" t="str">
        <f>'Master Calculator'!M22</f>
        <v>G</v>
      </c>
      <c r="N21" s="404" t="str">
        <f ca="1">'Master Calculator'!N22</f>
        <v>G</v>
      </c>
      <c r="T21" s="346">
        <v>8</v>
      </c>
      <c r="U21" s="346">
        <f>COUNTIF(D$3:$M3,T21)+COUNTIF($D$8:$D$12,T21)</f>
        <v>0</v>
      </c>
      <c r="V21" s="512" t="s">
        <v>245</v>
      </c>
      <c r="X21" s="158"/>
      <c r="AA21" s="304">
        <v>4</v>
      </c>
      <c r="AC21" s="302">
        <v>19</v>
      </c>
      <c r="AD21" s="302" t="s">
        <v>249</v>
      </c>
      <c r="AE21" s="302">
        <v>1</v>
      </c>
    </row>
    <row r="22" spans="1:31" x14ac:dyDescent="0.3">
      <c r="T22" s="346">
        <v>9</v>
      </c>
      <c r="U22" s="346">
        <f>COUNTIF(D$3:$M3,T22)+COUNTIF($D$8:$D$12,T22)</f>
        <v>3</v>
      </c>
      <c r="V22" s="510" t="s">
        <v>244</v>
      </c>
      <c r="X22" s="158"/>
      <c r="AA22" s="304">
        <v>6</v>
      </c>
      <c r="AC22" s="302">
        <v>20</v>
      </c>
      <c r="AD22" s="302" t="s">
        <v>248</v>
      </c>
      <c r="AE22" s="302">
        <v>0</v>
      </c>
    </row>
    <row r="23" spans="1:31" ht="15" thickBot="1" x14ac:dyDescent="0.35">
      <c r="Z23" s="304" t="s">
        <v>53</v>
      </c>
      <c r="AA23" s="304">
        <v>6</v>
      </c>
      <c r="AC23" s="302">
        <v>21</v>
      </c>
      <c r="AD23" s="302" t="s">
        <v>249</v>
      </c>
      <c r="AE23" s="302">
        <v>3</v>
      </c>
    </row>
    <row r="24" spans="1:31" x14ac:dyDescent="0.3">
      <c r="A24" s="622" t="s">
        <v>191</v>
      </c>
      <c r="B24" s="623"/>
      <c r="C24" s="383"/>
      <c r="D24" s="193"/>
      <c r="E24" s="383"/>
      <c r="F24" s="383"/>
      <c r="G24" s="384"/>
      <c r="H24" s="135"/>
      <c r="I24" s="135"/>
      <c r="J24" s="385"/>
      <c r="K24" s="386"/>
      <c r="L24" s="386"/>
      <c r="M24" s="624" t="s">
        <v>99</v>
      </c>
      <c r="N24" s="625"/>
      <c r="O24" s="127"/>
      <c r="P24" s="127"/>
      <c r="Q24" s="127"/>
      <c r="R24" s="127"/>
      <c r="S24" s="127"/>
      <c r="U24" s="511" t="s">
        <v>244</v>
      </c>
      <c r="V24" s="454">
        <f>U14+U16+U18+U20+U22</f>
        <v>7</v>
      </c>
      <c r="W24" s="357"/>
      <c r="X24" s="357"/>
      <c r="Y24" s="357"/>
      <c r="Z24" s="304" t="s">
        <v>47</v>
      </c>
      <c r="AA24" s="304">
        <v>6</v>
      </c>
      <c r="AC24" s="302">
        <v>22</v>
      </c>
      <c r="AD24" s="302" t="s">
        <v>249</v>
      </c>
      <c r="AE24" s="302">
        <v>4</v>
      </c>
    </row>
    <row r="25" spans="1:31" x14ac:dyDescent="0.3">
      <c r="A25" s="387" t="s">
        <v>17</v>
      </c>
      <c r="B25" s="388" t="str">
        <f>'Master Calculator'!B30</f>
        <v>KAAMLESH</v>
      </c>
      <c r="C25" s="99"/>
      <c r="D25" s="389">
        <f>'Master Calculator'!D30</f>
        <v>24</v>
      </c>
      <c r="E25" s="99">
        <f>'Master Calculator'!E30</f>
        <v>6</v>
      </c>
      <c r="F25" s="390" t="str">
        <f>'Master Calculator'!F30</f>
        <v>FN</v>
      </c>
      <c r="G25" s="181" t="str">
        <f>'Master Calculator'!G30</f>
        <v>*</v>
      </c>
      <c r="H25" s="99"/>
      <c r="I25" s="99"/>
      <c r="J25" s="391" t="s">
        <v>190</v>
      </c>
      <c r="K25" s="346"/>
      <c r="L25" s="346"/>
      <c r="M25" s="392" t="s">
        <v>12</v>
      </c>
      <c r="N25" s="393" t="s">
        <v>13</v>
      </c>
      <c r="O25" s="127"/>
      <c r="P25" s="127"/>
      <c r="T25" s="144"/>
      <c r="U25" s="513" t="s">
        <v>245</v>
      </c>
      <c r="V25" s="392">
        <f>U15+U17+U19+U21</f>
        <v>3</v>
      </c>
      <c r="W25" s="144"/>
      <c r="X25" s="144"/>
      <c r="Y25" s="144"/>
      <c r="Z25" s="304" t="s">
        <v>61</v>
      </c>
      <c r="AA25" s="304">
        <v>5</v>
      </c>
      <c r="AC25" s="302">
        <v>23</v>
      </c>
      <c r="AD25" s="302" t="s">
        <v>249</v>
      </c>
      <c r="AE25" s="302">
        <v>5</v>
      </c>
    </row>
    <row r="26" spans="1:31" x14ac:dyDescent="0.3">
      <c r="A26" s="387" t="s">
        <v>30</v>
      </c>
      <c r="B26" s="388">
        <f>'Master Calculator'!B31</f>
        <v>0</v>
      </c>
      <c r="C26" s="99"/>
      <c r="D26" s="389">
        <f>'Master Calculator'!D31</f>
        <v>0</v>
      </c>
      <c r="E26" s="99">
        <f>'Master Calculator'!E31</f>
        <v>0</v>
      </c>
      <c r="F26" s="99"/>
      <c r="G26" s="134"/>
      <c r="H26" s="99"/>
      <c r="I26" s="99"/>
      <c r="J26" s="394" t="s">
        <v>18</v>
      </c>
      <c r="K26" s="346"/>
      <c r="L26" s="515">
        <f>'Master Calculator'!L31</f>
        <v>2</v>
      </c>
      <c r="M26" s="346">
        <f ca="1">'Master Calculator'!M31</f>
        <v>0</v>
      </c>
      <c r="N26" s="393" t="str">
        <f ca="1">'Master Calculator'!N31</f>
        <v>Active</v>
      </c>
      <c r="O26" s="127"/>
      <c r="P26" s="127"/>
      <c r="T26" s="127"/>
      <c r="U26" s="127"/>
      <c r="V26" s="144"/>
      <c r="W26" s="127"/>
      <c r="X26" s="144"/>
      <c r="Y26" s="127"/>
      <c r="Z26" s="304" t="s">
        <v>52</v>
      </c>
      <c r="AA26" s="304">
        <v>1</v>
      </c>
      <c r="AC26" s="302">
        <v>24</v>
      </c>
      <c r="AD26" s="302" t="s">
        <v>249</v>
      </c>
      <c r="AE26" s="302">
        <v>6</v>
      </c>
    </row>
    <row r="27" spans="1:31" x14ac:dyDescent="0.3">
      <c r="A27" s="387" t="s">
        <v>37</v>
      </c>
      <c r="B27" s="388">
        <f>'Master Calculator'!B32</f>
        <v>0</v>
      </c>
      <c r="C27" s="99"/>
      <c r="D27" s="389">
        <f>'Master Calculator'!D32</f>
        <v>0</v>
      </c>
      <c r="E27" s="99">
        <f>'Master Calculator'!E32</f>
        <v>0</v>
      </c>
      <c r="F27" s="99"/>
      <c r="G27" s="134"/>
      <c r="H27" s="99"/>
      <c r="I27" s="99"/>
      <c r="J27" s="394" t="s">
        <v>25</v>
      </c>
      <c r="K27" s="346"/>
      <c r="L27" s="515">
        <f ca="1">'Master Calculator'!L32</f>
        <v>2</v>
      </c>
      <c r="M27" s="346"/>
      <c r="N27" s="395"/>
      <c r="O27" s="127"/>
      <c r="P27" s="127"/>
      <c r="T27" s="127"/>
      <c r="U27" s="127"/>
      <c r="V27" s="144"/>
      <c r="W27" s="127"/>
      <c r="X27" s="127"/>
      <c r="Y27" s="127"/>
      <c r="Z27" s="304" t="s">
        <v>58</v>
      </c>
      <c r="AA27" s="304">
        <v>7</v>
      </c>
      <c r="AC27" s="302">
        <v>25</v>
      </c>
      <c r="AD27" s="302" t="s">
        <v>249</v>
      </c>
      <c r="AE27" s="302">
        <v>7</v>
      </c>
    </row>
    <row r="28" spans="1:31" ht="15" thickBot="1" x14ac:dyDescent="0.35">
      <c r="A28" s="396"/>
      <c r="B28" s="397"/>
      <c r="C28" s="397"/>
      <c r="D28" s="398">
        <f>'Master Calculator'!D33</f>
        <v>24</v>
      </c>
      <c r="E28" s="397">
        <f>'Master Calculator'!E33</f>
        <v>6</v>
      </c>
      <c r="F28" s="399" t="str">
        <f>'Master Calculator'!F33</f>
        <v>EXP</v>
      </c>
      <c r="G28" s="400" t="str">
        <f>'Master Calculator'!G33</f>
        <v>*</v>
      </c>
      <c r="H28" s="99"/>
      <c r="I28" s="99"/>
      <c r="J28" s="394" t="s">
        <v>24</v>
      </c>
      <c r="K28" s="346">
        <f>'Master Calculator'!K33</f>
        <v>24</v>
      </c>
      <c r="L28" s="515">
        <f>'Master Calculator'!L33</f>
        <v>6</v>
      </c>
      <c r="M28" s="346" t="str">
        <f>'Master Calculator'!M33</f>
        <v>G</v>
      </c>
      <c r="N28" s="395" t="str">
        <f ca="1">'Master Calculator'!N33</f>
        <v>G</v>
      </c>
      <c r="O28" s="127"/>
      <c r="P28" s="127"/>
      <c r="T28" s="127"/>
      <c r="U28" s="127"/>
      <c r="V28" s="144"/>
      <c r="W28" s="127"/>
      <c r="X28" s="127"/>
      <c r="Y28" s="184"/>
      <c r="Z28" s="304" t="s">
        <v>63</v>
      </c>
      <c r="AA28" s="304">
        <v>1</v>
      </c>
      <c r="AC28" s="302">
        <v>26</v>
      </c>
      <c r="AD28" s="302" t="s">
        <v>249</v>
      </c>
      <c r="AE28" s="302">
        <v>8</v>
      </c>
    </row>
    <row r="29" spans="1:31" x14ac:dyDescent="0.3">
      <c r="A29" s="99"/>
      <c r="B29" s="99"/>
      <c r="C29" s="99"/>
      <c r="D29" s="132"/>
      <c r="E29" s="99"/>
      <c r="F29" s="99"/>
      <c r="G29" s="99"/>
      <c r="H29" s="99"/>
      <c r="I29" s="99"/>
      <c r="J29" s="394" t="s">
        <v>31</v>
      </c>
      <c r="K29" s="346">
        <f>'Master Calculator'!K34</f>
        <v>24</v>
      </c>
      <c r="L29" s="515">
        <f>'Master Calculator'!L34</f>
        <v>6</v>
      </c>
      <c r="M29" s="346" t="str">
        <f>'Master Calculator'!M34</f>
        <v>G</v>
      </c>
      <c r="N29" s="395" t="str">
        <f ca="1">'Master Calculator'!N34</f>
        <v>G</v>
      </c>
      <c r="O29" s="127"/>
      <c r="P29" s="127"/>
      <c r="T29" s="127"/>
      <c r="U29" s="127"/>
      <c r="V29" s="144"/>
      <c r="W29" s="127"/>
      <c r="X29" s="127"/>
      <c r="Y29" s="184"/>
      <c r="Z29" s="304" t="s">
        <v>59</v>
      </c>
      <c r="AA29" s="304">
        <v>2</v>
      </c>
      <c r="AC29" s="302">
        <v>27</v>
      </c>
      <c r="AD29" s="302" t="s">
        <v>249</v>
      </c>
      <c r="AE29" s="302">
        <v>9</v>
      </c>
    </row>
    <row r="30" spans="1:31" x14ac:dyDescent="0.3">
      <c r="A30" s="99"/>
      <c r="B30" s="99"/>
      <c r="C30" s="99"/>
      <c r="D30" s="132"/>
      <c r="E30" s="99"/>
      <c r="F30" s="99"/>
      <c r="G30" s="99"/>
      <c r="H30" s="99"/>
      <c r="I30" s="99"/>
      <c r="J30" s="394" t="s">
        <v>32</v>
      </c>
      <c r="K30" s="346">
        <f>'Master Calculator'!K35</f>
        <v>7</v>
      </c>
      <c r="L30" s="515">
        <f>'Master Calculator'!L35</f>
        <v>7</v>
      </c>
      <c r="M30" s="346" t="str">
        <f>'Master Calculator'!M35</f>
        <v>VG</v>
      </c>
      <c r="N30" s="395" t="str">
        <f ca="1">'Master Calculator'!N35</f>
        <v>VG</v>
      </c>
      <c r="O30" s="127"/>
      <c r="P30" s="127"/>
      <c r="T30" s="127"/>
      <c r="U30" s="127"/>
      <c r="V30" s="144"/>
      <c r="W30" s="127"/>
      <c r="X30" s="127"/>
      <c r="Y30" s="184"/>
      <c r="Z30" s="304" t="s">
        <v>64</v>
      </c>
      <c r="AA30" s="304">
        <v>3</v>
      </c>
      <c r="AC30" s="302">
        <v>28</v>
      </c>
      <c r="AD30" s="302" t="s">
        <v>249</v>
      </c>
      <c r="AE30" s="302">
        <v>1</v>
      </c>
    </row>
    <row r="31" spans="1:31" ht="15" thickBot="1" x14ac:dyDescent="0.35">
      <c r="A31" s="99"/>
      <c r="B31" s="99"/>
      <c r="C31" s="99"/>
      <c r="D31" s="132"/>
      <c r="E31" s="99"/>
      <c r="F31" s="99"/>
      <c r="G31" s="99"/>
      <c r="H31" s="99"/>
      <c r="I31" s="99"/>
      <c r="J31" s="401" t="s">
        <v>35</v>
      </c>
      <c r="K31" s="402">
        <f>'Master Calculator'!K36</f>
        <v>17</v>
      </c>
      <c r="L31" s="403">
        <f>'Master Calculator'!L36</f>
        <v>8</v>
      </c>
      <c r="M31" s="402" t="str">
        <f>'Master Calculator'!M36</f>
        <v>A</v>
      </c>
      <c r="N31" s="404" t="str">
        <f ca="1">'Master Calculator'!N36</f>
        <v>A</v>
      </c>
      <c r="T31" s="127"/>
      <c r="U31" s="127"/>
      <c r="V31" s="144"/>
      <c r="W31" s="127"/>
      <c r="X31" s="127"/>
      <c r="Y31" s="184"/>
      <c r="Z31" s="304" t="s">
        <v>60</v>
      </c>
      <c r="AA31" s="304">
        <v>4</v>
      </c>
      <c r="AC31" s="302">
        <v>29</v>
      </c>
      <c r="AD31" s="302" t="s">
        <v>249</v>
      </c>
      <c r="AE31" s="302">
        <v>2</v>
      </c>
    </row>
    <row r="32" spans="1:31" ht="15" thickBot="1" x14ac:dyDescent="0.35">
      <c r="Z32" s="304" t="s">
        <v>51</v>
      </c>
      <c r="AA32" s="304">
        <v>5</v>
      </c>
      <c r="AC32" s="302">
        <v>30</v>
      </c>
      <c r="AD32" s="302" t="s">
        <v>248</v>
      </c>
      <c r="AE32" s="302">
        <v>0</v>
      </c>
    </row>
    <row r="33" spans="1:31" x14ac:dyDescent="0.3">
      <c r="A33" s="622" t="s">
        <v>192</v>
      </c>
      <c r="B33" s="623"/>
      <c r="C33" s="383"/>
      <c r="D33" s="193"/>
      <c r="E33" s="383"/>
      <c r="F33" s="383"/>
      <c r="G33" s="384"/>
      <c r="H33" s="135"/>
      <c r="I33" s="135"/>
      <c r="J33" s="385"/>
      <c r="K33" s="386"/>
      <c r="L33" s="386"/>
      <c r="M33" s="624" t="s">
        <v>99</v>
      </c>
      <c r="N33" s="625"/>
      <c r="Z33" s="304" t="s">
        <v>56</v>
      </c>
      <c r="AA33" s="304">
        <v>6</v>
      </c>
      <c r="AC33" s="302">
        <v>31</v>
      </c>
      <c r="AD33" s="302" t="s">
        <v>249</v>
      </c>
      <c r="AE33" s="302">
        <v>4</v>
      </c>
    </row>
    <row r="34" spans="1:31" x14ac:dyDescent="0.3">
      <c r="A34" s="387" t="s">
        <v>17</v>
      </c>
      <c r="B34" s="388" t="str">
        <f>'Master Calculator'!B40</f>
        <v>KAMLESH</v>
      </c>
      <c r="C34" s="99"/>
      <c r="D34" s="389">
        <f>'Master Calculator'!D40</f>
        <v>23</v>
      </c>
      <c r="E34" s="99">
        <f>'Master Calculator'!E40</f>
        <v>5</v>
      </c>
      <c r="F34" s="390" t="str">
        <f>'Master Calculator'!F40</f>
        <v>FN</v>
      </c>
      <c r="G34" s="181" t="str">
        <f>'Master Calculator'!G40</f>
        <v>*</v>
      </c>
      <c r="H34" s="99"/>
      <c r="I34" s="99"/>
      <c r="J34" s="391" t="s">
        <v>199</v>
      </c>
      <c r="K34" s="346"/>
      <c r="L34" s="346"/>
      <c r="M34" s="392" t="s">
        <v>12</v>
      </c>
      <c r="N34" s="393" t="s">
        <v>13</v>
      </c>
      <c r="Z34" s="304" t="s">
        <v>62</v>
      </c>
      <c r="AA34" s="304">
        <v>7</v>
      </c>
    </row>
    <row r="35" spans="1:31" x14ac:dyDescent="0.3">
      <c r="A35" s="387" t="s">
        <v>30</v>
      </c>
      <c r="B35" s="388" t="str">
        <f>'Master Calculator'!B41</f>
        <v>VIJAY</v>
      </c>
      <c r="C35" s="99"/>
      <c r="D35" s="389">
        <f>'Master Calculator'!D41</f>
        <v>10</v>
      </c>
      <c r="E35" s="99">
        <f>'Master Calculator'!E41</f>
        <v>1</v>
      </c>
      <c r="F35" s="99"/>
      <c r="G35" s="134"/>
      <c r="H35" s="99"/>
      <c r="I35" s="99"/>
      <c r="J35" s="394" t="s">
        <v>18</v>
      </c>
      <c r="K35" s="346"/>
      <c r="L35" s="515">
        <f>'Master Calculator'!L41</f>
        <v>2</v>
      </c>
      <c r="M35" s="346">
        <f ca="1">'Master Calculator'!M41</f>
        <v>0</v>
      </c>
      <c r="N35" s="393" t="str">
        <f ca="1">'Master Calculator'!N41</f>
        <v>Active</v>
      </c>
      <c r="Z35" s="304" t="s">
        <v>23</v>
      </c>
      <c r="AA35" s="304">
        <v>8</v>
      </c>
    </row>
    <row r="36" spans="1:31" x14ac:dyDescent="0.3">
      <c r="A36" s="387" t="s">
        <v>37</v>
      </c>
      <c r="B36" s="388">
        <f>'Master Calculator'!B42</f>
        <v>0</v>
      </c>
      <c r="C36" s="99"/>
      <c r="D36" s="389">
        <f>'Master Calculator'!D42</f>
        <v>0</v>
      </c>
      <c r="E36" s="99">
        <f>'Master Calculator'!E42</f>
        <v>0</v>
      </c>
      <c r="F36" s="99"/>
      <c r="G36" s="134"/>
      <c r="H36" s="99"/>
      <c r="I36" s="99"/>
      <c r="J36" s="394" t="s">
        <v>25</v>
      </c>
      <c r="K36" s="346"/>
      <c r="L36" s="515">
        <f ca="1">'Master Calculator'!L42</f>
        <v>2</v>
      </c>
      <c r="M36" s="346"/>
      <c r="N36" s="395"/>
      <c r="Z36" s="304" t="s">
        <v>48</v>
      </c>
      <c r="AA36" s="304">
        <v>9</v>
      </c>
    </row>
    <row r="37" spans="1:31" ht="15" thickBot="1" x14ac:dyDescent="0.35">
      <c r="A37" s="396"/>
      <c r="B37" s="397"/>
      <c r="C37" s="397"/>
      <c r="D37" s="398">
        <f>'Master Calculator'!D43</f>
        <v>33</v>
      </c>
      <c r="E37" s="397">
        <f>'Master Calculator'!E43</f>
        <v>6</v>
      </c>
      <c r="F37" s="399" t="str">
        <f>'Master Calculator'!F43</f>
        <v>EXP</v>
      </c>
      <c r="G37" s="400" t="str">
        <f>'Master Calculator'!G43</f>
        <v>√</v>
      </c>
      <c r="H37" s="99"/>
      <c r="I37" s="99"/>
      <c r="J37" s="394" t="s">
        <v>24</v>
      </c>
      <c r="K37" s="346">
        <f>'Master Calculator'!K43</f>
        <v>23</v>
      </c>
      <c r="L37" s="515">
        <f>'Master Calculator'!L43</f>
        <v>5</v>
      </c>
      <c r="M37" s="346" t="str">
        <f>'Master Calculator'!M43</f>
        <v>F</v>
      </c>
      <c r="N37" s="395" t="str">
        <f ca="1">'Master Calculator'!N43</f>
        <v>F</v>
      </c>
      <c r="Z37" s="304" t="s">
        <v>57</v>
      </c>
      <c r="AA37" s="304">
        <v>0</v>
      </c>
    </row>
    <row r="38" spans="1:31" x14ac:dyDescent="0.3">
      <c r="A38" s="99"/>
      <c r="B38" s="99"/>
      <c r="C38" s="99"/>
      <c r="D38" s="132"/>
      <c r="E38" s="99"/>
      <c r="F38" s="99"/>
      <c r="G38" s="99"/>
      <c r="H38" s="99"/>
      <c r="I38" s="99"/>
      <c r="J38" s="394" t="s">
        <v>31</v>
      </c>
      <c r="K38" s="346">
        <f>'Master Calculator'!K44</f>
        <v>33</v>
      </c>
      <c r="L38" s="515">
        <f>'Master Calculator'!L44</f>
        <v>6</v>
      </c>
      <c r="M38" s="346" t="str">
        <f>'Master Calculator'!M44</f>
        <v>G</v>
      </c>
      <c r="N38" s="395" t="str">
        <f ca="1">'Master Calculator'!N44</f>
        <v>G</v>
      </c>
      <c r="Z38" s="304">
        <v>1</v>
      </c>
    </row>
    <row r="39" spans="1:31" x14ac:dyDescent="0.3">
      <c r="A39" s="99"/>
      <c r="B39" s="99"/>
      <c r="C39" s="99"/>
      <c r="D39" s="132"/>
      <c r="E39" s="99"/>
      <c r="F39" s="99"/>
      <c r="G39" s="99"/>
      <c r="H39" s="99"/>
      <c r="I39" s="99"/>
      <c r="J39" s="394" t="s">
        <v>32</v>
      </c>
      <c r="K39" s="346">
        <f>'Master Calculator'!K45</f>
        <v>8</v>
      </c>
      <c r="L39" s="515">
        <f>'Master Calculator'!L45</f>
        <v>8</v>
      </c>
      <c r="M39" s="346" t="str">
        <f>'Master Calculator'!M45</f>
        <v>A</v>
      </c>
      <c r="N39" s="395" t="str">
        <f ca="1">'Master Calculator'!N45</f>
        <v>A</v>
      </c>
      <c r="Z39" s="304">
        <v>2</v>
      </c>
    </row>
    <row r="40" spans="1:31" ht="15" thickBot="1" x14ac:dyDescent="0.35">
      <c r="A40" s="99"/>
      <c r="B40" s="99"/>
      <c r="C40" s="99"/>
      <c r="D40" s="132"/>
      <c r="E40" s="99"/>
      <c r="F40" s="99"/>
      <c r="G40" s="99"/>
      <c r="H40" s="99"/>
      <c r="I40" s="99"/>
      <c r="J40" s="401" t="s">
        <v>35</v>
      </c>
      <c r="K40" s="402">
        <f>'Master Calculator'!K46</f>
        <v>25</v>
      </c>
      <c r="L40" s="403">
        <f>'Master Calculator'!L46</f>
        <v>7</v>
      </c>
      <c r="M40" s="402" t="str">
        <f>'Master Calculator'!M46</f>
        <v>VG</v>
      </c>
      <c r="N40" s="404" t="str">
        <f ca="1">'Master Calculator'!N46</f>
        <v>VG</v>
      </c>
      <c r="Z40" s="304">
        <v>3</v>
      </c>
    </row>
    <row r="41" spans="1:31" ht="15" thickBot="1" x14ac:dyDescent="0.35">
      <c r="Z41" s="304">
        <v>4</v>
      </c>
    </row>
    <row r="42" spans="1:31" x14ac:dyDescent="0.3">
      <c r="A42" s="622" t="s">
        <v>193</v>
      </c>
      <c r="B42" s="623"/>
      <c r="C42" s="383"/>
      <c r="D42" s="193"/>
      <c r="E42" s="383"/>
      <c r="F42" s="383"/>
      <c r="G42" s="384"/>
      <c r="H42" s="135"/>
      <c r="I42" s="135"/>
      <c r="J42" s="385"/>
      <c r="K42" s="386"/>
      <c r="L42" s="386"/>
      <c r="M42" s="624" t="s">
        <v>99</v>
      </c>
      <c r="N42" s="625"/>
      <c r="Z42" s="304">
        <v>5</v>
      </c>
    </row>
    <row r="43" spans="1:31" x14ac:dyDescent="0.3">
      <c r="A43" s="387" t="s">
        <v>17</v>
      </c>
      <c r="B43" s="388">
        <f>'Master Calculator'!B51</f>
        <v>0</v>
      </c>
      <c r="C43" s="99"/>
      <c r="D43" s="389">
        <f>'Master Calculator'!D51</f>
        <v>0</v>
      </c>
      <c r="E43" s="99">
        <f>'Master Calculator'!E51</f>
        <v>0</v>
      </c>
      <c r="F43" s="390" t="str">
        <f>'Master Calculator'!F51</f>
        <v>FN</v>
      </c>
      <c r="G43" s="181" t="e">
        <f>'Master Calculator'!G51</f>
        <v>#N/A</v>
      </c>
      <c r="H43" s="99"/>
      <c r="I43" s="99"/>
      <c r="J43" s="391" t="s">
        <v>200</v>
      </c>
      <c r="K43" s="346"/>
      <c r="L43" s="346"/>
      <c r="M43" s="392" t="s">
        <v>12</v>
      </c>
      <c r="N43" s="393" t="s">
        <v>13</v>
      </c>
      <c r="Z43" s="304">
        <v>6</v>
      </c>
    </row>
    <row r="44" spans="1:31" x14ac:dyDescent="0.3">
      <c r="A44" s="387" t="s">
        <v>30</v>
      </c>
      <c r="B44" s="388">
        <f>'Master Calculator'!B52</f>
        <v>0</v>
      </c>
      <c r="C44" s="99"/>
      <c r="D44" s="389">
        <f>'Master Calculator'!D52</f>
        <v>0</v>
      </c>
      <c r="E44" s="99">
        <f>'Master Calculator'!E52</f>
        <v>0</v>
      </c>
      <c r="F44" s="99"/>
      <c r="G44" s="134"/>
      <c r="H44" s="99"/>
      <c r="I44" s="99"/>
      <c r="J44" s="394" t="s">
        <v>18</v>
      </c>
      <c r="K44" s="346"/>
      <c r="L44" s="515">
        <f>'Master Calculator'!L52</f>
        <v>2</v>
      </c>
      <c r="M44" s="346">
        <f ca="1">'Master Calculator'!M52</f>
        <v>0</v>
      </c>
      <c r="N44" s="393" t="str">
        <f ca="1">'Master Calculator'!N52</f>
        <v>Active</v>
      </c>
      <c r="Z44" s="304">
        <v>7</v>
      </c>
    </row>
    <row r="45" spans="1:31" x14ac:dyDescent="0.3">
      <c r="A45" s="387" t="s">
        <v>37</v>
      </c>
      <c r="B45" s="388">
        <f>'Master Calculator'!B53</f>
        <v>0</v>
      </c>
      <c r="C45" s="99"/>
      <c r="D45" s="389">
        <f>'Master Calculator'!D53</f>
        <v>0</v>
      </c>
      <c r="E45" s="99">
        <f>'Master Calculator'!E53</f>
        <v>0</v>
      </c>
      <c r="F45" s="99"/>
      <c r="G45" s="134"/>
      <c r="H45" s="99"/>
      <c r="I45" s="99"/>
      <c r="J45" s="394" t="s">
        <v>25</v>
      </c>
      <c r="K45" s="346"/>
      <c r="L45" s="515">
        <f ca="1">'Master Calculator'!L53</f>
        <v>2</v>
      </c>
      <c r="M45" s="346"/>
      <c r="N45" s="395"/>
      <c r="Z45" s="304">
        <v>8</v>
      </c>
    </row>
    <row r="46" spans="1:31" ht="15" thickBot="1" x14ac:dyDescent="0.35">
      <c r="A46" s="396"/>
      <c r="B46" s="397"/>
      <c r="C46" s="397"/>
      <c r="D46" s="398">
        <f>'Master Calculator'!D54</f>
        <v>0</v>
      </c>
      <c r="E46" s="397">
        <f>'Master Calculator'!E54</f>
        <v>0</v>
      </c>
      <c r="F46" s="399" t="str">
        <f>'Master Calculator'!F54</f>
        <v>EXP</v>
      </c>
      <c r="G46" s="400" t="e">
        <f>'Master Calculator'!G54</f>
        <v>#N/A</v>
      </c>
      <c r="H46" s="99"/>
      <c r="I46" s="99"/>
      <c r="J46" s="394" t="s">
        <v>24</v>
      </c>
      <c r="K46" s="346">
        <f>'Master Calculator'!K54</f>
        <v>0</v>
      </c>
      <c r="L46" s="515">
        <f>'Master Calculator'!L54</f>
        <v>9</v>
      </c>
      <c r="M46" s="346" t="str">
        <f>'Master Calculator'!M54</f>
        <v>A</v>
      </c>
      <c r="N46" s="395" t="str">
        <f ca="1">'Master Calculator'!N54</f>
        <v>A</v>
      </c>
      <c r="Z46" s="304">
        <v>9</v>
      </c>
    </row>
    <row r="47" spans="1:31" x14ac:dyDescent="0.3">
      <c r="A47" s="99"/>
      <c r="B47" s="99"/>
      <c r="C47" s="99"/>
      <c r="D47" s="132"/>
      <c r="E47" s="99"/>
      <c r="F47" s="99"/>
      <c r="G47" s="99"/>
      <c r="H47" s="99"/>
      <c r="I47" s="99"/>
      <c r="J47" s="394" t="s">
        <v>31</v>
      </c>
      <c r="K47" s="346">
        <f>'Master Calculator'!K55</f>
        <v>0</v>
      </c>
      <c r="L47" s="515">
        <f>'Master Calculator'!L55</f>
        <v>9</v>
      </c>
      <c r="M47" s="346" t="str">
        <f>'Master Calculator'!M55</f>
        <v>A</v>
      </c>
      <c r="N47" s="395" t="str">
        <f ca="1">'Master Calculator'!N55</f>
        <v>A</v>
      </c>
      <c r="Z47" s="304">
        <v>0</v>
      </c>
    </row>
    <row r="48" spans="1:31" x14ac:dyDescent="0.3">
      <c r="A48" s="99"/>
      <c r="B48" s="99"/>
      <c r="C48" s="99"/>
      <c r="D48" s="132"/>
      <c r="E48" s="99"/>
      <c r="F48" s="99"/>
      <c r="G48" s="99"/>
      <c r="H48" s="99"/>
      <c r="I48" s="99"/>
      <c r="J48" s="394" t="s">
        <v>32</v>
      </c>
      <c r="K48" s="346">
        <f>'Master Calculator'!K56</f>
        <v>0</v>
      </c>
      <c r="L48" s="515">
        <f>'Master Calculator'!L56</f>
        <v>9</v>
      </c>
      <c r="M48" s="346" t="str">
        <f>'Master Calculator'!M56</f>
        <v>A</v>
      </c>
      <c r="N48" s="395" t="str">
        <f ca="1">'Master Calculator'!N56</f>
        <v>A</v>
      </c>
    </row>
    <row r="49" spans="1:14" ht="15" thickBot="1" x14ac:dyDescent="0.35">
      <c r="A49" s="99"/>
      <c r="B49" s="99"/>
      <c r="C49" s="99"/>
      <c r="D49" s="132"/>
      <c r="E49" s="99"/>
      <c r="F49" s="99"/>
      <c r="G49" s="99"/>
      <c r="H49" s="99"/>
      <c r="I49" s="99"/>
      <c r="J49" s="401" t="s">
        <v>35</v>
      </c>
      <c r="K49" s="402">
        <f>'Master Calculator'!K57</f>
        <v>0</v>
      </c>
      <c r="L49" s="403">
        <f>'Master Calculator'!L57</f>
        <v>9</v>
      </c>
      <c r="M49" s="402" t="str">
        <f>'Master Calculator'!M57</f>
        <v>A</v>
      </c>
      <c r="N49" s="404" t="str">
        <f ca="1">'Master Calculator'!N57</f>
        <v>A</v>
      </c>
    </row>
  </sheetData>
  <mergeCells count="18">
    <mergeCell ref="A33:B33"/>
    <mergeCell ref="M33:N33"/>
    <mergeCell ref="A14:B14"/>
    <mergeCell ref="M14:N14"/>
    <mergeCell ref="A42:B42"/>
    <mergeCell ref="M42:N42"/>
    <mergeCell ref="A24:B24"/>
    <mergeCell ref="M24:N24"/>
    <mergeCell ref="T13:V13"/>
    <mergeCell ref="B2:C2"/>
    <mergeCell ref="X11:X12"/>
    <mergeCell ref="D5:E5"/>
    <mergeCell ref="G5:H5"/>
    <mergeCell ref="J5:M5"/>
    <mergeCell ref="D6:E6"/>
    <mergeCell ref="G6:H6"/>
    <mergeCell ref="J6:M6"/>
    <mergeCell ref="X3:X4"/>
  </mergeCells>
  <conditionalFormatting sqref="U5:W10">
    <cfRule type="cellIs" dxfId="203" priority="66" operator="equal">
      <formula>0</formula>
    </cfRule>
  </conditionalFormatting>
  <conditionalFormatting sqref="U8:W8 U10:W10 U6:W6">
    <cfRule type="cellIs" dxfId="202" priority="65" operator="greaterThanOrEqual">
      <formula>1</formula>
    </cfRule>
  </conditionalFormatting>
  <conditionalFormatting sqref="W28:W31">
    <cfRule type="cellIs" dxfId="201" priority="64" operator="equal">
      <formula>"A"</formula>
    </cfRule>
  </conditionalFormatting>
  <conditionalFormatting sqref="X28:X31">
    <cfRule type="cellIs" dxfId="200" priority="61" operator="equal">
      <formula>"SA"</formula>
    </cfRule>
    <cfRule type="cellIs" dxfId="199" priority="63" operator="equal">
      <formula>"A"</formula>
    </cfRule>
  </conditionalFormatting>
  <conditionalFormatting sqref="W28">
    <cfRule type="cellIs" dxfId="198" priority="62" operator="equal">
      <formula>"SA"</formula>
    </cfRule>
  </conditionalFormatting>
  <conditionalFormatting sqref="W26">
    <cfRule type="cellIs" dxfId="197" priority="60" operator="equal">
      <formula>"Active"</formula>
    </cfRule>
  </conditionalFormatting>
  <conditionalFormatting sqref="X26">
    <cfRule type="cellIs" dxfId="196" priority="59" operator="equal">
      <formula>"Active"</formula>
    </cfRule>
  </conditionalFormatting>
  <conditionalFormatting sqref="M28">
    <cfRule type="cellIs" dxfId="195" priority="50" operator="equal">
      <formula>"SA"</formula>
    </cfRule>
    <cfRule type="cellIs" dxfId="194" priority="52" operator="equal">
      <formula>"A"</formula>
    </cfRule>
  </conditionalFormatting>
  <conditionalFormatting sqref="N28">
    <cfRule type="cellIs" dxfId="193" priority="49" operator="equal">
      <formula>"SA"</formula>
    </cfRule>
    <cfRule type="cellIs" dxfId="192" priority="51" operator="equal">
      <formula>"A"</formula>
    </cfRule>
  </conditionalFormatting>
  <conditionalFormatting sqref="M26">
    <cfRule type="cellIs" dxfId="191" priority="48" operator="equal">
      <formula>"Active"</formula>
    </cfRule>
  </conditionalFormatting>
  <conditionalFormatting sqref="N26">
    <cfRule type="cellIs" dxfId="190" priority="47" operator="equal">
      <formula>"Active"</formula>
    </cfRule>
  </conditionalFormatting>
  <conditionalFormatting sqref="M29:M31">
    <cfRule type="cellIs" dxfId="189" priority="44" operator="equal">
      <formula>"SA"</formula>
    </cfRule>
    <cfRule type="cellIs" dxfId="188" priority="46" operator="equal">
      <formula>"A"</formula>
    </cfRule>
  </conditionalFormatting>
  <conditionalFormatting sqref="N29:N31">
    <cfRule type="cellIs" dxfId="187" priority="43" operator="equal">
      <formula>"SA"</formula>
    </cfRule>
    <cfRule type="cellIs" dxfId="186" priority="45" operator="equal">
      <formula>"A"</formula>
    </cfRule>
  </conditionalFormatting>
  <conditionalFormatting sqref="G25">
    <cfRule type="cellIs" dxfId="185" priority="40" operator="equal">
      <formula>"√"</formula>
    </cfRule>
    <cfRule type="cellIs" dxfId="184" priority="41" operator="equal">
      <formula>"*"</formula>
    </cfRule>
    <cfRule type="cellIs" dxfId="183" priority="42" operator="equal">
      <formula>"X"</formula>
    </cfRule>
  </conditionalFormatting>
  <conditionalFormatting sqref="G28">
    <cfRule type="cellIs" dxfId="182" priority="37" operator="equal">
      <formula>"√"</formula>
    </cfRule>
    <cfRule type="cellIs" dxfId="181" priority="38" operator="equal">
      <formula>"*"</formula>
    </cfRule>
    <cfRule type="cellIs" dxfId="180" priority="39" operator="equal">
      <formula>"X"</formula>
    </cfRule>
  </conditionalFormatting>
  <conditionalFormatting sqref="G34">
    <cfRule type="cellIs" dxfId="179" priority="34" operator="equal">
      <formula>"√"</formula>
    </cfRule>
    <cfRule type="cellIs" dxfId="178" priority="35" operator="equal">
      <formula>"*"</formula>
    </cfRule>
    <cfRule type="cellIs" dxfId="177" priority="36" operator="equal">
      <formula>"X"</formula>
    </cfRule>
  </conditionalFormatting>
  <conditionalFormatting sqref="G37">
    <cfRule type="cellIs" dxfId="176" priority="31" operator="equal">
      <formula>"√"</formula>
    </cfRule>
    <cfRule type="cellIs" dxfId="175" priority="32" operator="equal">
      <formula>"*"</formula>
    </cfRule>
    <cfRule type="cellIs" dxfId="174" priority="33" operator="equal">
      <formula>"X"</formula>
    </cfRule>
  </conditionalFormatting>
  <conditionalFormatting sqref="M37:M40">
    <cfRule type="cellIs" dxfId="173" priority="28" operator="equal">
      <formula>"SA"</formula>
    </cfRule>
    <cfRule type="cellIs" dxfId="172" priority="30" operator="equal">
      <formula>"A"</formula>
    </cfRule>
  </conditionalFormatting>
  <conditionalFormatting sqref="N37:N40">
    <cfRule type="cellIs" dxfId="171" priority="27" operator="equal">
      <formula>"SA"</formula>
    </cfRule>
    <cfRule type="cellIs" dxfId="170" priority="29" operator="equal">
      <formula>"A"</formula>
    </cfRule>
  </conditionalFormatting>
  <conditionalFormatting sqref="M35">
    <cfRule type="cellIs" dxfId="169" priority="26" operator="equal">
      <formula>"Active"</formula>
    </cfRule>
  </conditionalFormatting>
  <conditionalFormatting sqref="N35">
    <cfRule type="cellIs" dxfId="168" priority="25" operator="equal">
      <formula>"Active"</formula>
    </cfRule>
  </conditionalFormatting>
  <conditionalFormatting sqref="G15">
    <cfRule type="cellIs" dxfId="167" priority="22" operator="equal">
      <formula>"√"</formula>
    </cfRule>
    <cfRule type="cellIs" dxfId="166" priority="23" operator="equal">
      <formula>"*"</formula>
    </cfRule>
    <cfRule type="cellIs" dxfId="165" priority="24" operator="equal">
      <formula>"X"</formula>
    </cfRule>
  </conditionalFormatting>
  <conditionalFormatting sqref="G18">
    <cfRule type="cellIs" dxfId="164" priority="19" operator="equal">
      <formula>"√"</formula>
    </cfRule>
    <cfRule type="cellIs" dxfId="163" priority="20" operator="equal">
      <formula>"*"</formula>
    </cfRule>
    <cfRule type="cellIs" dxfId="162" priority="21" operator="equal">
      <formula>"X"</formula>
    </cfRule>
  </conditionalFormatting>
  <conditionalFormatting sqref="M18:M21">
    <cfRule type="cellIs" dxfId="161" priority="16" operator="equal">
      <formula>"SA"</formula>
    </cfRule>
    <cfRule type="cellIs" dxfId="160" priority="18" operator="equal">
      <formula>"A"</formula>
    </cfRule>
  </conditionalFormatting>
  <conditionalFormatting sqref="N18:N21">
    <cfRule type="cellIs" dxfId="159" priority="15" operator="equal">
      <formula>"SA"</formula>
    </cfRule>
    <cfRule type="cellIs" dxfId="158" priority="17" operator="equal">
      <formula>"A"</formula>
    </cfRule>
  </conditionalFormatting>
  <conditionalFormatting sqref="M16">
    <cfRule type="cellIs" dxfId="157" priority="14" operator="equal">
      <formula>"Active"</formula>
    </cfRule>
  </conditionalFormatting>
  <conditionalFormatting sqref="N16">
    <cfRule type="cellIs" dxfId="156" priority="13" operator="equal">
      <formula>"Active"</formula>
    </cfRule>
  </conditionalFormatting>
  <conditionalFormatting sqref="G43">
    <cfRule type="cellIs" dxfId="155" priority="10" operator="equal">
      <formula>"√"</formula>
    </cfRule>
    <cfRule type="cellIs" dxfId="154" priority="11" operator="equal">
      <formula>"*"</formula>
    </cfRule>
    <cfRule type="cellIs" dxfId="153" priority="12" operator="equal">
      <formula>"X"</formula>
    </cfRule>
  </conditionalFormatting>
  <conditionalFormatting sqref="G46">
    <cfRule type="cellIs" dxfId="152" priority="7" operator="equal">
      <formula>"√"</formula>
    </cfRule>
    <cfRule type="cellIs" dxfId="151" priority="8" operator="equal">
      <formula>"*"</formula>
    </cfRule>
    <cfRule type="cellIs" dxfId="150" priority="9" operator="equal">
      <formula>"X"</formula>
    </cfRule>
  </conditionalFormatting>
  <conditionalFormatting sqref="M46:M49">
    <cfRule type="cellIs" dxfId="149" priority="4" operator="equal">
      <formula>"SA"</formula>
    </cfRule>
    <cfRule type="cellIs" dxfId="148" priority="6" operator="equal">
      <formula>"A"</formula>
    </cfRule>
  </conditionalFormatting>
  <conditionalFormatting sqref="N46:N49">
    <cfRule type="cellIs" dxfId="147" priority="3" operator="equal">
      <formula>"SA"</formula>
    </cfRule>
    <cfRule type="cellIs" dxfId="146" priority="5" operator="equal">
      <formula>"A"</formula>
    </cfRule>
  </conditionalFormatting>
  <conditionalFormatting sqref="M44">
    <cfRule type="cellIs" dxfId="145" priority="2" operator="equal">
      <formula>"Active"</formula>
    </cfRule>
  </conditionalFormatting>
  <conditionalFormatting sqref="N44">
    <cfRule type="cellIs" dxfId="144" priority="1" operator="equal">
      <formula>"Active"</formula>
    </cfRule>
  </conditionalFormatting>
  <pageMargins left="0.7" right="0.7" top="0.75" bottom="0.75"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CE367"/>
  <sheetViews>
    <sheetView topLeftCell="A3" zoomScale="88" workbookViewId="0">
      <selection activeCell="Q15" sqref="Q15"/>
    </sheetView>
  </sheetViews>
  <sheetFormatPr defaultColWidth="9.21875" defaultRowHeight="14.4" x14ac:dyDescent="0.3"/>
  <cols>
    <col min="1" max="1" width="14.21875" style="99" bestFit="1" customWidth="1"/>
    <col min="2" max="2" width="14" style="99" customWidth="1"/>
    <col min="3" max="3" width="17.21875" style="99" bestFit="1" customWidth="1"/>
    <col min="4" max="4" width="6" style="99" bestFit="1" customWidth="1"/>
    <col min="5" max="5" width="3.44140625" style="99" bestFit="1" customWidth="1"/>
    <col min="6" max="7" width="6" style="99" bestFit="1" customWidth="1"/>
    <col min="8" max="8" width="2.77734375" style="99" customWidth="1"/>
    <col min="9" max="9" width="5.77734375" style="99" bestFit="1" customWidth="1"/>
    <col min="10" max="10" width="3.5546875" style="99" bestFit="1" customWidth="1"/>
    <col min="11" max="12" width="2" style="99" bestFit="1" customWidth="1"/>
    <col min="13" max="13" width="3.21875" style="99" bestFit="1" customWidth="1"/>
    <col min="14" max="15" width="2" style="99" bestFit="1" customWidth="1"/>
    <col min="16" max="16" width="4.21875" style="99" customWidth="1"/>
    <col min="17" max="17" width="9" style="99" customWidth="1"/>
    <col min="18" max="18" width="3.21875" style="132" customWidth="1"/>
    <col min="19" max="19" width="3.21875" style="132" bestFit="1" customWidth="1"/>
    <col min="20" max="20" width="2" style="132" customWidth="1"/>
    <col min="21" max="21" width="3.21875" style="132" bestFit="1" customWidth="1"/>
    <col min="22" max="22" width="3.44140625" style="132" customWidth="1"/>
    <col min="23" max="23" width="2" style="132" customWidth="1"/>
    <col min="24" max="24" width="3.21875" style="132" bestFit="1" customWidth="1"/>
    <col min="25" max="25" width="4.21875" style="132" customWidth="1"/>
    <col min="26" max="26" width="1.77734375" style="132" customWidth="1"/>
    <col min="27" max="28" width="3.21875" style="132" bestFit="1" customWidth="1"/>
    <col min="29" max="29" width="1.77734375" style="132" customWidth="1"/>
    <col min="30" max="31" width="3.21875" style="132" bestFit="1" customWidth="1"/>
    <col min="32" max="32" width="1.21875" style="132" customWidth="1"/>
    <col min="33" max="34" width="3.21875" style="132" bestFit="1" customWidth="1"/>
    <col min="35" max="35" width="1.77734375" style="132" customWidth="1"/>
    <col min="36" max="37" width="3.21875" style="132" bestFit="1" customWidth="1"/>
    <col min="38" max="38" width="1.77734375" style="132" customWidth="1"/>
    <col min="39" max="40" width="3.21875" style="132" bestFit="1" customWidth="1"/>
    <col min="41" max="41" width="1.21875" style="132" customWidth="1"/>
    <col min="42" max="42" width="3.5546875" style="132" bestFit="1" customWidth="1"/>
    <col min="43" max="43" width="4.21875" style="132" customWidth="1"/>
    <col min="44" max="44" width="1.44140625" style="132" customWidth="1"/>
    <col min="45" max="45" width="3.5546875" style="132" bestFit="1" customWidth="1"/>
    <col min="46" max="46" width="3.21875" style="132" bestFit="1" customWidth="1"/>
    <col min="47" max="47" width="1.44140625" style="132" customWidth="1"/>
    <col min="48" max="48" width="3.5546875" style="132" bestFit="1" customWidth="1"/>
    <col min="49" max="49" width="3.5546875" style="132" customWidth="1"/>
    <col min="50" max="50" width="1.21875" style="132" customWidth="1"/>
    <col min="51" max="51" width="3.5546875" style="132" bestFit="1" customWidth="1"/>
    <col min="52" max="52" width="3.77734375" style="132" customWidth="1"/>
    <col min="53" max="78" width="9.21875" style="99"/>
    <col min="79" max="80" width="8.21875" style="99" bestFit="1" customWidth="1"/>
    <col min="81" max="81" width="11.21875" style="99" bestFit="1" customWidth="1"/>
    <col min="82" max="82" width="8.77734375" style="99" bestFit="1" customWidth="1"/>
    <col min="83" max="83" width="16.77734375" style="99" bestFit="1" customWidth="1"/>
    <col min="84" max="16384" width="9.21875" style="99"/>
  </cols>
  <sheetData>
    <row r="1" spans="1:83" ht="15" thickBot="1" x14ac:dyDescent="0.35">
      <c r="R1" s="626" t="s">
        <v>156</v>
      </c>
      <c r="S1" s="627"/>
      <c r="T1" s="191"/>
      <c r="U1" s="626" t="s">
        <v>157</v>
      </c>
      <c r="V1" s="627"/>
      <c r="W1" s="191"/>
      <c r="X1" s="626" t="s">
        <v>158</v>
      </c>
      <c r="Y1" s="627"/>
      <c r="Z1" s="191"/>
      <c r="AA1" s="626" t="s">
        <v>159</v>
      </c>
      <c r="AB1" s="627"/>
      <c r="AC1" s="191"/>
      <c r="AD1" s="626" t="s">
        <v>160</v>
      </c>
      <c r="AE1" s="627"/>
      <c r="AF1" s="191"/>
      <c r="AG1" s="626" t="s">
        <v>161</v>
      </c>
      <c r="AH1" s="627"/>
      <c r="AI1" s="191"/>
      <c r="AJ1" s="626" t="s">
        <v>162</v>
      </c>
      <c r="AK1" s="627"/>
      <c r="AL1" s="191"/>
      <c r="AM1" s="626" t="s">
        <v>163</v>
      </c>
      <c r="AN1" s="627"/>
      <c r="AO1" s="191"/>
      <c r="AP1" s="626" t="s">
        <v>164</v>
      </c>
      <c r="AQ1" s="627"/>
      <c r="AR1" s="191"/>
      <c r="AS1" s="626" t="s">
        <v>165</v>
      </c>
      <c r="AT1" s="627"/>
      <c r="AU1" s="191"/>
      <c r="AV1" s="626" t="s">
        <v>166</v>
      </c>
      <c r="AW1" s="628"/>
      <c r="AX1" s="191"/>
      <c r="AY1" s="626" t="s">
        <v>167</v>
      </c>
      <c r="AZ1" s="627"/>
      <c r="CA1" s="171" t="s">
        <v>125</v>
      </c>
      <c r="CB1" s="171" t="s">
        <v>125</v>
      </c>
      <c r="CC1" s="171" t="s">
        <v>126</v>
      </c>
      <c r="CD1" s="171" t="s">
        <v>128</v>
      </c>
      <c r="CE1" s="171" t="str">
        <f t="shared" ref="CE1:CE64" si="0">CC1&amp;" - "&amp;CD1</f>
        <v>Zodiac - Element</v>
      </c>
    </row>
    <row r="2" spans="1:83" ht="29.4" thickBot="1" x14ac:dyDescent="0.35">
      <c r="B2" s="121"/>
      <c r="C2" s="122"/>
      <c r="D2" s="118" t="s">
        <v>29</v>
      </c>
      <c r="E2" s="118" t="s">
        <v>29</v>
      </c>
      <c r="F2" s="118"/>
      <c r="G2" s="118" t="s">
        <v>47</v>
      </c>
      <c r="H2" s="118" t="s">
        <v>47</v>
      </c>
      <c r="I2" s="118"/>
      <c r="J2" s="118" t="s">
        <v>48</v>
      </c>
      <c r="K2" s="118" t="s">
        <v>48</v>
      </c>
      <c r="L2" s="118" t="s">
        <v>48</v>
      </c>
      <c r="M2" s="118" t="s">
        <v>48</v>
      </c>
      <c r="N2" s="142"/>
      <c r="Q2" s="124" t="s">
        <v>168</v>
      </c>
      <c r="R2" s="170">
        <v>1</v>
      </c>
      <c r="S2" s="125">
        <f ca="1">IF(LEN(R2+$F$16)&gt;1,LEFT(R2+$F$16,1)+RIGHT(R2+$F$16,1),R2+$F$16)</f>
        <v>4</v>
      </c>
      <c r="T2" s="192"/>
      <c r="U2" s="170">
        <v>2</v>
      </c>
      <c r="V2" s="125">
        <f ca="1">IF(LEN(U2+$F$16)&gt;1,LEFT(U2+$F$16,1)+RIGHT(U2+$F$16,1),U2+$F$16)</f>
        <v>5</v>
      </c>
      <c r="W2" s="194"/>
      <c r="X2" s="170">
        <v>3</v>
      </c>
      <c r="Y2" s="125">
        <f ca="1">IF(LEN(X2+$F$16)&gt;1,LEFT(X2+$F$16,1)+RIGHT(X2+$F$16,1),X2+$F$16)</f>
        <v>6</v>
      </c>
      <c r="Z2" s="192"/>
      <c r="AA2" s="170">
        <v>4</v>
      </c>
      <c r="AB2" s="125">
        <f ca="1">IF(LEN(AA2+$F$16)&gt;1,LEFT(AA2+$F$16,1)+RIGHT(AA2+$F$16,1),AA2+$F$16)</f>
        <v>7</v>
      </c>
      <c r="AC2" s="194"/>
      <c r="AD2" s="170">
        <v>5</v>
      </c>
      <c r="AE2" s="125">
        <f ca="1">IF(LEN(AD2+$F$16)&gt;1,LEFT(AD2+$F$16,1)+RIGHT(AD2+$F$16,1),AD2+$F$16)</f>
        <v>8</v>
      </c>
      <c r="AF2" s="192"/>
      <c r="AG2" s="170">
        <v>6</v>
      </c>
      <c r="AH2" s="125">
        <f ca="1">IF(LEN(AG2+$F$16)&gt;1,LEFT(AG2+$F$16,1)+RIGHT(AG2+$F$16,1),AG2+$F$16)</f>
        <v>9</v>
      </c>
      <c r="AI2" s="194"/>
      <c r="AJ2" s="170">
        <v>7</v>
      </c>
      <c r="AK2" s="125">
        <f ca="1">IF(LEN(AJ2+$F$16)&gt;1,LEFT(AJ2+$F$16,1)+RIGHT(AJ2+$F$16,1),AJ2+$F$16)</f>
        <v>1</v>
      </c>
      <c r="AL2" s="194"/>
      <c r="AM2" s="170">
        <v>8</v>
      </c>
      <c r="AN2" s="125">
        <f ca="1">IF(LEN(AM2+$F$16)&gt;1,LEFT(AM2+$F$16,1)+RIGHT(AM2+$F$16,1),AM2+$F$16)</f>
        <v>2</v>
      </c>
      <c r="AO2" s="192"/>
      <c r="AP2" s="170">
        <v>9</v>
      </c>
      <c r="AQ2" s="125">
        <f ca="1">IF(LEN(AP2+$F$16)&gt;1,LEFT(AP2+$F$16,1)+RIGHT(AP2+$F$16,1),AP2+$F$16)</f>
        <v>3</v>
      </c>
      <c r="AR2" s="194"/>
      <c r="AS2" s="170">
        <v>1</v>
      </c>
      <c r="AT2" s="125">
        <f ca="1">IF(LEN(AS2+$F$16)&gt;1,LEFT(AS2+$F$16,1)+RIGHT(AS2+$F$16,1),AS2+$F$16)</f>
        <v>4</v>
      </c>
      <c r="AU2" s="194"/>
      <c r="AV2" s="170">
        <v>2</v>
      </c>
      <c r="AW2" s="125">
        <f ca="1">IF(LEN(AV2+$F$16)&gt;1,LEFT(AV2+$F$16,1)+RIGHT(AV2+$F$16,1),AV2+$F$16)</f>
        <v>5</v>
      </c>
      <c r="AX2" s="194"/>
      <c r="AY2" s="170">
        <v>3</v>
      </c>
      <c r="AZ2" s="125">
        <f ca="1">IF(LEN(AY2+$F$16)&gt;1,LEFT(AY2+$F$16,1)+RIGHT(AY2+$F$16,1),AY2+$F$16)</f>
        <v>6</v>
      </c>
      <c r="CA2" s="376">
        <v>43831</v>
      </c>
      <c r="CB2" s="46" t="str">
        <f>TEXT(CA2,"DD-MMM")</f>
        <v>01-Jan</v>
      </c>
      <c r="CC2" s="46" t="s">
        <v>113</v>
      </c>
      <c r="CD2" s="46" t="s">
        <v>130</v>
      </c>
      <c r="CE2" s="46" t="str">
        <f t="shared" si="0"/>
        <v>Capricorn - Earth</v>
      </c>
    </row>
    <row r="3" spans="1:83" ht="29.4" thickBot="1" x14ac:dyDescent="0.35">
      <c r="B3" s="126" t="s">
        <v>108</v>
      </c>
      <c r="C3" s="377">
        <f>'Master Calculator'!B2</f>
        <v>28884</v>
      </c>
      <c r="D3" s="23" t="str">
        <f>MID(B5,1,1)</f>
        <v>2</v>
      </c>
      <c r="E3" s="23" t="str">
        <f>MID(B5,2,1)</f>
        <v>9</v>
      </c>
      <c r="F3" s="23"/>
      <c r="G3" s="23" t="str">
        <f>MID(B5,4,1)</f>
        <v>0</v>
      </c>
      <c r="H3" s="23" t="str">
        <f>MID(B5,5,1)</f>
        <v>1</v>
      </c>
      <c r="I3" s="23"/>
      <c r="J3" s="23" t="str">
        <f>MID(B5,7,1)</f>
        <v>1</v>
      </c>
      <c r="K3" s="17" t="str">
        <f>MID(B5,8,1)</f>
        <v>9</v>
      </c>
      <c r="L3" s="17" t="str">
        <f>MID(B5,9,1)</f>
        <v>7</v>
      </c>
      <c r="M3" s="17" t="str">
        <f>MID(B5,10,1)</f>
        <v>9</v>
      </c>
      <c r="N3" s="134"/>
      <c r="Q3" s="129" t="s">
        <v>169</v>
      </c>
      <c r="R3" s="189">
        <v>1</v>
      </c>
      <c r="S3" s="190">
        <f t="shared" ref="S3:S33" ca="1" si="1">MOD((IF(LEN(R3+$S$2)&gt;1,LEFT(R3+$S$2,1)+RIGHT(R3+$S$2,1),R3+$S$2))-1,9)+1</f>
        <v>5</v>
      </c>
      <c r="T3" s="193"/>
      <c r="U3" s="189">
        <v>1</v>
      </c>
      <c r="V3" s="131">
        <f t="shared" ref="V3:V31" ca="1" si="2">MOD((IF(LEN(U3+$V$2)&gt;1,LEFT(U3+$V$2,1)+RIGHT(U3+$V$2,1),U3+$V$2))-1,9)+1</f>
        <v>6</v>
      </c>
      <c r="W3" s="193"/>
      <c r="X3" s="189">
        <v>1</v>
      </c>
      <c r="Y3" s="131">
        <f ca="1">MOD((IF(LEN(X3+$Y$2)&gt;1,LEFT(X3+$Y$2,1)+RIGHT(X3+$Y$2,1),X3+$Y$2))-1,9)+1</f>
        <v>7</v>
      </c>
      <c r="Z3" s="193"/>
      <c r="AA3" s="189">
        <v>1</v>
      </c>
      <c r="AB3" s="131">
        <f ca="1">MOD((IF(LEN(AA3+$AB$2)&gt;1,LEFT(AA3+$AB$2,1)+RIGHT(AA3+$AB$2,1),AA3+$AB$2))-1,9)+1</f>
        <v>8</v>
      </c>
      <c r="AC3" s="193"/>
      <c r="AD3" s="189">
        <v>1</v>
      </c>
      <c r="AE3" s="131">
        <f ca="1">MOD((IF(LEN(AD3+$AE$2)&gt;1,LEFT(AD3+$AE$2,1)+RIGHT(AD3+$AE$2,1),AD3+$AE$2))-1,9)+1</f>
        <v>9</v>
      </c>
      <c r="AF3" s="193"/>
      <c r="AG3" s="189">
        <v>1</v>
      </c>
      <c r="AH3" s="131">
        <f ca="1">MOD((IF(LEN(AG3+$AH$2)&gt;1,LEFT(AG3+$AH$2,1)+RIGHT(AG3+$AH$2,1),AG3+$AH$2))-1,9)+1</f>
        <v>1</v>
      </c>
      <c r="AI3" s="193"/>
      <c r="AJ3" s="189">
        <v>1</v>
      </c>
      <c r="AK3" s="131">
        <f ca="1">MOD((IF(LEN(AJ3+$AK$2)&gt;1,LEFT(AJ3+$AK$2,1)+RIGHT(AJ3+$AK$2,1),AJ3+$AK$2))-1,9)+1</f>
        <v>2</v>
      </c>
      <c r="AL3" s="193"/>
      <c r="AM3" s="189">
        <v>1</v>
      </c>
      <c r="AN3" s="131">
        <f ca="1">MOD((IF(LEN(AM3+$AN$2)&gt;1,LEFT(AM3+$AN$2,1)+RIGHT(AM3+$AN$2,1),AM3+$AN$2))-1,9)+1</f>
        <v>3</v>
      </c>
      <c r="AO3" s="193"/>
      <c r="AP3" s="189">
        <v>1</v>
      </c>
      <c r="AQ3" s="131">
        <f ca="1">MOD((IF(LEN(AP3+$AQ$2)&gt;1,LEFT(AP3+$AQ$2,1)+RIGHT(AP3+$AQ$2,1),AP3+$AQ$2))-1,9)+1</f>
        <v>4</v>
      </c>
      <c r="AR3" s="193"/>
      <c r="AS3" s="189">
        <v>1</v>
      </c>
      <c r="AT3" s="131">
        <f ca="1">MOD((IF(LEN(AS3+$AT$2)&gt;1,LEFT(AS3+$AT$2,1)+RIGHT(AS3+$AT$2,1),AS3+$AT$2))-1,9)+1</f>
        <v>5</v>
      </c>
      <c r="AU3" s="193"/>
      <c r="AV3" s="189">
        <v>1</v>
      </c>
      <c r="AW3" s="131">
        <f ca="1">MOD((IF(LEN(AV3+$AW$2)&gt;1,LEFT(AV3+$AW$2,1)+RIGHT(AV3+$AW$2,1),AV3+$AW$2))-1,9)+1</f>
        <v>6</v>
      </c>
      <c r="AX3" s="193"/>
      <c r="AY3" s="189">
        <v>1</v>
      </c>
      <c r="AZ3" s="131">
        <f ca="1">MOD((IF(LEN(AY3+$AZ$2)&gt;1,LEFT(AY3+$AZ$2,1)+RIGHT(AY3+$AZ$2,1),AY3+$AZ$2))-1,9)+1</f>
        <v>7</v>
      </c>
      <c r="CA3" s="376">
        <v>43832</v>
      </c>
      <c r="CB3" s="46" t="str">
        <f t="shared" ref="CB3:CB66" si="3">TEXT(CA3,"DD-MMM")</f>
        <v>02-Jan</v>
      </c>
      <c r="CC3" s="46" t="s">
        <v>113</v>
      </c>
      <c r="CD3" s="46" t="s">
        <v>130</v>
      </c>
      <c r="CE3" s="46" t="str">
        <f t="shared" si="0"/>
        <v>Capricorn - Earth</v>
      </c>
    </row>
    <row r="4" spans="1:83" ht="15" thickBot="1" x14ac:dyDescent="0.35">
      <c r="B4" s="133" t="str">
        <f>TEXT(C3,("DD-MMM"))</f>
        <v>29-Jan</v>
      </c>
      <c r="D4" s="13"/>
      <c r="E4" s="13"/>
      <c r="F4" s="13"/>
      <c r="G4" s="13"/>
      <c r="H4" s="13"/>
      <c r="I4" s="13"/>
      <c r="J4" s="46" t="str">
        <f>J3&amp;K3&amp;L3&amp;M3</f>
        <v>1979</v>
      </c>
      <c r="K4" s="46"/>
      <c r="L4" s="46"/>
      <c r="M4" s="171">
        <f ca="1">SUMPRODUCT(1*MID(J4,ROW(INDIRECT("1:"&amp;LEN(J4))),1))</f>
        <v>26</v>
      </c>
      <c r="N4" s="134"/>
      <c r="R4" s="130">
        <v>2</v>
      </c>
      <c r="S4" s="131">
        <f t="shared" ca="1" si="1"/>
        <v>6</v>
      </c>
      <c r="U4" s="130">
        <v>2</v>
      </c>
      <c r="V4" s="131">
        <f t="shared" ca="1" si="2"/>
        <v>7</v>
      </c>
      <c r="X4" s="130">
        <v>2</v>
      </c>
      <c r="Y4" s="131">
        <f t="shared" ref="Y4:Y33" ca="1" si="4">MOD((IF(LEN(X4+$Y$2)&gt;1,LEFT(X4+$Y$2,1)+RIGHT(X4+$Y$2,1),X4+$Y$2))-1,9)+1</f>
        <v>8</v>
      </c>
      <c r="AA4" s="130">
        <v>2</v>
      </c>
      <c r="AB4" s="131">
        <f t="shared" ref="AB4:AB32" ca="1" si="5">MOD((IF(LEN(AA4+$AB$2)&gt;1,LEFT(AA4+$AB$2,1)+RIGHT(AA4+$AB$2,1),AA4+$AB$2))-1,9)+1</f>
        <v>9</v>
      </c>
      <c r="AD4" s="130">
        <v>2</v>
      </c>
      <c r="AE4" s="131">
        <f t="shared" ref="AE4:AE33" ca="1" si="6">MOD((IF(LEN(AD4+$AE$2)&gt;1,LEFT(AD4+$AE$2,1)+RIGHT(AD4+$AE$2,1),AD4+$AE$2))-1,9)+1</f>
        <v>1</v>
      </c>
      <c r="AG4" s="130">
        <v>2</v>
      </c>
      <c r="AH4" s="131">
        <f t="shared" ref="AH4:AH32" ca="1" si="7">MOD((IF(LEN(AG4+$AH$2)&gt;1,LEFT(AG4+$AH$2,1)+RIGHT(AG4+$AH$2,1),AG4+$AH$2))-1,9)+1</f>
        <v>2</v>
      </c>
      <c r="AJ4" s="130">
        <v>2</v>
      </c>
      <c r="AK4" s="131">
        <f t="shared" ref="AK4:AK33" ca="1" si="8">MOD((IF(LEN(AJ4+$AK$2)&gt;1,LEFT(AJ4+$AK$2,1)+RIGHT(AJ4+$AK$2,1),AJ4+$AK$2))-1,9)+1</f>
        <v>3</v>
      </c>
      <c r="AM4" s="130">
        <v>2</v>
      </c>
      <c r="AN4" s="131">
        <f t="shared" ref="AN4:AN33" ca="1" si="9">MOD((IF(LEN(AM4+$AN$2)&gt;1,LEFT(AM4+$AN$2,1)+RIGHT(AM4+$AN$2,1),AM4+$AN$2))-1,9)+1</f>
        <v>4</v>
      </c>
      <c r="AP4" s="130">
        <v>2</v>
      </c>
      <c r="AQ4" s="131">
        <f t="shared" ref="AQ4:AQ32" ca="1" si="10">MOD((IF(LEN(AP4+$AQ$2)&gt;1,LEFT(AP4+$AQ$2,1)+RIGHT(AP4+$AQ$2,1),AP4+$AQ$2))-1,9)+1</f>
        <v>5</v>
      </c>
      <c r="AS4" s="130">
        <v>2</v>
      </c>
      <c r="AT4" s="131">
        <f t="shared" ref="AT4:AT33" ca="1" si="11">MOD((IF(LEN(AS4+$AT$2)&gt;1,LEFT(AS4+$AT$2,1)+RIGHT(AS4+$AT$2,1),AS4+$AT$2))-1,9)+1</f>
        <v>6</v>
      </c>
      <c r="AV4" s="130">
        <v>2</v>
      </c>
      <c r="AW4" s="131">
        <f t="shared" ref="AW4:AW32" ca="1" si="12">MOD((IF(LEN(AV4+$AW$2)&gt;1,LEFT(AV4+$AW$2,1)+RIGHT(AV4+$AW$2,1),AV4+$AW$2))-1,9)+1</f>
        <v>7</v>
      </c>
      <c r="AY4" s="130">
        <v>2</v>
      </c>
      <c r="AZ4" s="131">
        <f t="shared" ref="AZ4:AZ33" ca="1" si="13">MOD((IF(LEN(AY4+$AZ$2)&gt;1,LEFT(AY4+$AZ$2,1)+RIGHT(AY4+$AZ$2,1),AY4+$AZ$2))-1,9)+1</f>
        <v>8</v>
      </c>
      <c r="CA4" s="376">
        <v>43833</v>
      </c>
      <c r="CB4" s="46" t="str">
        <f t="shared" si="3"/>
        <v>03-Jan</v>
      </c>
      <c r="CC4" s="46" t="s">
        <v>113</v>
      </c>
      <c r="CD4" s="46" t="s">
        <v>130</v>
      </c>
      <c r="CE4" s="46" t="str">
        <f t="shared" si="0"/>
        <v>Capricorn - Earth</v>
      </c>
    </row>
    <row r="5" spans="1:83" s="135" customFormat="1" ht="33" customHeight="1" thickBot="1" x14ac:dyDescent="0.35">
      <c r="B5" s="136" t="str">
        <f>TEXT(C3,"DD-MM-YYYY")</f>
        <v>29-01-1979</v>
      </c>
      <c r="C5" s="198" t="s">
        <v>127</v>
      </c>
      <c r="D5" s="605" t="s">
        <v>18</v>
      </c>
      <c r="E5" s="605"/>
      <c r="F5" s="35"/>
      <c r="G5" s="605" t="s">
        <v>54</v>
      </c>
      <c r="H5" s="605"/>
      <c r="I5" s="35"/>
      <c r="J5" s="605" t="s">
        <v>55</v>
      </c>
      <c r="K5" s="605"/>
      <c r="L5" s="605"/>
      <c r="M5" s="605"/>
      <c r="N5" s="181"/>
      <c r="R5" s="130">
        <v>3</v>
      </c>
      <c r="S5" s="131">
        <f t="shared" ca="1" si="1"/>
        <v>7</v>
      </c>
      <c r="T5" s="132"/>
      <c r="U5" s="130">
        <v>3</v>
      </c>
      <c r="V5" s="131">
        <f t="shared" ca="1" si="2"/>
        <v>8</v>
      </c>
      <c r="W5" s="132"/>
      <c r="X5" s="130">
        <v>3</v>
      </c>
      <c r="Y5" s="131">
        <f t="shared" ca="1" si="4"/>
        <v>9</v>
      </c>
      <c r="Z5" s="132"/>
      <c r="AA5" s="130">
        <v>3</v>
      </c>
      <c r="AB5" s="131">
        <f t="shared" ca="1" si="5"/>
        <v>1</v>
      </c>
      <c r="AC5" s="132"/>
      <c r="AD5" s="130">
        <v>3</v>
      </c>
      <c r="AE5" s="131">
        <f t="shared" ca="1" si="6"/>
        <v>2</v>
      </c>
      <c r="AF5" s="132"/>
      <c r="AG5" s="130">
        <v>3</v>
      </c>
      <c r="AH5" s="131">
        <f t="shared" ca="1" si="7"/>
        <v>3</v>
      </c>
      <c r="AI5" s="132"/>
      <c r="AJ5" s="130">
        <v>3</v>
      </c>
      <c r="AK5" s="131">
        <f t="shared" ca="1" si="8"/>
        <v>4</v>
      </c>
      <c r="AL5" s="132"/>
      <c r="AM5" s="130">
        <v>3</v>
      </c>
      <c r="AN5" s="131">
        <f t="shared" ca="1" si="9"/>
        <v>5</v>
      </c>
      <c r="AO5" s="132"/>
      <c r="AP5" s="130">
        <v>3</v>
      </c>
      <c r="AQ5" s="131">
        <f t="shared" ca="1" si="10"/>
        <v>6</v>
      </c>
      <c r="AR5" s="132"/>
      <c r="AS5" s="130">
        <v>3</v>
      </c>
      <c r="AT5" s="131">
        <f t="shared" ca="1" si="11"/>
        <v>7</v>
      </c>
      <c r="AU5" s="132"/>
      <c r="AV5" s="130">
        <v>3</v>
      </c>
      <c r="AW5" s="131">
        <f t="shared" ca="1" si="12"/>
        <v>8</v>
      </c>
      <c r="AX5" s="132"/>
      <c r="AY5" s="130">
        <v>3</v>
      </c>
      <c r="AZ5" s="131">
        <f t="shared" ca="1" si="13"/>
        <v>9</v>
      </c>
      <c r="CA5" s="376">
        <v>43834</v>
      </c>
      <c r="CB5" s="46" t="str">
        <f t="shared" si="3"/>
        <v>04-Jan</v>
      </c>
      <c r="CC5" s="46" t="s">
        <v>113</v>
      </c>
      <c r="CD5" s="46" t="s">
        <v>130</v>
      </c>
      <c r="CE5" s="46" t="str">
        <f t="shared" si="0"/>
        <v>Capricorn - Earth</v>
      </c>
    </row>
    <row r="6" spans="1:83" ht="15" thickBot="1" x14ac:dyDescent="0.35">
      <c r="B6" s="126"/>
      <c r="C6" s="374" t="str">
        <f>VLOOKUP(B4,CB:CE,4,0)</f>
        <v>Aquarius - Air</v>
      </c>
      <c r="D6" s="583">
        <f>D3+E3</f>
        <v>11</v>
      </c>
      <c r="E6" s="583"/>
      <c r="F6" s="23"/>
      <c r="G6" s="584">
        <f>G3+H3</f>
        <v>1</v>
      </c>
      <c r="H6" s="584"/>
      <c r="I6" s="23"/>
      <c r="J6" s="584">
        <f ca="1">SUMPRODUCT(1*MID(M4,ROW(INDIRECT("1:"&amp;LEN(M4))),1))</f>
        <v>8</v>
      </c>
      <c r="K6" s="584"/>
      <c r="L6" s="584"/>
      <c r="M6" s="584"/>
      <c r="N6" s="134"/>
      <c r="R6" s="130">
        <v>4</v>
      </c>
      <c r="S6" s="131">
        <f t="shared" ca="1" si="1"/>
        <v>8</v>
      </c>
      <c r="U6" s="130">
        <v>4</v>
      </c>
      <c r="V6" s="131">
        <f t="shared" ca="1" si="2"/>
        <v>9</v>
      </c>
      <c r="X6" s="130">
        <v>4</v>
      </c>
      <c r="Y6" s="131">
        <f t="shared" ca="1" si="4"/>
        <v>1</v>
      </c>
      <c r="AA6" s="130">
        <v>4</v>
      </c>
      <c r="AB6" s="131">
        <f t="shared" ca="1" si="5"/>
        <v>2</v>
      </c>
      <c r="AD6" s="130">
        <v>4</v>
      </c>
      <c r="AE6" s="131">
        <f t="shared" ca="1" si="6"/>
        <v>3</v>
      </c>
      <c r="AG6" s="130">
        <v>4</v>
      </c>
      <c r="AH6" s="131">
        <f t="shared" ca="1" si="7"/>
        <v>4</v>
      </c>
      <c r="AJ6" s="130">
        <v>4</v>
      </c>
      <c r="AK6" s="131">
        <f t="shared" ca="1" si="8"/>
        <v>5</v>
      </c>
      <c r="AM6" s="130">
        <v>4</v>
      </c>
      <c r="AN6" s="131">
        <f t="shared" ca="1" si="9"/>
        <v>6</v>
      </c>
      <c r="AP6" s="130">
        <v>4</v>
      </c>
      <c r="AQ6" s="131">
        <f t="shared" ca="1" si="10"/>
        <v>7</v>
      </c>
      <c r="AS6" s="130">
        <v>4</v>
      </c>
      <c r="AT6" s="131">
        <f t="shared" ca="1" si="11"/>
        <v>8</v>
      </c>
      <c r="AV6" s="130">
        <v>4</v>
      </c>
      <c r="AW6" s="131">
        <f t="shared" ca="1" si="12"/>
        <v>9</v>
      </c>
      <c r="AY6" s="130">
        <v>4</v>
      </c>
      <c r="AZ6" s="131">
        <f t="shared" ca="1" si="13"/>
        <v>1</v>
      </c>
      <c r="CA6" s="376">
        <v>43835</v>
      </c>
      <c r="CB6" s="46" t="str">
        <f t="shared" si="3"/>
        <v>05-Jan</v>
      </c>
      <c r="CC6" s="46" t="s">
        <v>113</v>
      </c>
      <c r="CD6" s="46" t="s">
        <v>130</v>
      </c>
      <c r="CE6" s="46" t="str">
        <f t="shared" si="0"/>
        <v>Capricorn - Earth</v>
      </c>
    </row>
    <row r="7" spans="1:83" x14ac:dyDescent="0.3">
      <c r="B7" s="126"/>
      <c r="C7" s="196" t="s">
        <v>18</v>
      </c>
      <c r="D7" s="48">
        <f>IF(LEN(D6)&gt;1,LEFT(D6,1)+RIGHT(D6,1),D6)</f>
        <v>2</v>
      </c>
      <c r="E7" s="23"/>
      <c r="F7" s="23"/>
      <c r="G7" s="48">
        <f>IF(LEN(G6)&gt;1,LEFT(G6,1)+RIGHT(G6,1),G6)</f>
        <v>1</v>
      </c>
      <c r="H7" s="23"/>
      <c r="I7" s="23"/>
      <c r="J7" s="48">
        <f ca="1">SUMPRODUCT(1*MID(J6,ROW(INDIRECT("1:"&amp;LEN(J6))),1))</f>
        <v>8</v>
      </c>
      <c r="K7" s="23"/>
      <c r="L7" s="23"/>
      <c r="M7" s="23"/>
      <c r="N7" s="134"/>
      <c r="R7" s="130">
        <v>5</v>
      </c>
      <c r="S7" s="131">
        <f t="shared" ca="1" si="1"/>
        <v>9</v>
      </c>
      <c r="U7" s="130">
        <v>5</v>
      </c>
      <c r="V7" s="131">
        <f t="shared" ca="1" si="2"/>
        <v>1</v>
      </c>
      <c r="X7" s="130">
        <v>5</v>
      </c>
      <c r="Y7" s="131">
        <f t="shared" ca="1" si="4"/>
        <v>2</v>
      </c>
      <c r="AA7" s="130">
        <v>5</v>
      </c>
      <c r="AB7" s="131">
        <f t="shared" ca="1" si="5"/>
        <v>3</v>
      </c>
      <c r="AD7" s="130">
        <v>5</v>
      </c>
      <c r="AE7" s="131">
        <f t="shared" ca="1" si="6"/>
        <v>4</v>
      </c>
      <c r="AG7" s="130">
        <v>5</v>
      </c>
      <c r="AH7" s="131">
        <f t="shared" ca="1" si="7"/>
        <v>5</v>
      </c>
      <c r="AJ7" s="130">
        <v>5</v>
      </c>
      <c r="AK7" s="131">
        <f t="shared" ca="1" si="8"/>
        <v>6</v>
      </c>
      <c r="AM7" s="130">
        <v>5</v>
      </c>
      <c r="AN7" s="131">
        <f t="shared" ca="1" si="9"/>
        <v>7</v>
      </c>
      <c r="AP7" s="130">
        <v>5</v>
      </c>
      <c r="AQ7" s="131">
        <f t="shared" ca="1" si="10"/>
        <v>8</v>
      </c>
      <c r="AS7" s="130">
        <v>5</v>
      </c>
      <c r="AT7" s="131">
        <f t="shared" ca="1" si="11"/>
        <v>9</v>
      </c>
      <c r="AV7" s="130">
        <v>5</v>
      </c>
      <c r="AW7" s="131">
        <f t="shared" ca="1" si="12"/>
        <v>1</v>
      </c>
      <c r="AY7" s="130">
        <v>5</v>
      </c>
      <c r="AZ7" s="131">
        <f t="shared" ca="1" si="13"/>
        <v>2</v>
      </c>
      <c r="CA7" s="376">
        <v>43836</v>
      </c>
      <c r="CB7" s="46" t="str">
        <f t="shared" si="3"/>
        <v>06-Jan</v>
      </c>
      <c r="CC7" s="46" t="s">
        <v>113</v>
      </c>
      <c r="CD7" s="46" t="s">
        <v>130</v>
      </c>
      <c r="CE7" s="46" t="str">
        <f t="shared" si="0"/>
        <v>Capricorn - Earth</v>
      </c>
    </row>
    <row r="8" spans="1:83" ht="15" thickBot="1" x14ac:dyDescent="0.35">
      <c r="B8" s="138"/>
      <c r="C8" s="197" t="s">
        <v>25</v>
      </c>
      <c r="D8" s="62">
        <f ca="1">MOD((D7+G7+J7)-1,9)+1</f>
        <v>2</v>
      </c>
      <c r="E8" s="38"/>
      <c r="F8" s="38"/>
      <c r="G8" s="38"/>
      <c r="H8" s="38"/>
      <c r="I8" s="38"/>
      <c r="J8" s="38"/>
      <c r="K8" s="38"/>
      <c r="L8" s="38"/>
      <c r="M8" s="38"/>
      <c r="N8" s="148"/>
      <c r="R8" s="130">
        <v>6</v>
      </c>
      <c r="S8" s="131">
        <f t="shared" ca="1" si="1"/>
        <v>1</v>
      </c>
      <c r="U8" s="130">
        <v>6</v>
      </c>
      <c r="V8" s="131">
        <f t="shared" ca="1" si="2"/>
        <v>2</v>
      </c>
      <c r="X8" s="130">
        <v>6</v>
      </c>
      <c r="Y8" s="131">
        <f t="shared" ca="1" si="4"/>
        <v>3</v>
      </c>
      <c r="AA8" s="130">
        <v>6</v>
      </c>
      <c r="AB8" s="131">
        <f t="shared" ca="1" si="5"/>
        <v>4</v>
      </c>
      <c r="AD8" s="130">
        <v>6</v>
      </c>
      <c r="AE8" s="131">
        <f t="shared" ca="1" si="6"/>
        <v>5</v>
      </c>
      <c r="AG8" s="130">
        <v>6</v>
      </c>
      <c r="AH8" s="131">
        <f t="shared" ca="1" si="7"/>
        <v>6</v>
      </c>
      <c r="AJ8" s="130">
        <v>6</v>
      </c>
      <c r="AK8" s="131">
        <f t="shared" ca="1" si="8"/>
        <v>7</v>
      </c>
      <c r="AM8" s="130">
        <v>6</v>
      </c>
      <c r="AN8" s="131">
        <f t="shared" ca="1" si="9"/>
        <v>8</v>
      </c>
      <c r="AP8" s="130">
        <v>6</v>
      </c>
      <c r="AQ8" s="131">
        <f t="shared" ca="1" si="10"/>
        <v>9</v>
      </c>
      <c r="AS8" s="130">
        <v>6</v>
      </c>
      <c r="AT8" s="131">
        <f t="shared" ca="1" si="11"/>
        <v>1</v>
      </c>
      <c r="AV8" s="130">
        <v>6</v>
      </c>
      <c r="AW8" s="131">
        <f t="shared" ca="1" si="12"/>
        <v>2</v>
      </c>
      <c r="AY8" s="130">
        <v>6</v>
      </c>
      <c r="AZ8" s="131">
        <f t="shared" ca="1" si="13"/>
        <v>3</v>
      </c>
      <c r="CA8" s="376">
        <v>43837</v>
      </c>
      <c r="CB8" s="46" t="str">
        <f t="shared" si="3"/>
        <v>07-Jan</v>
      </c>
      <c r="CC8" s="46" t="s">
        <v>113</v>
      </c>
      <c r="CD8" s="46" t="s">
        <v>130</v>
      </c>
      <c r="CE8" s="46" t="str">
        <f t="shared" si="0"/>
        <v>Capricorn - Earth</v>
      </c>
    </row>
    <row r="9" spans="1:83" x14ac:dyDescent="0.3">
      <c r="R9" s="130">
        <v>7</v>
      </c>
      <c r="S9" s="131">
        <f t="shared" ca="1" si="1"/>
        <v>2</v>
      </c>
      <c r="U9" s="130">
        <v>7</v>
      </c>
      <c r="V9" s="131">
        <f t="shared" ca="1" si="2"/>
        <v>3</v>
      </c>
      <c r="X9" s="130">
        <v>7</v>
      </c>
      <c r="Y9" s="131">
        <f t="shared" ca="1" si="4"/>
        <v>4</v>
      </c>
      <c r="AA9" s="130">
        <v>7</v>
      </c>
      <c r="AB9" s="131">
        <f t="shared" ca="1" si="5"/>
        <v>5</v>
      </c>
      <c r="AD9" s="130">
        <v>7</v>
      </c>
      <c r="AE9" s="131">
        <f t="shared" ca="1" si="6"/>
        <v>6</v>
      </c>
      <c r="AG9" s="130">
        <v>7</v>
      </c>
      <c r="AH9" s="131">
        <f t="shared" ca="1" si="7"/>
        <v>7</v>
      </c>
      <c r="AJ9" s="130">
        <v>7</v>
      </c>
      <c r="AK9" s="131">
        <f t="shared" ca="1" si="8"/>
        <v>8</v>
      </c>
      <c r="AM9" s="130">
        <v>7</v>
      </c>
      <c r="AN9" s="131">
        <f t="shared" ca="1" si="9"/>
        <v>9</v>
      </c>
      <c r="AP9" s="130">
        <v>7</v>
      </c>
      <c r="AQ9" s="131">
        <f t="shared" ca="1" si="10"/>
        <v>1</v>
      </c>
      <c r="AS9" s="130">
        <v>7</v>
      </c>
      <c r="AT9" s="131">
        <f t="shared" ca="1" si="11"/>
        <v>2</v>
      </c>
      <c r="AV9" s="130">
        <v>7</v>
      </c>
      <c r="AW9" s="131">
        <f t="shared" ca="1" si="12"/>
        <v>3</v>
      </c>
      <c r="AY9" s="130">
        <v>7</v>
      </c>
      <c r="AZ9" s="131">
        <f t="shared" ca="1" si="13"/>
        <v>4</v>
      </c>
      <c r="CA9" s="376">
        <v>43838</v>
      </c>
      <c r="CB9" s="46" t="str">
        <f t="shared" si="3"/>
        <v>08-Jan</v>
      </c>
      <c r="CC9" s="46" t="s">
        <v>113</v>
      </c>
      <c r="CD9" s="46" t="s">
        <v>130</v>
      </c>
      <c r="CE9" s="46" t="str">
        <f t="shared" si="0"/>
        <v>Capricorn - Earth</v>
      </c>
    </row>
    <row r="10" spans="1:83" ht="15" thickBot="1" x14ac:dyDescent="0.35">
      <c r="R10" s="130">
        <v>8</v>
      </c>
      <c r="S10" s="131">
        <f t="shared" ca="1" si="1"/>
        <v>3</v>
      </c>
      <c r="U10" s="130">
        <v>8</v>
      </c>
      <c r="V10" s="131">
        <f t="shared" ca="1" si="2"/>
        <v>4</v>
      </c>
      <c r="X10" s="130">
        <v>8</v>
      </c>
      <c r="Y10" s="131">
        <f t="shared" ca="1" si="4"/>
        <v>5</v>
      </c>
      <c r="AA10" s="130">
        <v>8</v>
      </c>
      <c r="AB10" s="131">
        <f t="shared" ca="1" si="5"/>
        <v>6</v>
      </c>
      <c r="AD10" s="130">
        <v>8</v>
      </c>
      <c r="AE10" s="131">
        <f t="shared" ca="1" si="6"/>
        <v>7</v>
      </c>
      <c r="AG10" s="130">
        <v>8</v>
      </c>
      <c r="AH10" s="131">
        <f t="shared" ca="1" si="7"/>
        <v>8</v>
      </c>
      <c r="AJ10" s="130">
        <v>8</v>
      </c>
      <c r="AK10" s="131">
        <f t="shared" ca="1" si="8"/>
        <v>9</v>
      </c>
      <c r="AM10" s="130">
        <v>8</v>
      </c>
      <c r="AN10" s="131">
        <f t="shared" ca="1" si="9"/>
        <v>1</v>
      </c>
      <c r="AP10" s="130">
        <v>8</v>
      </c>
      <c r="AQ10" s="131">
        <f t="shared" ca="1" si="10"/>
        <v>2</v>
      </c>
      <c r="AS10" s="130">
        <v>8</v>
      </c>
      <c r="AT10" s="131">
        <f t="shared" ca="1" si="11"/>
        <v>3</v>
      </c>
      <c r="AV10" s="130">
        <v>8</v>
      </c>
      <c r="AW10" s="131">
        <f t="shared" ca="1" si="12"/>
        <v>4</v>
      </c>
      <c r="AY10" s="130">
        <v>8</v>
      </c>
      <c r="AZ10" s="131">
        <f t="shared" ca="1" si="13"/>
        <v>5</v>
      </c>
      <c r="CA10" s="376">
        <v>43839</v>
      </c>
      <c r="CB10" s="46" t="str">
        <f t="shared" si="3"/>
        <v>09-Jan</v>
      </c>
      <c r="CC10" s="46" t="s">
        <v>113</v>
      </c>
      <c r="CD10" s="46" t="s">
        <v>130</v>
      </c>
      <c r="CE10" s="46" t="str">
        <f t="shared" si="0"/>
        <v>Capricorn - Earth</v>
      </c>
    </row>
    <row r="11" spans="1:83" x14ac:dyDescent="0.3">
      <c r="A11" s="140" t="s">
        <v>68</v>
      </c>
      <c r="B11" s="122"/>
      <c r="C11" s="123"/>
      <c r="D11" s="123" t="s">
        <v>29</v>
      </c>
      <c r="E11" s="123" t="s">
        <v>29</v>
      </c>
      <c r="F11" s="123"/>
      <c r="G11" s="123" t="s">
        <v>47</v>
      </c>
      <c r="H11" s="123" t="s">
        <v>47</v>
      </c>
      <c r="I11" s="123"/>
      <c r="J11" s="123" t="s">
        <v>48</v>
      </c>
      <c r="K11" s="122" t="s">
        <v>48</v>
      </c>
      <c r="L11" s="122" t="s">
        <v>48</v>
      </c>
      <c r="M11" s="122" t="s">
        <v>48</v>
      </c>
      <c r="N11" s="141"/>
      <c r="O11" s="142"/>
      <c r="R11" s="130">
        <v>9</v>
      </c>
      <c r="S11" s="131">
        <f t="shared" ca="1" si="1"/>
        <v>4</v>
      </c>
      <c r="U11" s="130">
        <v>9</v>
      </c>
      <c r="V11" s="131">
        <f t="shared" ca="1" si="2"/>
        <v>5</v>
      </c>
      <c r="X11" s="130">
        <v>9</v>
      </c>
      <c r="Y11" s="131">
        <f t="shared" ca="1" si="4"/>
        <v>6</v>
      </c>
      <c r="AA11" s="130">
        <v>9</v>
      </c>
      <c r="AB11" s="131">
        <f t="shared" ca="1" si="5"/>
        <v>7</v>
      </c>
      <c r="AD11" s="130">
        <v>9</v>
      </c>
      <c r="AE11" s="131">
        <f t="shared" ca="1" si="6"/>
        <v>8</v>
      </c>
      <c r="AG11" s="130">
        <v>9</v>
      </c>
      <c r="AH11" s="131">
        <f t="shared" ca="1" si="7"/>
        <v>9</v>
      </c>
      <c r="AJ11" s="130">
        <v>9</v>
      </c>
      <c r="AK11" s="131">
        <f t="shared" ca="1" si="8"/>
        <v>1</v>
      </c>
      <c r="AM11" s="130">
        <v>9</v>
      </c>
      <c r="AN11" s="131">
        <f t="shared" ca="1" si="9"/>
        <v>2</v>
      </c>
      <c r="AP11" s="130">
        <v>9</v>
      </c>
      <c r="AQ11" s="131">
        <f t="shared" ca="1" si="10"/>
        <v>3</v>
      </c>
      <c r="AS11" s="130">
        <v>9</v>
      </c>
      <c r="AT11" s="131">
        <f t="shared" ca="1" si="11"/>
        <v>4</v>
      </c>
      <c r="AV11" s="130">
        <v>9</v>
      </c>
      <c r="AW11" s="131">
        <f t="shared" ca="1" si="12"/>
        <v>5</v>
      </c>
      <c r="AY11" s="130">
        <v>9</v>
      </c>
      <c r="AZ11" s="131">
        <f t="shared" ca="1" si="13"/>
        <v>6</v>
      </c>
      <c r="CA11" s="376">
        <v>43840</v>
      </c>
      <c r="CB11" s="46" t="str">
        <f t="shared" si="3"/>
        <v>10-Jan</v>
      </c>
      <c r="CC11" s="46" t="s">
        <v>113</v>
      </c>
      <c r="CD11" s="46" t="s">
        <v>130</v>
      </c>
      <c r="CE11" s="46" t="str">
        <f t="shared" si="0"/>
        <v>Capricorn - Earth</v>
      </c>
    </row>
    <row r="12" spans="1:83" x14ac:dyDescent="0.3">
      <c r="A12" s="143">
        <f ca="1">TODAY()</f>
        <v>45846</v>
      </c>
      <c r="B12" s="100"/>
      <c r="C12" s="127"/>
      <c r="D12" s="127" t="str">
        <f ca="1">MID(A13,1,1)</f>
        <v>0</v>
      </c>
      <c r="E12" s="127" t="str">
        <f ca="1">MID(A13,2,1)</f>
        <v>8</v>
      </c>
      <c r="F12" s="127"/>
      <c r="G12" s="127" t="str">
        <f ca="1">MID(A13,4,1)</f>
        <v>0</v>
      </c>
      <c r="H12" s="127" t="str">
        <f ca="1">MID(A13,5,1)</f>
        <v>7</v>
      </c>
      <c r="I12" s="127"/>
      <c r="J12" s="127" t="str">
        <f ca="1">MID(A13,7,1)</f>
        <v>2</v>
      </c>
      <c r="K12" s="100" t="str">
        <f ca="1">MID(A13,8,1)</f>
        <v>0</v>
      </c>
      <c r="L12" s="100" t="str">
        <f ca="1">MID(A13,9,1)</f>
        <v>2</v>
      </c>
      <c r="M12" s="100" t="str">
        <f ca="1">MID(A13,10,1)</f>
        <v>5</v>
      </c>
      <c r="O12" s="134"/>
      <c r="R12" s="130">
        <v>10</v>
      </c>
      <c r="S12" s="131">
        <f t="shared" ca="1" si="1"/>
        <v>5</v>
      </c>
      <c r="U12" s="130">
        <v>10</v>
      </c>
      <c r="V12" s="131">
        <f t="shared" ca="1" si="2"/>
        <v>6</v>
      </c>
      <c r="X12" s="130">
        <v>10</v>
      </c>
      <c r="Y12" s="131">
        <f t="shared" ca="1" si="4"/>
        <v>7</v>
      </c>
      <c r="AA12" s="130">
        <v>10</v>
      </c>
      <c r="AB12" s="131">
        <f t="shared" ca="1" si="5"/>
        <v>8</v>
      </c>
      <c r="AD12" s="130">
        <v>10</v>
      </c>
      <c r="AE12" s="131">
        <f t="shared" ca="1" si="6"/>
        <v>9</v>
      </c>
      <c r="AG12" s="130">
        <v>10</v>
      </c>
      <c r="AH12" s="131">
        <f t="shared" ca="1" si="7"/>
        <v>1</v>
      </c>
      <c r="AJ12" s="130">
        <v>10</v>
      </c>
      <c r="AK12" s="131">
        <f t="shared" ca="1" si="8"/>
        <v>2</v>
      </c>
      <c r="AM12" s="130">
        <v>10</v>
      </c>
      <c r="AN12" s="131">
        <f t="shared" ca="1" si="9"/>
        <v>3</v>
      </c>
      <c r="AP12" s="130">
        <v>10</v>
      </c>
      <c r="AQ12" s="131">
        <f t="shared" ca="1" si="10"/>
        <v>4</v>
      </c>
      <c r="AS12" s="130">
        <v>10</v>
      </c>
      <c r="AT12" s="131">
        <f t="shared" ca="1" si="11"/>
        <v>5</v>
      </c>
      <c r="AV12" s="130">
        <v>10</v>
      </c>
      <c r="AW12" s="131">
        <f t="shared" ca="1" si="12"/>
        <v>6</v>
      </c>
      <c r="AY12" s="130">
        <v>10</v>
      </c>
      <c r="AZ12" s="131">
        <f t="shared" ca="1" si="13"/>
        <v>7</v>
      </c>
      <c r="CA12" s="376">
        <v>43841</v>
      </c>
      <c r="CB12" s="46" t="str">
        <f t="shared" si="3"/>
        <v>11-Jan</v>
      </c>
      <c r="CC12" s="46" t="s">
        <v>113</v>
      </c>
      <c r="CD12" s="46" t="s">
        <v>130</v>
      </c>
      <c r="CE12" s="46" t="str">
        <f t="shared" si="0"/>
        <v>Capricorn - Earth</v>
      </c>
    </row>
    <row r="13" spans="1:83" x14ac:dyDescent="0.3">
      <c r="A13" s="126" t="str">
        <f ca="1">TEXT(A12,"DD-MM-YYYY")</f>
        <v>08-07-2025</v>
      </c>
      <c r="B13" s="100"/>
      <c r="C13" s="127"/>
      <c r="D13" s="144">
        <f ca="1">D12+E12</f>
        <v>8</v>
      </c>
      <c r="E13" s="144"/>
      <c r="F13" s="127"/>
      <c r="G13" s="144">
        <f ca="1">G12+H12</f>
        <v>7</v>
      </c>
      <c r="H13" s="144"/>
      <c r="I13" s="127"/>
      <c r="J13" s="127">
        <f ca="1">J12+K12+L12+M12</f>
        <v>9</v>
      </c>
      <c r="K13" s="127"/>
      <c r="L13" s="127"/>
      <c r="M13" s="127"/>
      <c r="O13" s="134"/>
      <c r="R13" s="130">
        <v>11</v>
      </c>
      <c r="S13" s="131">
        <f t="shared" ca="1" si="1"/>
        <v>6</v>
      </c>
      <c r="U13" s="130">
        <v>11</v>
      </c>
      <c r="V13" s="131">
        <f t="shared" ca="1" si="2"/>
        <v>7</v>
      </c>
      <c r="X13" s="130">
        <v>11</v>
      </c>
      <c r="Y13" s="131">
        <f t="shared" ca="1" si="4"/>
        <v>8</v>
      </c>
      <c r="AA13" s="130">
        <v>11</v>
      </c>
      <c r="AB13" s="131">
        <f t="shared" ca="1" si="5"/>
        <v>9</v>
      </c>
      <c r="AD13" s="130">
        <v>11</v>
      </c>
      <c r="AE13" s="131">
        <f t="shared" ca="1" si="6"/>
        <v>1</v>
      </c>
      <c r="AG13" s="130">
        <v>11</v>
      </c>
      <c r="AH13" s="131">
        <f t="shared" ca="1" si="7"/>
        <v>2</v>
      </c>
      <c r="AJ13" s="130">
        <v>11</v>
      </c>
      <c r="AK13" s="131">
        <f t="shared" ca="1" si="8"/>
        <v>3</v>
      </c>
      <c r="AM13" s="130">
        <v>11</v>
      </c>
      <c r="AN13" s="131">
        <f t="shared" ca="1" si="9"/>
        <v>4</v>
      </c>
      <c r="AP13" s="130">
        <v>11</v>
      </c>
      <c r="AQ13" s="131">
        <f t="shared" ca="1" si="10"/>
        <v>5</v>
      </c>
      <c r="AS13" s="130">
        <v>11</v>
      </c>
      <c r="AT13" s="131">
        <f t="shared" ca="1" si="11"/>
        <v>6</v>
      </c>
      <c r="AV13" s="130">
        <v>11</v>
      </c>
      <c r="AW13" s="131">
        <f t="shared" ca="1" si="12"/>
        <v>7</v>
      </c>
      <c r="AY13" s="130">
        <v>11</v>
      </c>
      <c r="AZ13" s="131">
        <f t="shared" ca="1" si="13"/>
        <v>8</v>
      </c>
      <c r="CA13" s="376">
        <v>43842</v>
      </c>
      <c r="CB13" s="46" t="str">
        <f t="shared" si="3"/>
        <v>12-Jan</v>
      </c>
      <c r="CC13" s="46" t="s">
        <v>113</v>
      </c>
      <c r="CD13" s="46" t="s">
        <v>130</v>
      </c>
      <c r="CE13" s="46" t="str">
        <f t="shared" si="0"/>
        <v>Capricorn - Earth</v>
      </c>
    </row>
    <row r="14" spans="1:83" x14ac:dyDescent="0.3">
      <c r="A14" s="126"/>
      <c r="B14" s="100"/>
      <c r="C14" s="127"/>
      <c r="D14" s="144">
        <f ca="1">IF(LEN(D13)&gt;1,LEFT(D13,1)+RIGHT(D13,1),D13)</f>
        <v>8</v>
      </c>
      <c r="E14" s="127"/>
      <c r="F14" s="127"/>
      <c r="G14" s="144">
        <f ca="1">IF(LEN(G13)&gt;1,LEFT(G13,1)+RIGHT(G13,1),G13)</f>
        <v>7</v>
      </c>
      <c r="H14" s="127"/>
      <c r="I14" s="127"/>
      <c r="J14" s="144">
        <f ca="1">IF(LEN(J13)&gt;1,LEFT(J13,1)+RIGHT(J13,1),J13)</f>
        <v>9</v>
      </c>
      <c r="K14" s="100"/>
      <c r="L14" s="100"/>
      <c r="M14" s="100"/>
      <c r="O14" s="134"/>
      <c r="R14" s="130">
        <v>12</v>
      </c>
      <c r="S14" s="131">
        <f t="shared" ca="1" si="1"/>
        <v>7</v>
      </c>
      <c r="U14" s="130">
        <v>12</v>
      </c>
      <c r="V14" s="131">
        <f t="shared" ca="1" si="2"/>
        <v>8</v>
      </c>
      <c r="X14" s="130">
        <v>12</v>
      </c>
      <c r="Y14" s="131">
        <f t="shared" ca="1" si="4"/>
        <v>9</v>
      </c>
      <c r="AA14" s="130">
        <v>12</v>
      </c>
      <c r="AB14" s="131">
        <f t="shared" ca="1" si="5"/>
        <v>1</v>
      </c>
      <c r="AD14" s="130">
        <v>12</v>
      </c>
      <c r="AE14" s="131">
        <f t="shared" ca="1" si="6"/>
        <v>2</v>
      </c>
      <c r="AG14" s="130">
        <v>12</v>
      </c>
      <c r="AH14" s="131">
        <f t="shared" ca="1" si="7"/>
        <v>3</v>
      </c>
      <c r="AJ14" s="130">
        <v>12</v>
      </c>
      <c r="AK14" s="131">
        <f t="shared" ca="1" si="8"/>
        <v>4</v>
      </c>
      <c r="AM14" s="130">
        <v>12</v>
      </c>
      <c r="AN14" s="131">
        <f t="shared" ca="1" si="9"/>
        <v>5</v>
      </c>
      <c r="AP14" s="130">
        <v>12</v>
      </c>
      <c r="AQ14" s="131">
        <f t="shared" ca="1" si="10"/>
        <v>6</v>
      </c>
      <c r="AS14" s="130">
        <v>12</v>
      </c>
      <c r="AT14" s="131">
        <f t="shared" ca="1" si="11"/>
        <v>7</v>
      </c>
      <c r="AV14" s="130">
        <v>12</v>
      </c>
      <c r="AW14" s="131">
        <f t="shared" ca="1" si="12"/>
        <v>8</v>
      </c>
      <c r="AY14" s="130">
        <v>12</v>
      </c>
      <c r="AZ14" s="131">
        <f t="shared" ca="1" si="13"/>
        <v>9</v>
      </c>
      <c r="CA14" s="376">
        <v>43843</v>
      </c>
      <c r="CB14" s="46" t="str">
        <f t="shared" si="3"/>
        <v>13-Jan</v>
      </c>
      <c r="CC14" s="46" t="s">
        <v>113</v>
      </c>
      <c r="CD14" s="46" t="s">
        <v>130</v>
      </c>
      <c r="CE14" s="46" t="str">
        <f t="shared" si="0"/>
        <v>Capricorn - Earth</v>
      </c>
    </row>
    <row r="15" spans="1:83" x14ac:dyDescent="0.3">
      <c r="A15" s="126"/>
      <c r="B15" s="100"/>
      <c r="C15" s="127"/>
      <c r="D15" s="127"/>
      <c r="E15" s="127"/>
      <c r="F15" s="127"/>
      <c r="G15" s="127"/>
      <c r="H15" s="127"/>
      <c r="I15" s="127"/>
      <c r="J15" s="127"/>
      <c r="K15" s="100"/>
      <c r="L15" s="100"/>
      <c r="M15" s="100"/>
      <c r="O15" s="134"/>
      <c r="R15" s="130">
        <v>13</v>
      </c>
      <c r="S15" s="131">
        <f t="shared" ca="1" si="1"/>
        <v>8</v>
      </c>
      <c r="U15" s="130">
        <v>13</v>
      </c>
      <c r="V15" s="131">
        <f t="shared" ca="1" si="2"/>
        <v>9</v>
      </c>
      <c r="X15" s="130">
        <v>13</v>
      </c>
      <c r="Y15" s="131">
        <f t="shared" ca="1" si="4"/>
        <v>1</v>
      </c>
      <c r="AA15" s="130">
        <v>13</v>
      </c>
      <c r="AB15" s="131">
        <f t="shared" ca="1" si="5"/>
        <v>2</v>
      </c>
      <c r="AD15" s="130">
        <v>13</v>
      </c>
      <c r="AE15" s="131">
        <f t="shared" ca="1" si="6"/>
        <v>3</v>
      </c>
      <c r="AG15" s="130">
        <v>13</v>
      </c>
      <c r="AH15" s="131">
        <f t="shared" ca="1" si="7"/>
        <v>4</v>
      </c>
      <c r="AJ15" s="130">
        <v>13</v>
      </c>
      <c r="AK15" s="131">
        <f t="shared" ca="1" si="8"/>
        <v>5</v>
      </c>
      <c r="AM15" s="130">
        <v>13</v>
      </c>
      <c r="AN15" s="131">
        <f t="shared" ca="1" si="9"/>
        <v>6</v>
      </c>
      <c r="AP15" s="130">
        <v>13</v>
      </c>
      <c r="AQ15" s="131">
        <f t="shared" ca="1" si="10"/>
        <v>7</v>
      </c>
      <c r="AS15" s="130">
        <v>13</v>
      </c>
      <c r="AT15" s="131">
        <f t="shared" ca="1" si="11"/>
        <v>8</v>
      </c>
      <c r="AV15" s="130">
        <v>13</v>
      </c>
      <c r="AW15" s="131">
        <f t="shared" ca="1" si="12"/>
        <v>9</v>
      </c>
      <c r="AY15" s="130">
        <v>13</v>
      </c>
      <c r="AZ15" s="131">
        <f t="shared" ca="1" si="13"/>
        <v>1</v>
      </c>
      <c r="CA15" s="376">
        <v>43844</v>
      </c>
      <c r="CB15" s="46" t="str">
        <f t="shared" si="3"/>
        <v>14-Jan</v>
      </c>
      <c r="CC15" s="46" t="s">
        <v>113</v>
      </c>
      <c r="CD15" s="46" t="s">
        <v>130</v>
      </c>
      <c r="CE15" s="46" t="str">
        <f t="shared" si="0"/>
        <v>Capricorn - Earth</v>
      </c>
    </row>
    <row r="16" spans="1:83" x14ac:dyDescent="0.3">
      <c r="A16" s="145" t="s">
        <v>69</v>
      </c>
      <c r="B16" s="146" t="s">
        <v>170</v>
      </c>
      <c r="D16" s="127">
        <f ca="1">D7+G7+J14</f>
        <v>12</v>
      </c>
      <c r="E16" s="127"/>
      <c r="F16" s="455">
        <f ca="1">MOD(D16-1,9)+1</f>
        <v>3</v>
      </c>
      <c r="G16" s="127"/>
      <c r="H16" s="127"/>
      <c r="I16" s="127"/>
      <c r="J16" s="127"/>
      <c r="K16" s="100"/>
      <c r="L16" s="100"/>
      <c r="M16" s="100"/>
      <c r="O16" s="134"/>
      <c r="R16" s="130">
        <v>14</v>
      </c>
      <c r="S16" s="131">
        <f t="shared" ca="1" si="1"/>
        <v>9</v>
      </c>
      <c r="U16" s="130">
        <v>14</v>
      </c>
      <c r="V16" s="131">
        <f t="shared" ca="1" si="2"/>
        <v>1</v>
      </c>
      <c r="X16" s="130">
        <v>14</v>
      </c>
      <c r="Y16" s="131">
        <f t="shared" ca="1" si="4"/>
        <v>2</v>
      </c>
      <c r="AA16" s="130">
        <v>14</v>
      </c>
      <c r="AB16" s="131">
        <f t="shared" ca="1" si="5"/>
        <v>3</v>
      </c>
      <c r="AD16" s="130">
        <v>14</v>
      </c>
      <c r="AE16" s="131">
        <f t="shared" ca="1" si="6"/>
        <v>4</v>
      </c>
      <c r="AG16" s="130">
        <v>14</v>
      </c>
      <c r="AH16" s="131">
        <f t="shared" ca="1" si="7"/>
        <v>5</v>
      </c>
      <c r="AJ16" s="130">
        <v>14</v>
      </c>
      <c r="AK16" s="131">
        <f t="shared" ca="1" si="8"/>
        <v>6</v>
      </c>
      <c r="AM16" s="130">
        <v>14</v>
      </c>
      <c r="AN16" s="131">
        <f t="shared" ca="1" si="9"/>
        <v>7</v>
      </c>
      <c r="AP16" s="130">
        <v>14</v>
      </c>
      <c r="AQ16" s="131">
        <f t="shared" ca="1" si="10"/>
        <v>8</v>
      </c>
      <c r="AS16" s="130">
        <v>14</v>
      </c>
      <c r="AT16" s="131">
        <f t="shared" ca="1" si="11"/>
        <v>9</v>
      </c>
      <c r="AV16" s="130">
        <v>14</v>
      </c>
      <c r="AW16" s="131">
        <f t="shared" ca="1" si="12"/>
        <v>1</v>
      </c>
      <c r="AY16" s="130">
        <v>14</v>
      </c>
      <c r="AZ16" s="131">
        <f t="shared" ca="1" si="13"/>
        <v>2</v>
      </c>
      <c r="CA16" s="376">
        <v>43845</v>
      </c>
      <c r="CB16" s="46" t="str">
        <f t="shared" si="3"/>
        <v>15-Jan</v>
      </c>
      <c r="CC16" s="46" t="s">
        <v>113</v>
      </c>
      <c r="CD16" s="46" t="s">
        <v>130</v>
      </c>
      <c r="CE16" s="46" t="str">
        <f t="shared" si="0"/>
        <v>Capricorn - Earth</v>
      </c>
    </row>
    <row r="17" spans="1:83" x14ac:dyDescent="0.3">
      <c r="A17" s="145" t="s">
        <v>71</v>
      </c>
      <c r="B17" s="146" t="s">
        <v>168</v>
      </c>
      <c r="D17" s="127">
        <f ca="1">F16+G14</f>
        <v>10</v>
      </c>
      <c r="E17" s="127"/>
      <c r="F17" s="137">
        <f t="shared" ref="F17:F18" ca="1" si="14">MOD(D17-1,9)+1</f>
        <v>1</v>
      </c>
      <c r="G17" s="127"/>
      <c r="H17" s="127"/>
      <c r="I17" s="127"/>
      <c r="J17" s="127"/>
      <c r="K17" s="100"/>
      <c r="L17" s="100"/>
      <c r="M17" s="100"/>
      <c r="O17" s="134"/>
      <c r="R17" s="130">
        <v>15</v>
      </c>
      <c r="S17" s="131">
        <f t="shared" ca="1" si="1"/>
        <v>1</v>
      </c>
      <c r="U17" s="130">
        <v>15</v>
      </c>
      <c r="V17" s="131">
        <f t="shared" ca="1" si="2"/>
        <v>2</v>
      </c>
      <c r="X17" s="130">
        <v>15</v>
      </c>
      <c r="Y17" s="131">
        <f t="shared" ca="1" si="4"/>
        <v>3</v>
      </c>
      <c r="AA17" s="130">
        <v>15</v>
      </c>
      <c r="AB17" s="131">
        <f t="shared" ca="1" si="5"/>
        <v>4</v>
      </c>
      <c r="AD17" s="130">
        <v>15</v>
      </c>
      <c r="AE17" s="131">
        <f t="shared" ca="1" si="6"/>
        <v>5</v>
      </c>
      <c r="AG17" s="130">
        <v>15</v>
      </c>
      <c r="AH17" s="131">
        <f t="shared" ca="1" si="7"/>
        <v>6</v>
      </c>
      <c r="AJ17" s="130">
        <v>15</v>
      </c>
      <c r="AK17" s="131">
        <f t="shared" ca="1" si="8"/>
        <v>7</v>
      </c>
      <c r="AM17" s="130">
        <v>15</v>
      </c>
      <c r="AN17" s="131">
        <f t="shared" ca="1" si="9"/>
        <v>8</v>
      </c>
      <c r="AP17" s="130">
        <v>15</v>
      </c>
      <c r="AQ17" s="131">
        <f t="shared" ca="1" si="10"/>
        <v>9</v>
      </c>
      <c r="AS17" s="130">
        <v>15</v>
      </c>
      <c r="AT17" s="131">
        <f t="shared" ca="1" si="11"/>
        <v>1</v>
      </c>
      <c r="AV17" s="130">
        <v>15</v>
      </c>
      <c r="AW17" s="131">
        <f t="shared" ca="1" si="12"/>
        <v>2</v>
      </c>
      <c r="AY17" s="130">
        <v>15</v>
      </c>
      <c r="AZ17" s="131">
        <f t="shared" ca="1" si="13"/>
        <v>3</v>
      </c>
      <c r="CA17" s="376">
        <v>43846</v>
      </c>
      <c r="CB17" s="46" t="str">
        <f t="shared" si="3"/>
        <v>16-Jan</v>
      </c>
      <c r="CC17" s="46" t="s">
        <v>113</v>
      </c>
      <c r="CD17" s="46" t="s">
        <v>130</v>
      </c>
      <c r="CE17" s="46" t="str">
        <f t="shared" si="0"/>
        <v>Capricorn - Earth</v>
      </c>
    </row>
    <row r="18" spans="1:83" x14ac:dyDescent="0.3">
      <c r="A18" s="145" t="s">
        <v>74</v>
      </c>
      <c r="B18" s="146" t="s">
        <v>169</v>
      </c>
      <c r="D18" s="127">
        <f ca="1">D14+F17</f>
        <v>9</v>
      </c>
      <c r="E18" s="127"/>
      <c r="F18" s="137">
        <f t="shared" ca="1" si="14"/>
        <v>9</v>
      </c>
      <c r="G18" s="127"/>
      <c r="H18" s="127"/>
      <c r="I18" s="127"/>
      <c r="J18" s="127"/>
      <c r="K18" s="100"/>
      <c r="L18" s="100"/>
      <c r="M18" s="100"/>
      <c r="O18" s="134"/>
      <c r="R18" s="130">
        <v>16</v>
      </c>
      <c r="S18" s="131">
        <f t="shared" ca="1" si="1"/>
        <v>2</v>
      </c>
      <c r="U18" s="130">
        <v>16</v>
      </c>
      <c r="V18" s="131">
        <f t="shared" ca="1" si="2"/>
        <v>3</v>
      </c>
      <c r="X18" s="130">
        <v>16</v>
      </c>
      <c r="Y18" s="131">
        <f t="shared" ca="1" si="4"/>
        <v>4</v>
      </c>
      <c r="AA18" s="130">
        <v>16</v>
      </c>
      <c r="AB18" s="131">
        <f t="shared" ca="1" si="5"/>
        <v>5</v>
      </c>
      <c r="AD18" s="130">
        <v>16</v>
      </c>
      <c r="AE18" s="131">
        <f t="shared" ca="1" si="6"/>
        <v>6</v>
      </c>
      <c r="AG18" s="130">
        <v>16</v>
      </c>
      <c r="AH18" s="131">
        <f t="shared" ca="1" si="7"/>
        <v>7</v>
      </c>
      <c r="AJ18" s="130">
        <v>16</v>
      </c>
      <c r="AK18" s="131">
        <f t="shared" ca="1" si="8"/>
        <v>8</v>
      </c>
      <c r="AM18" s="130">
        <v>16</v>
      </c>
      <c r="AN18" s="131">
        <f t="shared" ca="1" si="9"/>
        <v>9</v>
      </c>
      <c r="AP18" s="130">
        <v>16</v>
      </c>
      <c r="AQ18" s="131">
        <f t="shared" ca="1" si="10"/>
        <v>1</v>
      </c>
      <c r="AS18" s="130">
        <v>16</v>
      </c>
      <c r="AT18" s="131">
        <f t="shared" ca="1" si="11"/>
        <v>2</v>
      </c>
      <c r="AV18" s="130">
        <v>16</v>
      </c>
      <c r="AW18" s="131">
        <f t="shared" ca="1" si="12"/>
        <v>3</v>
      </c>
      <c r="AY18" s="130">
        <v>16</v>
      </c>
      <c r="AZ18" s="131">
        <f t="shared" ca="1" si="13"/>
        <v>4</v>
      </c>
      <c r="CA18" s="376">
        <v>43847</v>
      </c>
      <c r="CB18" s="46" t="str">
        <f t="shared" si="3"/>
        <v>17-Jan</v>
      </c>
      <c r="CC18" s="46" t="s">
        <v>113</v>
      </c>
      <c r="CD18" s="46" t="s">
        <v>130</v>
      </c>
      <c r="CE18" s="46" t="str">
        <f t="shared" si="0"/>
        <v>Capricorn - Earth</v>
      </c>
    </row>
    <row r="19" spans="1:83" x14ac:dyDescent="0.3">
      <c r="A19" s="126"/>
      <c r="B19" s="100"/>
      <c r="C19" s="127"/>
      <c r="D19" s="127"/>
      <c r="E19" s="127"/>
      <c r="F19" s="127"/>
      <c r="G19" s="127"/>
      <c r="H19" s="127"/>
      <c r="I19" s="127"/>
      <c r="J19" s="127"/>
      <c r="K19" s="127"/>
      <c r="L19" s="127"/>
      <c r="M19" s="100"/>
      <c r="N19" s="100"/>
      <c r="O19" s="128"/>
      <c r="R19" s="130">
        <v>17</v>
      </c>
      <c r="S19" s="131">
        <f t="shared" ca="1" si="1"/>
        <v>3</v>
      </c>
      <c r="U19" s="130">
        <v>17</v>
      </c>
      <c r="V19" s="131">
        <f t="shared" ca="1" si="2"/>
        <v>4</v>
      </c>
      <c r="X19" s="130">
        <v>17</v>
      </c>
      <c r="Y19" s="131">
        <f t="shared" ca="1" si="4"/>
        <v>5</v>
      </c>
      <c r="AA19" s="130">
        <v>17</v>
      </c>
      <c r="AB19" s="131">
        <f t="shared" ca="1" si="5"/>
        <v>6</v>
      </c>
      <c r="AD19" s="130">
        <v>17</v>
      </c>
      <c r="AE19" s="131">
        <f t="shared" ca="1" si="6"/>
        <v>7</v>
      </c>
      <c r="AG19" s="130">
        <v>17</v>
      </c>
      <c r="AH19" s="131">
        <f t="shared" ca="1" si="7"/>
        <v>8</v>
      </c>
      <c r="AJ19" s="130">
        <v>17</v>
      </c>
      <c r="AK19" s="131">
        <f t="shared" ca="1" si="8"/>
        <v>9</v>
      </c>
      <c r="AM19" s="130">
        <v>17</v>
      </c>
      <c r="AN19" s="131">
        <f t="shared" ca="1" si="9"/>
        <v>1</v>
      </c>
      <c r="AP19" s="130">
        <v>17</v>
      </c>
      <c r="AQ19" s="131">
        <f t="shared" ca="1" si="10"/>
        <v>2</v>
      </c>
      <c r="AS19" s="130">
        <v>17</v>
      </c>
      <c r="AT19" s="131">
        <f t="shared" ca="1" si="11"/>
        <v>3</v>
      </c>
      <c r="AV19" s="130">
        <v>17</v>
      </c>
      <c r="AW19" s="131">
        <f t="shared" ca="1" si="12"/>
        <v>4</v>
      </c>
      <c r="AY19" s="130">
        <v>17</v>
      </c>
      <c r="AZ19" s="131">
        <f t="shared" ca="1" si="13"/>
        <v>5</v>
      </c>
      <c r="CA19" s="376">
        <v>43848</v>
      </c>
      <c r="CB19" s="46" t="str">
        <f t="shared" si="3"/>
        <v>18-Jan</v>
      </c>
      <c r="CC19" s="46" t="s">
        <v>113</v>
      </c>
      <c r="CD19" s="46" t="s">
        <v>130</v>
      </c>
      <c r="CE19" s="46" t="str">
        <f t="shared" si="0"/>
        <v>Capricorn - Earth</v>
      </c>
    </row>
    <row r="20" spans="1:83" ht="18.600000000000001" thickBot="1" x14ac:dyDescent="0.35">
      <c r="A20" s="138"/>
      <c r="B20" s="147"/>
      <c r="C20" s="187"/>
      <c r="D20" s="139"/>
      <c r="E20" s="139"/>
      <c r="F20" s="139"/>
      <c r="G20" s="139"/>
      <c r="H20" s="139"/>
      <c r="I20" s="139"/>
      <c r="J20" s="139"/>
      <c r="K20" s="139"/>
      <c r="L20" s="139"/>
      <c r="M20" s="147"/>
      <c r="N20" s="147"/>
      <c r="O20" s="188"/>
      <c r="R20" s="130">
        <v>18</v>
      </c>
      <c r="S20" s="131">
        <f t="shared" ca="1" si="1"/>
        <v>4</v>
      </c>
      <c r="U20" s="130">
        <v>18</v>
      </c>
      <c r="V20" s="131">
        <f t="shared" ca="1" si="2"/>
        <v>5</v>
      </c>
      <c r="X20" s="130">
        <v>18</v>
      </c>
      <c r="Y20" s="131">
        <f t="shared" ca="1" si="4"/>
        <v>6</v>
      </c>
      <c r="AA20" s="130">
        <v>18</v>
      </c>
      <c r="AB20" s="131">
        <f t="shared" ca="1" si="5"/>
        <v>7</v>
      </c>
      <c r="AD20" s="130">
        <v>18</v>
      </c>
      <c r="AE20" s="131">
        <f t="shared" ca="1" si="6"/>
        <v>8</v>
      </c>
      <c r="AG20" s="130">
        <v>18</v>
      </c>
      <c r="AH20" s="131">
        <f t="shared" ca="1" si="7"/>
        <v>9</v>
      </c>
      <c r="AJ20" s="130">
        <v>18</v>
      </c>
      <c r="AK20" s="131">
        <f t="shared" ca="1" si="8"/>
        <v>1</v>
      </c>
      <c r="AM20" s="130">
        <v>18</v>
      </c>
      <c r="AN20" s="131">
        <f t="shared" ca="1" si="9"/>
        <v>2</v>
      </c>
      <c r="AP20" s="130">
        <v>18</v>
      </c>
      <c r="AQ20" s="131">
        <f t="shared" ca="1" si="10"/>
        <v>3</v>
      </c>
      <c r="AS20" s="130">
        <v>18</v>
      </c>
      <c r="AT20" s="131">
        <f t="shared" ca="1" si="11"/>
        <v>4</v>
      </c>
      <c r="AV20" s="130">
        <v>18</v>
      </c>
      <c r="AW20" s="131">
        <f t="shared" ca="1" si="12"/>
        <v>5</v>
      </c>
      <c r="AY20" s="130">
        <v>18</v>
      </c>
      <c r="AZ20" s="131">
        <f t="shared" ca="1" si="13"/>
        <v>6</v>
      </c>
      <c r="CA20" s="376">
        <v>43849</v>
      </c>
      <c r="CB20" s="46" t="str">
        <f t="shared" si="3"/>
        <v>19-Jan</v>
      </c>
      <c r="CC20" s="46" t="s">
        <v>113</v>
      </c>
      <c r="CD20" s="46" t="s">
        <v>130</v>
      </c>
      <c r="CE20" s="46" t="str">
        <f t="shared" si="0"/>
        <v>Capricorn - Earth</v>
      </c>
    </row>
    <row r="21" spans="1:83" s="135" customFormat="1" x14ac:dyDescent="0.3">
      <c r="A21" s="182"/>
      <c r="B21" s="183"/>
      <c r="C21" s="184"/>
      <c r="D21" s="184"/>
      <c r="E21" s="184"/>
      <c r="F21" s="184"/>
      <c r="G21" s="184"/>
      <c r="H21" s="184"/>
      <c r="I21" s="184"/>
      <c r="J21" s="184"/>
      <c r="K21" s="183"/>
      <c r="L21" s="183"/>
      <c r="M21" s="183"/>
      <c r="R21" s="130">
        <v>19</v>
      </c>
      <c r="S21" s="131">
        <f t="shared" ca="1" si="1"/>
        <v>5</v>
      </c>
      <c r="T21" s="132"/>
      <c r="U21" s="130">
        <v>19</v>
      </c>
      <c r="V21" s="131">
        <f t="shared" ca="1" si="2"/>
        <v>6</v>
      </c>
      <c r="W21" s="132"/>
      <c r="X21" s="130">
        <v>19</v>
      </c>
      <c r="Y21" s="131">
        <f t="shared" ca="1" si="4"/>
        <v>7</v>
      </c>
      <c r="Z21" s="132"/>
      <c r="AA21" s="130">
        <v>19</v>
      </c>
      <c r="AB21" s="131">
        <f t="shared" ca="1" si="5"/>
        <v>8</v>
      </c>
      <c r="AC21" s="132"/>
      <c r="AD21" s="130">
        <v>19</v>
      </c>
      <c r="AE21" s="131">
        <f t="shared" ca="1" si="6"/>
        <v>9</v>
      </c>
      <c r="AF21" s="132"/>
      <c r="AG21" s="130">
        <v>19</v>
      </c>
      <c r="AH21" s="131">
        <f t="shared" ca="1" si="7"/>
        <v>1</v>
      </c>
      <c r="AI21" s="132"/>
      <c r="AJ21" s="130">
        <v>19</v>
      </c>
      <c r="AK21" s="131">
        <f t="shared" ca="1" si="8"/>
        <v>2</v>
      </c>
      <c r="AL21" s="132"/>
      <c r="AM21" s="130">
        <v>19</v>
      </c>
      <c r="AN21" s="131">
        <f t="shared" ca="1" si="9"/>
        <v>3</v>
      </c>
      <c r="AO21" s="132"/>
      <c r="AP21" s="130">
        <v>19</v>
      </c>
      <c r="AQ21" s="131">
        <f t="shared" ca="1" si="10"/>
        <v>4</v>
      </c>
      <c r="AR21" s="132"/>
      <c r="AS21" s="130">
        <v>19</v>
      </c>
      <c r="AT21" s="131">
        <f t="shared" ca="1" si="11"/>
        <v>5</v>
      </c>
      <c r="AU21" s="132"/>
      <c r="AV21" s="130">
        <v>19</v>
      </c>
      <c r="AW21" s="131">
        <f t="shared" ca="1" si="12"/>
        <v>6</v>
      </c>
      <c r="AX21" s="132"/>
      <c r="AY21" s="130">
        <v>19</v>
      </c>
      <c r="AZ21" s="131">
        <f t="shared" ca="1" si="13"/>
        <v>7</v>
      </c>
      <c r="CA21" s="376">
        <v>43850</v>
      </c>
      <c r="CB21" s="46" t="str">
        <f t="shared" si="3"/>
        <v>20-Jan</v>
      </c>
      <c r="CC21" s="46" t="s">
        <v>114</v>
      </c>
      <c r="CD21" s="46" t="s">
        <v>132</v>
      </c>
      <c r="CE21" s="46" t="str">
        <f t="shared" si="0"/>
        <v>Aquarius - Air</v>
      </c>
    </row>
    <row r="22" spans="1:83" x14ac:dyDescent="0.3">
      <c r="A22" s="185"/>
      <c r="B22" s="100"/>
      <c r="C22" s="127" t="s">
        <v>170</v>
      </c>
      <c r="D22" s="455"/>
      <c r="E22" s="127"/>
      <c r="F22" s="127"/>
      <c r="G22" s="127"/>
      <c r="H22" s="127"/>
      <c r="I22" s="127"/>
      <c r="J22" s="127"/>
      <c r="K22" s="100"/>
      <c r="L22" s="100"/>
      <c r="M22" s="100"/>
      <c r="R22" s="130">
        <v>20</v>
      </c>
      <c r="S22" s="131">
        <f t="shared" ca="1" si="1"/>
        <v>6</v>
      </c>
      <c r="U22" s="130">
        <v>20</v>
      </c>
      <c r="V22" s="131">
        <f t="shared" ca="1" si="2"/>
        <v>7</v>
      </c>
      <c r="X22" s="130">
        <v>20</v>
      </c>
      <c r="Y22" s="131">
        <f t="shared" ca="1" si="4"/>
        <v>8</v>
      </c>
      <c r="AA22" s="130">
        <v>20</v>
      </c>
      <c r="AB22" s="131">
        <f t="shared" ca="1" si="5"/>
        <v>9</v>
      </c>
      <c r="AD22" s="130">
        <v>20</v>
      </c>
      <c r="AE22" s="131">
        <f t="shared" ca="1" si="6"/>
        <v>1</v>
      </c>
      <c r="AG22" s="130">
        <v>20</v>
      </c>
      <c r="AH22" s="131">
        <f t="shared" ca="1" si="7"/>
        <v>2</v>
      </c>
      <c r="AJ22" s="130">
        <v>20</v>
      </c>
      <c r="AK22" s="131">
        <f t="shared" ca="1" si="8"/>
        <v>3</v>
      </c>
      <c r="AM22" s="130">
        <v>20</v>
      </c>
      <c r="AN22" s="131">
        <f t="shared" ca="1" si="9"/>
        <v>4</v>
      </c>
      <c r="AP22" s="130">
        <v>20</v>
      </c>
      <c r="AQ22" s="131">
        <f t="shared" ca="1" si="10"/>
        <v>5</v>
      </c>
      <c r="AS22" s="130">
        <v>20</v>
      </c>
      <c r="AT22" s="131">
        <f t="shared" ca="1" si="11"/>
        <v>6</v>
      </c>
      <c r="AV22" s="130">
        <v>20</v>
      </c>
      <c r="AW22" s="131">
        <f t="shared" ca="1" si="12"/>
        <v>7</v>
      </c>
      <c r="AY22" s="130">
        <v>20</v>
      </c>
      <c r="AZ22" s="131">
        <f t="shared" ca="1" si="13"/>
        <v>8</v>
      </c>
      <c r="CA22" s="376">
        <v>43851</v>
      </c>
      <c r="CB22" s="46" t="str">
        <f t="shared" si="3"/>
        <v>21-Jan</v>
      </c>
      <c r="CC22" s="46" t="s">
        <v>114</v>
      </c>
      <c r="CD22" s="46" t="s">
        <v>132</v>
      </c>
      <c r="CE22" s="46" t="str">
        <f t="shared" si="0"/>
        <v>Aquarius - Air</v>
      </c>
    </row>
    <row r="23" spans="1:83" x14ac:dyDescent="0.3">
      <c r="A23" s="186"/>
      <c r="B23" s="100"/>
      <c r="C23" s="127" t="s">
        <v>253</v>
      </c>
      <c r="D23" s="527"/>
      <c r="E23" s="144"/>
      <c r="F23" s="127"/>
      <c r="G23" s="144"/>
      <c r="H23" s="144"/>
      <c r="I23" s="127"/>
      <c r="J23" s="127"/>
      <c r="K23" s="127"/>
      <c r="L23" s="127"/>
      <c r="M23" s="127"/>
      <c r="R23" s="130">
        <v>21</v>
      </c>
      <c r="S23" s="131">
        <f t="shared" ca="1" si="1"/>
        <v>7</v>
      </c>
      <c r="U23" s="130">
        <v>21</v>
      </c>
      <c r="V23" s="131">
        <f t="shared" ca="1" si="2"/>
        <v>8</v>
      </c>
      <c r="X23" s="130">
        <v>21</v>
      </c>
      <c r="Y23" s="131">
        <f t="shared" ca="1" si="4"/>
        <v>9</v>
      </c>
      <c r="AA23" s="130">
        <v>21</v>
      </c>
      <c r="AB23" s="131">
        <f t="shared" ca="1" si="5"/>
        <v>1</v>
      </c>
      <c r="AD23" s="130">
        <v>21</v>
      </c>
      <c r="AE23" s="131">
        <f t="shared" ca="1" si="6"/>
        <v>2</v>
      </c>
      <c r="AG23" s="130">
        <v>21</v>
      </c>
      <c r="AH23" s="131">
        <f t="shared" ca="1" si="7"/>
        <v>3</v>
      </c>
      <c r="AJ23" s="130">
        <v>21</v>
      </c>
      <c r="AK23" s="131">
        <f t="shared" ca="1" si="8"/>
        <v>4</v>
      </c>
      <c r="AM23" s="130">
        <v>21</v>
      </c>
      <c r="AN23" s="131">
        <f t="shared" ca="1" si="9"/>
        <v>5</v>
      </c>
      <c r="AP23" s="130">
        <v>21</v>
      </c>
      <c r="AQ23" s="131">
        <f t="shared" ca="1" si="10"/>
        <v>6</v>
      </c>
      <c r="AS23" s="130">
        <v>21</v>
      </c>
      <c r="AT23" s="131">
        <f t="shared" ca="1" si="11"/>
        <v>7</v>
      </c>
      <c r="AV23" s="130">
        <v>21</v>
      </c>
      <c r="AW23" s="131">
        <f t="shared" ca="1" si="12"/>
        <v>8</v>
      </c>
      <c r="AY23" s="130">
        <v>21</v>
      </c>
      <c r="AZ23" s="131">
        <f t="shared" ca="1" si="13"/>
        <v>9</v>
      </c>
      <c r="CA23" s="376">
        <v>43852</v>
      </c>
      <c r="CB23" s="46" t="str">
        <f t="shared" si="3"/>
        <v>22-Jan</v>
      </c>
      <c r="CC23" s="46" t="s">
        <v>114</v>
      </c>
      <c r="CD23" s="46" t="s">
        <v>132</v>
      </c>
      <c r="CE23" s="46" t="str">
        <f t="shared" si="0"/>
        <v>Aquarius - Air</v>
      </c>
    </row>
    <row r="24" spans="1:83" x14ac:dyDescent="0.3">
      <c r="A24" s="186"/>
      <c r="B24" s="100"/>
      <c r="C24" s="127"/>
      <c r="D24" s="144"/>
      <c r="E24" s="127"/>
      <c r="F24" s="127"/>
      <c r="G24" s="144"/>
      <c r="H24" s="127"/>
      <c r="I24" s="127"/>
      <c r="J24" s="144"/>
      <c r="K24" s="100"/>
      <c r="L24" s="100"/>
      <c r="M24" s="100"/>
      <c r="R24" s="130">
        <v>22</v>
      </c>
      <c r="S24" s="131">
        <f t="shared" ca="1" si="1"/>
        <v>8</v>
      </c>
      <c r="U24" s="130">
        <v>22</v>
      </c>
      <c r="V24" s="131">
        <f t="shared" ca="1" si="2"/>
        <v>9</v>
      </c>
      <c r="X24" s="130">
        <v>22</v>
      </c>
      <c r="Y24" s="131">
        <f t="shared" ca="1" si="4"/>
        <v>1</v>
      </c>
      <c r="AA24" s="130">
        <v>22</v>
      </c>
      <c r="AB24" s="131">
        <f t="shared" ca="1" si="5"/>
        <v>2</v>
      </c>
      <c r="AD24" s="130">
        <v>22</v>
      </c>
      <c r="AE24" s="131">
        <f t="shared" ca="1" si="6"/>
        <v>3</v>
      </c>
      <c r="AG24" s="130">
        <v>22</v>
      </c>
      <c r="AH24" s="131">
        <f t="shared" ca="1" si="7"/>
        <v>4</v>
      </c>
      <c r="AJ24" s="130">
        <v>22</v>
      </c>
      <c r="AK24" s="131">
        <f t="shared" ca="1" si="8"/>
        <v>5</v>
      </c>
      <c r="AM24" s="130">
        <v>22</v>
      </c>
      <c r="AN24" s="131">
        <f t="shared" ca="1" si="9"/>
        <v>6</v>
      </c>
      <c r="AP24" s="130">
        <v>22</v>
      </c>
      <c r="AQ24" s="131">
        <f t="shared" ca="1" si="10"/>
        <v>7</v>
      </c>
      <c r="AS24" s="130">
        <v>22</v>
      </c>
      <c r="AT24" s="131">
        <f t="shared" ca="1" si="11"/>
        <v>8</v>
      </c>
      <c r="AV24" s="130">
        <v>22</v>
      </c>
      <c r="AW24" s="131">
        <f t="shared" ca="1" si="12"/>
        <v>9</v>
      </c>
      <c r="AY24" s="130">
        <v>22</v>
      </c>
      <c r="AZ24" s="131">
        <f t="shared" ca="1" si="13"/>
        <v>1</v>
      </c>
      <c r="CA24" s="376">
        <v>43853</v>
      </c>
      <c r="CB24" s="46" t="str">
        <f t="shared" si="3"/>
        <v>23-Jan</v>
      </c>
      <c r="CC24" s="46" t="s">
        <v>114</v>
      </c>
      <c r="CD24" s="46" t="s">
        <v>132</v>
      </c>
      <c r="CE24" s="46" t="str">
        <f t="shared" si="0"/>
        <v>Aquarius - Air</v>
      </c>
    </row>
    <row r="25" spans="1:83" x14ac:dyDescent="0.3">
      <c r="A25" s="13"/>
      <c r="B25" s="530" t="s">
        <v>256</v>
      </c>
      <c r="C25" s="530" t="s">
        <v>257</v>
      </c>
      <c r="D25" s="127"/>
      <c r="E25" s="127"/>
      <c r="F25" s="127"/>
      <c r="G25" s="127"/>
      <c r="H25" s="127"/>
      <c r="I25" s="127"/>
      <c r="J25" s="127"/>
      <c r="K25" s="100"/>
      <c r="L25" s="100"/>
      <c r="M25" s="100"/>
      <c r="R25" s="130">
        <v>23</v>
      </c>
      <c r="S25" s="131">
        <f t="shared" ca="1" si="1"/>
        <v>9</v>
      </c>
      <c r="U25" s="130">
        <v>23</v>
      </c>
      <c r="V25" s="131">
        <f t="shared" ca="1" si="2"/>
        <v>1</v>
      </c>
      <c r="X25" s="130">
        <v>23</v>
      </c>
      <c r="Y25" s="131">
        <f t="shared" ca="1" si="4"/>
        <v>2</v>
      </c>
      <c r="AA25" s="130">
        <v>23</v>
      </c>
      <c r="AB25" s="131">
        <f t="shared" ca="1" si="5"/>
        <v>3</v>
      </c>
      <c r="AD25" s="130">
        <v>23</v>
      </c>
      <c r="AE25" s="131">
        <f t="shared" ca="1" si="6"/>
        <v>4</v>
      </c>
      <c r="AG25" s="130">
        <v>23</v>
      </c>
      <c r="AH25" s="131">
        <f t="shared" ca="1" si="7"/>
        <v>5</v>
      </c>
      <c r="AJ25" s="130">
        <v>23</v>
      </c>
      <c r="AK25" s="131">
        <f t="shared" ca="1" si="8"/>
        <v>6</v>
      </c>
      <c r="AM25" s="130">
        <v>23</v>
      </c>
      <c r="AN25" s="131">
        <f t="shared" ca="1" si="9"/>
        <v>7</v>
      </c>
      <c r="AP25" s="130">
        <v>23</v>
      </c>
      <c r="AQ25" s="131">
        <f t="shared" ca="1" si="10"/>
        <v>8</v>
      </c>
      <c r="AS25" s="130">
        <v>23</v>
      </c>
      <c r="AT25" s="131">
        <f t="shared" ca="1" si="11"/>
        <v>9</v>
      </c>
      <c r="AV25" s="130">
        <v>23</v>
      </c>
      <c r="AW25" s="131">
        <f t="shared" ca="1" si="12"/>
        <v>1</v>
      </c>
      <c r="AY25" s="130">
        <v>23</v>
      </c>
      <c r="AZ25" s="131">
        <f t="shared" ca="1" si="13"/>
        <v>2</v>
      </c>
      <c r="CA25" s="376">
        <v>43854</v>
      </c>
      <c r="CB25" s="46" t="str">
        <f t="shared" si="3"/>
        <v>24-Jan</v>
      </c>
      <c r="CC25" s="46" t="s">
        <v>114</v>
      </c>
      <c r="CD25" s="46" t="s">
        <v>132</v>
      </c>
      <c r="CE25" s="46" t="str">
        <f t="shared" si="0"/>
        <v>Aquarius - Air</v>
      </c>
    </row>
    <row r="26" spans="1:83" x14ac:dyDescent="0.3">
      <c r="A26" s="531">
        <f>MOD(B26-1,9)+1</f>
        <v>8</v>
      </c>
      <c r="B26" s="43">
        <v>2015</v>
      </c>
      <c r="C26" s="43">
        <f>MOD($D$7+$G$7+A26-1,9)+1</f>
        <v>2</v>
      </c>
      <c r="D26" s="127"/>
      <c r="E26" s="127"/>
      <c r="F26" s="144"/>
      <c r="G26" s="127"/>
      <c r="H26" s="127"/>
      <c r="I26" s="127"/>
      <c r="J26" s="127"/>
      <c r="K26" s="100"/>
      <c r="L26" s="100"/>
      <c r="M26" s="100"/>
      <c r="R26" s="130">
        <v>24</v>
      </c>
      <c r="S26" s="131">
        <f t="shared" ca="1" si="1"/>
        <v>1</v>
      </c>
      <c r="U26" s="130">
        <v>24</v>
      </c>
      <c r="V26" s="131">
        <f t="shared" ca="1" si="2"/>
        <v>2</v>
      </c>
      <c r="X26" s="130">
        <v>24</v>
      </c>
      <c r="Y26" s="131">
        <f t="shared" ca="1" si="4"/>
        <v>3</v>
      </c>
      <c r="AA26" s="130">
        <v>24</v>
      </c>
      <c r="AB26" s="131">
        <f t="shared" ca="1" si="5"/>
        <v>4</v>
      </c>
      <c r="AD26" s="130">
        <v>24</v>
      </c>
      <c r="AE26" s="131">
        <f t="shared" ca="1" si="6"/>
        <v>5</v>
      </c>
      <c r="AG26" s="130">
        <v>24</v>
      </c>
      <c r="AH26" s="131">
        <f t="shared" ca="1" si="7"/>
        <v>6</v>
      </c>
      <c r="AJ26" s="130">
        <v>24</v>
      </c>
      <c r="AK26" s="131">
        <f t="shared" ca="1" si="8"/>
        <v>7</v>
      </c>
      <c r="AM26" s="130">
        <v>24</v>
      </c>
      <c r="AN26" s="131">
        <f t="shared" ca="1" si="9"/>
        <v>8</v>
      </c>
      <c r="AP26" s="130">
        <v>24</v>
      </c>
      <c r="AQ26" s="131">
        <f t="shared" ca="1" si="10"/>
        <v>9</v>
      </c>
      <c r="AS26" s="130">
        <v>24</v>
      </c>
      <c r="AT26" s="131">
        <f t="shared" ca="1" si="11"/>
        <v>1</v>
      </c>
      <c r="AV26" s="130">
        <v>24</v>
      </c>
      <c r="AW26" s="131">
        <f t="shared" ca="1" si="12"/>
        <v>2</v>
      </c>
      <c r="AY26" s="130">
        <v>24</v>
      </c>
      <c r="AZ26" s="131">
        <f t="shared" ca="1" si="13"/>
        <v>3</v>
      </c>
      <c r="CA26" s="376">
        <v>43855</v>
      </c>
      <c r="CB26" s="46" t="str">
        <f t="shared" si="3"/>
        <v>25-Jan</v>
      </c>
      <c r="CC26" s="46" t="s">
        <v>114</v>
      </c>
      <c r="CD26" s="46" t="s">
        <v>132</v>
      </c>
      <c r="CE26" s="46" t="str">
        <f t="shared" si="0"/>
        <v>Aquarius - Air</v>
      </c>
    </row>
    <row r="27" spans="1:83" x14ac:dyDescent="0.3">
      <c r="A27" s="531">
        <f t="shared" ref="A27:A40" si="15">MOD(B27-1,9)+1</f>
        <v>9</v>
      </c>
      <c r="B27" s="43">
        <v>2016</v>
      </c>
      <c r="C27" s="43">
        <f t="shared" ref="C27:C40" si="16">MOD($D$7+$G$7+A27-1,9)+1</f>
        <v>3</v>
      </c>
      <c r="D27" s="127"/>
      <c r="E27" s="127"/>
      <c r="F27" s="144"/>
      <c r="G27" s="127"/>
      <c r="H27" s="127"/>
      <c r="I27" s="127"/>
      <c r="J27" s="127"/>
      <c r="K27" s="100"/>
      <c r="L27" s="100"/>
      <c r="M27" s="100"/>
      <c r="R27" s="130">
        <v>25</v>
      </c>
      <c r="S27" s="131">
        <f t="shared" ca="1" si="1"/>
        <v>2</v>
      </c>
      <c r="U27" s="130">
        <v>25</v>
      </c>
      <c r="V27" s="131">
        <f t="shared" ca="1" si="2"/>
        <v>3</v>
      </c>
      <c r="X27" s="130">
        <v>25</v>
      </c>
      <c r="Y27" s="131">
        <f t="shared" ca="1" si="4"/>
        <v>4</v>
      </c>
      <c r="AA27" s="130">
        <v>25</v>
      </c>
      <c r="AB27" s="131">
        <f t="shared" ca="1" si="5"/>
        <v>5</v>
      </c>
      <c r="AD27" s="130">
        <v>25</v>
      </c>
      <c r="AE27" s="131">
        <f t="shared" ca="1" si="6"/>
        <v>6</v>
      </c>
      <c r="AG27" s="130">
        <v>25</v>
      </c>
      <c r="AH27" s="131">
        <f t="shared" ca="1" si="7"/>
        <v>7</v>
      </c>
      <c r="AJ27" s="130">
        <v>25</v>
      </c>
      <c r="AK27" s="131">
        <f t="shared" ca="1" si="8"/>
        <v>8</v>
      </c>
      <c r="AM27" s="130">
        <v>25</v>
      </c>
      <c r="AN27" s="131">
        <f t="shared" ca="1" si="9"/>
        <v>9</v>
      </c>
      <c r="AP27" s="130">
        <v>25</v>
      </c>
      <c r="AQ27" s="131">
        <f t="shared" ca="1" si="10"/>
        <v>1</v>
      </c>
      <c r="AS27" s="130">
        <v>25</v>
      </c>
      <c r="AT27" s="131">
        <f t="shared" ca="1" si="11"/>
        <v>2</v>
      </c>
      <c r="AV27" s="130">
        <v>25</v>
      </c>
      <c r="AW27" s="131">
        <f t="shared" ca="1" si="12"/>
        <v>3</v>
      </c>
      <c r="AY27" s="130">
        <v>25</v>
      </c>
      <c r="AZ27" s="131">
        <f t="shared" ca="1" si="13"/>
        <v>4</v>
      </c>
      <c r="CA27" s="376">
        <v>43856</v>
      </c>
      <c r="CB27" s="46" t="str">
        <f t="shared" si="3"/>
        <v>26-Jan</v>
      </c>
      <c r="CC27" s="46" t="s">
        <v>114</v>
      </c>
      <c r="CD27" s="46" t="s">
        <v>132</v>
      </c>
      <c r="CE27" s="46" t="str">
        <f t="shared" si="0"/>
        <v>Aquarius - Air</v>
      </c>
    </row>
    <row r="28" spans="1:83" x14ac:dyDescent="0.3">
      <c r="A28" s="531">
        <f t="shared" si="15"/>
        <v>1</v>
      </c>
      <c r="B28" s="43">
        <v>2017</v>
      </c>
      <c r="C28" s="43">
        <f t="shared" si="16"/>
        <v>4</v>
      </c>
      <c r="D28" s="127"/>
      <c r="E28" s="127"/>
      <c r="F28" s="144"/>
      <c r="G28" s="127"/>
      <c r="H28" s="127"/>
      <c r="I28" s="127"/>
      <c r="J28" s="127"/>
      <c r="K28" s="100"/>
      <c r="L28" s="100"/>
      <c r="M28" s="100"/>
      <c r="R28" s="130">
        <v>26</v>
      </c>
      <c r="S28" s="131">
        <f t="shared" ca="1" si="1"/>
        <v>3</v>
      </c>
      <c r="U28" s="130">
        <v>26</v>
      </c>
      <c r="V28" s="131">
        <f t="shared" ca="1" si="2"/>
        <v>4</v>
      </c>
      <c r="X28" s="130">
        <v>26</v>
      </c>
      <c r="Y28" s="131">
        <f t="shared" ca="1" si="4"/>
        <v>5</v>
      </c>
      <c r="AA28" s="130">
        <v>26</v>
      </c>
      <c r="AB28" s="131">
        <f t="shared" ca="1" si="5"/>
        <v>6</v>
      </c>
      <c r="AD28" s="130">
        <v>26</v>
      </c>
      <c r="AE28" s="131">
        <f t="shared" ca="1" si="6"/>
        <v>7</v>
      </c>
      <c r="AG28" s="130">
        <v>26</v>
      </c>
      <c r="AH28" s="131">
        <f t="shared" ca="1" si="7"/>
        <v>8</v>
      </c>
      <c r="AJ28" s="130">
        <v>26</v>
      </c>
      <c r="AK28" s="131">
        <f t="shared" ca="1" si="8"/>
        <v>9</v>
      </c>
      <c r="AM28" s="130">
        <v>26</v>
      </c>
      <c r="AN28" s="131">
        <f t="shared" ca="1" si="9"/>
        <v>1</v>
      </c>
      <c r="AP28" s="130">
        <v>26</v>
      </c>
      <c r="AQ28" s="131">
        <f t="shared" ca="1" si="10"/>
        <v>2</v>
      </c>
      <c r="AS28" s="130">
        <v>26</v>
      </c>
      <c r="AT28" s="131">
        <f t="shared" ca="1" si="11"/>
        <v>3</v>
      </c>
      <c r="AV28" s="130">
        <v>26</v>
      </c>
      <c r="AW28" s="131">
        <f t="shared" ca="1" si="12"/>
        <v>4</v>
      </c>
      <c r="AY28" s="130">
        <v>26</v>
      </c>
      <c r="AZ28" s="131">
        <f t="shared" ca="1" si="13"/>
        <v>5</v>
      </c>
      <c r="CA28" s="376">
        <v>43857</v>
      </c>
      <c r="CB28" s="46" t="str">
        <f t="shared" si="3"/>
        <v>27-Jan</v>
      </c>
      <c r="CC28" s="46" t="s">
        <v>114</v>
      </c>
      <c r="CD28" s="46" t="s">
        <v>132</v>
      </c>
      <c r="CE28" s="46" t="str">
        <f t="shared" si="0"/>
        <v>Aquarius - Air</v>
      </c>
    </row>
    <row r="29" spans="1:83" x14ac:dyDescent="0.3">
      <c r="A29" s="531">
        <f t="shared" si="15"/>
        <v>2</v>
      </c>
      <c r="B29" s="43">
        <v>2018</v>
      </c>
      <c r="C29" s="43">
        <f t="shared" si="16"/>
        <v>5</v>
      </c>
      <c r="R29" s="130">
        <v>27</v>
      </c>
      <c r="S29" s="131">
        <f t="shared" ca="1" si="1"/>
        <v>4</v>
      </c>
      <c r="U29" s="130">
        <v>27</v>
      </c>
      <c r="V29" s="131">
        <f t="shared" ca="1" si="2"/>
        <v>5</v>
      </c>
      <c r="X29" s="130">
        <v>27</v>
      </c>
      <c r="Y29" s="131">
        <f t="shared" ca="1" si="4"/>
        <v>6</v>
      </c>
      <c r="AA29" s="130">
        <v>27</v>
      </c>
      <c r="AB29" s="131">
        <f t="shared" ca="1" si="5"/>
        <v>7</v>
      </c>
      <c r="AD29" s="130">
        <v>27</v>
      </c>
      <c r="AE29" s="131">
        <f t="shared" ca="1" si="6"/>
        <v>8</v>
      </c>
      <c r="AG29" s="130">
        <v>27</v>
      </c>
      <c r="AH29" s="131">
        <f t="shared" ca="1" si="7"/>
        <v>9</v>
      </c>
      <c r="AJ29" s="130">
        <v>27</v>
      </c>
      <c r="AK29" s="131">
        <f t="shared" ca="1" si="8"/>
        <v>1</v>
      </c>
      <c r="AM29" s="130">
        <v>27</v>
      </c>
      <c r="AN29" s="131">
        <f t="shared" ca="1" si="9"/>
        <v>2</v>
      </c>
      <c r="AP29" s="130">
        <v>27</v>
      </c>
      <c r="AQ29" s="131">
        <f t="shared" ca="1" si="10"/>
        <v>3</v>
      </c>
      <c r="AS29" s="130">
        <v>27</v>
      </c>
      <c r="AT29" s="131">
        <f t="shared" ca="1" si="11"/>
        <v>4</v>
      </c>
      <c r="AV29" s="130">
        <v>27</v>
      </c>
      <c r="AW29" s="131">
        <f t="shared" ca="1" si="12"/>
        <v>5</v>
      </c>
      <c r="AY29" s="130">
        <v>27</v>
      </c>
      <c r="AZ29" s="131">
        <f t="shared" ca="1" si="13"/>
        <v>6</v>
      </c>
      <c r="CA29" s="376">
        <v>43858</v>
      </c>
      <c r="CB29" s="46" t="str">
        <f t="shared" si="3"/>
        <v>28-Jan</v>
      </c>
      <c r="CC29" s="46" t="s">
        <v>114</v>
      </c>
      <c r="CD29" s="46" t="s">
        <v>132</v>
      </c>
      <c r="CE29" s="46" t="str">
        <f t="shared" si="0"/>
        <v>Aquarius - Air</v>
      </c>
    </row>
    <row r="30" spans="1:83" x14ac:dyDescent="0.3">
      <c r="A30" s="531">
        <f t="shared" si="15"/>
        <v>3</v>
      </c>
      <c r="B30" s="43">
        <v>2019</v>
      </c>
      <c r="C30" s="43">
        <f t="shared" si="16"/>
        <v>6</v>
      </c>
      <c r="R30" s="130">
        <v>28</v>
      </c>
      <c r="S30" s="131">
        <f t="shared" ca="1" si="1"/>
        <v>5</v>
      </c>
      <c r="U30" s="130">
        <v>28</v>
      </c>
      <c r="V30" s="131">
        <f t="shared" ca="1" si="2"/>
        <v>6</v>
      </c>
      <c r="X30" s="130">
        <v>28</v>
      </c>
      <c r="Y30" s="131">
        <f t="shared" ca="1" si="4"/>
        <v>7</v>
      </c>
      <c r="AA30" s="130">
        <v>28</v>
      </c>
      <c r="AB30" s="131">
        <f t="shared" ca="1" si="5"/>
        <v>8</v>
      </c>
      <c r="AD30" s="130">
        <v>28</v>
      </c>
      <c r="AE30" s="131">
        <f t="shared" ca="1" si="6"/>
        <v>9</v>
      </c>
      <c r="AG30" s="130">
        <v>28</v>
      </c>
      <c r="AH30" s="131">
        <f t="shared" ca="1" si="7"/>
        <v>1</v>
      </c>
      <c r="AJ30" s="130">
        <v>28</v>
      </c>
      <c r="AK30" s="131">
        <f t="shared" ca="1" si="8"/>
        <v>2</v>
      </c>
      <c r="AM30" s="130">
        <v>28</v>
      </c>
      <c r="AN30" s="131">
        <f t="shared" ca="1" si="9"/>
        <v>3</v>
      </c>
      <c r="AP30" s="130">
        <v>28</v>
      </c>
      <c r="AQ30" s="131">
        <f t="shared" ca="1" si="10"/>
        <v>4</v>
      </c>
      <c r="AS30" s="130">
        <v>28</v>
      </c>
      <c r="AT30" s="131">
        <f t="shared" ca="1" si="11"/>
        <v>5</v>
      </c>
      <c r="AV30" s="130">
        <v>28</v>
      </c>
      <c r="AW30" s="131">
        <f t="shared" ca="1" si="12"/>
        <v>6</v>
      </c>
      <c r="AY30" s="130">
        <v>28</v>
      </c>
      <c r="AZ30" s="131">
        <f t="shared" ca="1" si="13"/>
        <v>7</v>
      </c>
      <c r="CA30" s="376">
        <v>43859</v>
      </c>
      <c r="CB30" s="46" t="str">
        <f t="shared" si="3"/>
        <v>29-Jan</v>
      </c>
      <c r="CC30" s="46" t="s">
        <v>114</v>
      </c>
      <c r="CD30" s="46" t="s">
        <v>132</v>
      </c>
      <c r="CE30" s="46" t="str">
        <f t="shared" si="0"/>
        <v>Aquarius - Air</v>
      </c>
    </row>
    <row r="31" spans="1:83" ht="15" thickBot="1" x14ac:dyDescent="0.35">
      <c r="A31" s="531">
        <f t="shared" si="15"/>
        <v>4</v>
      </c>
      <c r="B31" s="43">
        <v>2020</v>
      </c>
      <c r="C31" s="43">
        <f t="shared" si="16"/>
        <v>7</v>
      </c>
      <c r="R31" s="130">
        <v>29</v>
      </c>
      <c r="S31" s="131">
        <f t="shared" ca="1" si="1"/>
        <v>6</v>
      </c>
      <c r="U31" s="150">
        <v>29</v>
      </c>
      <c r="V31" s="131">
        <f t="shared" ca="1" si="2"/>
        <v>7</v>
      </c>
      <c r="X31" s="130">
        <v>29</v>
      </c>
      <c r="Y31" s="131">
        <f t="shared" ca="1" si="4"/>
        <v>8</v>
      </c>
      <c r="AA31" s="130">
        <v>29</v>
      </c>
      <c r="AB31" s="131">
        <f t="shared" ca="1" si="5"/>
        <v>9</v>
      </c>
      <c r="AD31" s="130">
        <v>29</v>
      </c>
      <c r="AE31" s="131">
        <f t="shared" ca="1" si="6"/>
        <v>1</v>
      </c>
      <c r="AG31" s="130">
        <v>29</v>
      </c>
      <c r="AH31" s="131">
        <f t="shared" ca="1" si="7"/>
        <v>2</v>
      </c>
      <c r="AJ31" s="130">
        <v>29</v>
      </c>
      <c r="AK31" s="131">
        <f t="shared" ca="1" si="8"/>
        <v>3</v>
      </c>
      <c r="AM31" s="130">
        <v>29</v>
      </c>
      <c r="AN31" s="131">
        <f t="shared" ca="1" si="9"/>
        <v>4</v>
      </c>
      <c r="AP31" s="130">
        <v>29</v>
      </c>
      <c r="AQ31" s="131">
        <f t="shared" ca="1" si="10"/>
        <v>5</v>
      </c>
      <c r="AS31" s="130">
        <v>29</v>
      </c>
      <c r="AT31" s="131">
        <f t="shared" ca="1" si="11"/>
        <v>6</v>
      </c>
      <c r="AV31" s="130">
        <v>29</v>
      </c>
      <c r="AW31" s="131">
        <f t="shared" ca="1" si="12"/>
        <v>7</v>
      </c>
      <c r="AY31" s="130">
        <v>29</v>
      </c>
      <c r="AZ31" s="131">
        <f t="shared" ca="1" si="13"/>
        <v>8</v>
      </c>
      <c r="CA31" s="376">
        <v>43860</v>
      </c>
      <c r="CB31" s="46" t="str">
        <f t="shared" si="3"/>
        <v>30-Jan</v>
      </c>
      <c r="CC31" s="46" t="s">
        <v>114</v>
      </c>
      <c r="CD31" s="46" t="s">
        <v>132</v>
      </c>
      <c r="CE31" s="46" t="str">
        <f t="shared" si="0"/>
        <v>Aquarius - Air</v>
      </c>
    </row>
    <row r="32" spans="1:83" ht="15" thickBot="1" x14ac:dyDescent="0.35">
      <c r="A32" s="531">
        <f t="shared" si="15"/>
        <v>5</v>
      </c>
      <c r="B32" s="43">
        <v>2021</v>
      </c>
      <c r="C32" s="43">
        <f t="shared" si="16"/>
        <v>8</v>
      </c>
      <c r="R32" s="130">
        <v>30</v>
      </c>
      <c r="S32" s="131">
        <f t="shared" ca="1" si="1"/>
        <v>7</v>
      </c>
      <c r="X32" s="130">
        <v>30</v>
      </c>
      <c r="Y32" s="131">
        <f t="shared" ca="1" si="4"/>
        <v>9</v>
      </c>
      <c r="AA32" s="150">
        <v>30</v>
      </c>
      <c r="AB32" s="131">
        <f t="shared" ca="1" si="5"/>
        <v>1</v>
      </c>
      <c r="AD32" s="130">
        <v>30</v>
      </c>
      <c r="AE32" s="131">
        <f t="shared" ca="1" si="6"/>
        <v>2</v>
      </c>
      <c r="AG32" s="150">
        <v>30</v>
      </c>
      <c r="AH32" s="131">
        <f t="shared" ca="1" si="7"/>
        <v>3</v>
      </c>
      <c r="AJ32" s="130">
        <v>30</v>
      </c>
      <c r="AK32" s="131">
        <f t="shared" ca="1" si="8"/>
        <v>4</v>
      </c>
      <c r="AM32" s="130">
        <v>30</v>
      </c>
      <c r="AN32" s="131">
        <f t="shared" ca="1" si="9"/>
        <v>5</v>
      </c>
      <c r="AP32" s="150">
        <v>30</v>
      </c>
      <c r="AQ32" s="131">
        <f t="shared" ca="1" si="10"/>
        <v>6</v>
      </c>
      <c r="AS32" s="130">
        <v>30</v>
      </c>
      <c r="AT32" s="131">
        <f t="shared" ca="1" si="11"/>
        <v>7</v>
      </c>
      <c r="AV32" s="150">
        <v>30</v>
      </c>
      <c r="AW32" s="131">
        <f t="shared" ca="1" si="12"/>
        <v>8</v>
      </c>
      <c r="AY32" s="130">
        <v>30</v>
      </c>
      <c r="AZ32" s="131">
        <f t="shared" ca="1" si="13"/>
        <v>9</v>
      </c>
      <c r="CA32" s="376">
        <v>43861</v>
      </c>
      <c r="CB32" s="46" t="str">
        <f t="shared" si="3"/>
        <v>31-Jan</v>
      </c>
      <c r="CC32" s="46" t="s">
        <v>114</v>
      </c>
      <c r="CD32" s="46" t="s">
        <v>132</v>
      </c>
      <c r="CE32" s="46" t="str">
        <f t="shared" si="0"/>
        <v>Aquarius - Air</v>
      </c>
    </row>
    <row r="33" spans="1:83" ht="15" thickBot="1" x14ac:dyDescent="0.35">
      <c r="A33" s="531">
        <f t="shared" si="15"/>
        <v>6</v>
      </c>
      <c r="B33" s="43">
        <v>2022</v>
      </c>
      <c r="C33" s="43">
        <f t="shared" si="16"/>
        <v>9</v>
      </c>
      <c r="R33" s="150">
        <v>31</v>
      </c>
      <c r="S33" s="149">
        <f t="shared" ca="1" si="1"/>
        <v>8</v>
      </c>
      <c r="X33" s="150">
        <v>31</v>
      </c>
      <c r="Y33" s="131">
        <f t="shared" ca="1" si="4"/>
        <v>1</v>
      </c>
      <c r="AD33" s="150">
        <v>31</v>
      </c>
      <c r="AE33" s="131">
        <f t="shared" ca="1" si="6"/>
        <v>3</v>
      </c>
      <c r="AJ33" s="150">
        <v>31</v>
      </c>
      <c r="AK33" s="131">
        <f t="shared" ca="1" si="8"/>
        <v>5</v>
      </c>
      <c r="AL33" s="195"/>
      <c r="AM33" s="150">
        <v>31</v>
      </c>
      <c r="AN33" s="131">
        <f t="shared" ca="1" si="9"/>
        <v>6</v>
      </c>
      <c r="AS33" s="150">
        <v>31</v>
      </c>
      <c r="AT33" s="131">
        <f t="shared" ca="1" si="11"/>
        <v>8</v>
      </c>
      <c r="AY33" s="150">
        <v>31</v>
      </c>
      <c r="AZ33" s="131">
        <f t="shared" ca="1" si="13"/>
        <v>1</v>
      </c>
      <c r="CA33" s="376">
        <v>43862</v>
      </c>
      <c r="CB33" s="46" t="str">
        <f t="shared" si="3"/>
        <v>01-Feb</v>
      </c>
      <c r="CC33" s="46" t="s">
        <v>114</v>
      </c>
      <c r="CD33" s="46" t="s">
        <v>132</v>
      </c>
      <c r="CE33" s="46" t="str">
        <f t="shared" si="0"/>
        <v>Aquarius - Air</v>
      </c>
    </row>
    <row r="34" spans="1:83" x14ac:dyDescent="0.3">
      <c r="A34" s="531">
        <f t="shared" si="15"/>
        <v>7</v>
      </c>
      <c r="B34" s="43">
        <v>2023</v>
      </c>
      <c r="C34" s="43">
        <f t="shared" si="16"/>
        <v>1</v>
      </c>
      <c r="CA34" s="376">
        <v>43863</v>
      </c>
      <c r="CB34" s="46" t="str">
        <f t="shared" si="3"/>
        <v>02-Feb</v>
      </c>
      <c r="CC34" s="46" t="s">
        <v>114</v>
      </c>
      <c r="CD34" s="46" t="s">
        <v>132</v>
      </c>
      <c r="CE34" s="46" t="str">
        <f t="shared" si="0"/>
        <v>Aquarius - Air</v>
      </c>
    </row>
    <row r="35" spans="1:83" x14ac:dyDescent="0.3">
      <c r="A35" s="531">
        <f t="shared" si="15"/>
        <v>8</v>
      </c>
      <c r="B35" s="43">
        <v>2024</v>
      </c>
      <c r="C35" s="43">
        <f t="shared" si="16"/>
        <v>2</v>
      </c>
      <c r="CA35" s="376">
        <v>43864</v>
      </c>
      <c r="CB35" s="46" t="str">
        <f t="shared" si="3"/>
        <v>03-Feb</v>
      </c>
      <c r="CC35" s="46" t="s">
        <v>114</v>
      </c>
      <c r="CD35" s="46" t="s">
        <v>132</v>
      </c>
      <c r="CE35" s="46" t="str">
        <f t="shared" si="0"/>
        <v>Aquarius - Air</v>
      </c>
    </row>
    <row r="36" spans="1:83" x14ac:dyDescent="0.3">
      <c r="A36" s="531">
        <f t="shared" si="15"/>
        <v>9</v>
      </c>
      <c r="B36" s="43">
        <v>2025</v>
      </c>
      <c r="C36" s="43">
        <f t="shared" si="16"/>
        <v>3</v>
      </c>
      <c r="CA36" s="376">
        <v>43865</v>
      </c>
      <c r="CB36" s="46" t="str">
        <f t="shared" si="3"/>
        <v>04-Feb</v>
      </c>
      <c r="CC36" s="46" t="s">
        <v>114</v>
      </c>
      <c r="CD36" s="46" t="s">
        <v>132</v>
      </c>
      <c r="CE36" s="46" t="str">
        <f t="shared" si="0"/>
        <v>Aquarius - Air</v>
      </c>
    </row>
    <row r="37" spans="1:83" x14ac:dyDescent="0.3">
      <c r="A37" s="531">
        <f t="shared" si="15"/>
        <v>1</v>
      </c>
      <c r="B37" s="43">
        <v>2026</v>
      </c>
      <c r="C37" s="43">
        <f t="shared" si="16"/>
        <v>4</v>
      </c>
      <c r="CA37" s="376">
        <v>43866</v>
      </c>
      <c r="CB37" s="46" t="str">
        <f t="shared" si="3"/>
        <v>05-Feb</v>
      </c>
      <c r="CC37" s="46" t="s">
        <v>114</v>
      </c>
      <c r="CD37" s="46" t="s">
        <v>132</v>
      </c>
      <c r="CE37" s="46" t="str">
        <f t="shared" si="0"/>
        <v>Aquarius - Air</v>
      </c>
    </row>
    <row r="38" spans="1:83" x14ac:dyDescent="0.3">
      <c r="A38" s="531">
        <f t="shared" si="15"/>
        <v>2</v>
      </c>
      <c r="B38" s="43">
        <v>2027</v>
      </c>
      <c r="C38" s="43">
        <f t="shared" si="16"/>
        <v>5</v>
      </c>
      <c r="CA38" s="376">
        <v>43867</v>
      </c>
      <c r="CB38" s="46" t="str">
        <f t="shared" si="3"/>
        <v>06-Feb</v>
      </c>
      <c r="CC38" s="46" t="s">
        <v>114</v>
      </c>
      <c r="CD38" s="46" t="s">
        <v>132</v>
      </c>
      <c r="CE38" s="46" t="str">
        <f t="shared" si="0"/>
        <v>Aquarius - Air</v>
      </c>
    </row>
    <row r="39" spans="1:83" x14ac:dyDescent="0.3">
      <c r="A39" s="531">
        <f t="shared" si="15"/>
        <v>3</v>
      </c>
      <c r="B39" s="43">
        <v>2028</v>
      </c>
      <c r="C39" s="43">
        <f t="shared" si="16"/>
        <v>6</v>
      </c>
      <c r="CA39" s="376">
        <v>43868</v>
      </c>
      <c r="CB39" s="46" t="str">
        <f t="shared" si="3"/>
        <v>07-Feb</v>
      </c>
      <c r="CC39" s="46" t="s">
        <v>114</v>
      </c>
      <c r="CD39" s="46" t="s">
        <v>132</v>
      </c>
      <c r="CE39" s="46" t="str">
        <f t="shared" si="0"/>
        <v>Aquarius - Air</v>
      </c>
    </row>
    <row r="40" spans="1:83" x14ac:dyDescent="0.3">
      <c r="A40" s="531">
        <f t="shared" si="15"/>
        <v>4</v>
      </c>
      <c r="B40" s="43">
        <v>2029</v>
      </c>
      <c r="C40" s="43">
        <f t="shared" si="16"/>
        <v>7</v>
      </c>
      <c r="CA40" s="376">
        <v>43869</v>
      </c>
      <c r="CB40" s="46" t="str">
        <f t="shared" si="3"/>
        <v>08-Feb</v>
      </c>
      <c r="CC40" s="46" t="s">
        <v>114</v>
      </c>
      <c r="CD40" s="46" t="s">
        <v>132</v>
      </c>
      <c r="CE40" s="46" t="str">
        <f t="shared" si="0"/>
        <v>Aquarius - Air</v>
      </c>
    </row>
    <row r="41" spans="1:83" x14ac:dyDescent="0.3">
      <c r="CA41" s="376">
        <v>43870</v>
      </c>
      <c r="CB41" s="46" t="str">
        <f t="shared" si="3"/>
        <v>09-Feb</v>
      </c>
      <c r="CC41" s="46" t="s">
        <v>114</v>
      </c>
      <c r="CD41" s="46" t="s">
        <v>132</v>
      </c>
      <c r="CE41" s="46" t="str">
        <f t="shared" si="0"/>
        <v>Aquarius - Air</v>
      </c>
    </row>
    <row r="42" spans="1:83" x14ac:dyDescent="0.3">
      <c r="CA42" s="376">
        <v>43871</v>
      </c>
      <c r="CB42" s="46" t="str">
        <f t="shared" si="3"/>
        <v>10-Feb</v>
      </c>
      <c r="CC42" s="46" t="s">
        <v>114</v>
      </c>
      <c r="CD42" s="46" t="s">
        <v>132</v>
      </c>
      <c r="CE42" s="46" t="str">
        <f t="shared" si="0"/>
        <v>Aquarius - Air</v>
      </c>
    </row>
    <row r="43" spans="1:83" x14ac:dyDescent="0.3">
      <c r="CA43" s="376">
        <v>43872</v>
      </c>
      <c r="CB43" s="46" t="str">
        <f t="shared" si="3"/>
        <v>11-Feb</v>
      </c>
      <c r="CC43" s="46" t="s">
        <v>114</v>
      </c>
      <c r="CD43" s="46" t="s">
        <v>132</v>
      </c>
      <c r="CE43" s="46" t="str">
        <f t="shared" si="0"/>
        <v>Aquarius - Air</v>
      </c>
    </row>
    <row r="44" spans="1:83" x14ac:dyDescent="0.3">
      <c r="CA44" s="376">
        <v>43873</v>
      </c>
      <c r="CB44" s="46" t="str">
        <f t="shared" si="3"/>
        <v>12-Feb</v>
      </c>
      <c r="CC44" s="46" t="s">
        <v>114</v>
      </c>
      <c r="CD44" s="46" t="s">
        <v>132</v>
      </c>
      <c r="CE44" s="46" t="str">
        <f t="shared" si="0"/>
        <v>Aquarius - Air</v>
      </c>
    </row>
    <row r="45" spans="1:83" x14ac:dyDescent="0.3">
      <c r="CA45" s="376">
        <v>43874</v>
      </c>
      <c r="CB45" s="46" t="str">
        <f t="shared" si="3"/>
        <v>13-Feb</v>
      </c>
      <c r="CC45" s="46" t="s">
        <v>114</v>
      </c>
      <c r="CD45" s="46" t="s">
        <v>132</v>
      </c>
      <c r="CE45" s="46" t="str">
        <f t="shared" si="0"/>
        <v>Aquarius - Air</v>
      </c>
    </row>
    <row r="46" spans="1:83" x14ac:dyDescent="0.3">
      <c r="CA46" s="376">
        <v>43875</v>
      </c>
      <c r="CB46" s="46" t="str">
        <f t="shared" si="3"/>
        <v>14-Feb</v>
      </c>
      <c r="CC46" s="46" t="s">
        <v>114</v>
      </c>
      <c r="CD46" s="46" t="s">
        <v>132</v>
      </c>
      <c r="CE46" s="46" t="str">
        <f t="shared" si="0"/>
        <v>Aquarius - Air</v>
      </c>
    </row>
    <row r="47" spans="1:83" x14ac:dyDescent="0.3">
      <c r="CA47" s="376">
        <v>43876</v>
      </c>
      <c r="CB47" s="46" t="str">
        <f t="shared" si="3"/>
        <v>15-Feb</v>
      </c>
      <c r="CC47" s="46" t="s">
        <v>114</v>
      </c>
      <c r="CD47" s="46" t="s">
        <v>132</v>
      </c>
      <c r="CE47" s="46" t="str">
        <f t="shared" si="0"/>
        <v>Aquarius - Air</v>
      </c>
    </row>
    <row r="48" spans="1:83" x14ac:dyDescent="0.3">
      <c r="CA48" s="376">
        <v>43877</v>
      </c>
      <c r="CB48" s="46" t="str">
        <f t="shared" si="3"/>
        <v>16-Feb</v>
      </c>
      <c r="CC48" s="46" t="s">
        <v>114</v>
      </c>
      <c r="CD48" s="46" t="s">
        <v>132</v>
      </c>
      <c r="CE48" s="46" t="str">
        <f t="shared" si="0"/>
        <v>Aquarius - Air</v>
      </c>
    </row>
    <row r="49" spans="79:83" x14ac:dyDescent="0.3">
      <c r="CA49" s="376">
        <v>43878</v>
      </c>
      <c r="CB49" s="46" t="str">
        <f t="shared" si="3"/>
        <v>17-Feb</v>
      </c>
      <c r="CC49" s="46" t="s">
        <v>114</v>
      </c>
      <c r="CD49" s="46" t="s">
        <v>132</v>
      </c>
      <c r="CE49" s="46" t="str">
        <f t="shared" si="0"/>
        <v>Aquarius - Air</v>
      </c>
    </row>
    <row r="50" spans="79:83" x14ac:dyDescent="0.3">
      <c r="CA50" s="376">
        <v>43879</v>
      </c>
      <c r="CB50" s="46" t="str">
        <f t="shared" si="3"/>
        <v>18-Feb</v>
      </c>
      <c r="CC50" s="46" t="s">
        <v>114</v>
      </c>
      <c r="CD50" s="46" t="s">
        <v>132</v>
      </c>
      <c r="CE50" s="46" t="str">
        <f t="shared" si="0"/>
        <v>Aquarius - Air</v>
      </c>
    </row>
    <row r="51" spans="79:83" x14ac:dyDescent="0.3">
      <c r="CA51" s="376">
        <v>43880</v>
      </c>
      <c r="CB51" s="46" t="str">
        <f t="shared" si="3"/>
        <v>19-Feb</v>
      </c>
      <c r="CC51" s="46" t="s">
        <v>115</v>
      </c>
      <c r="CD51" s="46" t="s">
        <v>131</v>
      </c>
      <c r="CE51" s="46" t="str">
        <f t="shared" si="0"/>
        <v>Pisces - Water</v>
      </c>
    </row>
    <row r="52" spans="79:83" x14ac:dyDescent="0.3">
      <c r="CA52" s="376">
        <v>43881</v>
      </c>
      <c r="CB52" s="46" t="str">
        <f t="shared" si="3"/>
        <v>20-Feb</v>
      </c>
      <c r="CC52" s="46" t="s">
        <v>115</v>
      </c>
      <c r="CD52" s="46" t="s">
        <v>131</v>
      </c>
      <c r="CE52" s="46" t="str">
        <f t="shared" si="0"/>
        <v>Pisces - Water</v>
      </c>
    </row>
    <row r="53" spans="79:83" x14ac:dyDescent="0.3">
      <c r="CA53" s="376">
        <v>43882</v>
      </c>
      <c r="CB53" s="46" t="str">
        <f t="shared" si="3"/>
        <v>21-Feb</v>
      </c>
      <c r="CC53" s="46" t="s">
        <v>115</v>
      </c>
      <c r="CD53" s="46" t="s">
        <v>131</v>
      </c>
      <c r="CE53" s="46" t="str">
        <f t="shared" si="0"/>
        <v>Pisces - Water</v>
      </c>
    </row>
    <row r="54" spans="79:83" x14ac:dyDescent="0.3">
      <c r="CA54" s="376">
        <v>43883</v>
      </c>
      <c r="CB54" s="46" t="str">
        <f t="shared" si="3"/>
        <v>22-Feb</v>
      </c>
      <c r="CC54" s="46" t="s">
        <v>115</v>
      </c>
      <c r="CD54" s="46" t="s">
        <v>131</v>
      </c>
      <c r="CE54" s="46" t="str">
        <f t="shared" si="0"/>
        <v>Pisces - Water</v>
      </c>
    </row>
    <row r="55" spans="79:83" x14ac:dyDescent="0.3">
      <c r="CA55" s="376">
        <v>43884</v>
      </c>
      <c r="CB55" s="46" t="str">
        <f t="shared" si="3"/>
        <v>23-Feb</v>
      </c>
      <c r="CC55" s="46" t="s">
        <v>115</v>
      </c>
      <c r="CD55" s="46" t="s">
        <v>131</v>
      </c>
      <c r="CE55" s="46" t="str">
        <f t="shared" si="0"/>
        <v>Pisces - Water</v>
      </c>
    </row>
    <row r="56" spans="79:83" x14ac:dyDescent="0.3">
      <c r="CA56" s="376">
        <v>43885</v>
      </c>
      <c r="CB56" s="46" t="str">
        <f t="shared" si="3"/>
        <v>24-Feb</v>
      </c>
      <c r="CC56" s="46" t="s">
        <v>115</v>
      </c>
      <c r="CD56" s="46" t="s">
        <v>131</v>
      </c>
      <c r="CE56" s="46" t="str">
        <f t="shared" si="0"/>
        <v>Pisces - Water</v>
      </c>
    </row>
    <row r="57" spans="79:83" x14ac:dyDescent="0.3">
      <c r="CA57" s="376">
        <v>43886</v>
      </c>
      <c r="CB57" s="46" t="str">
        <f t="shared" si="3"/>
        <v>25-Feb</v>
      </c>
      <c r="CC57" s="46" t="s">
        <v>115</v>
      </c>
      <c r="CD57" s="46" t="s">
        <v>131</v>
      </c>
      <c r="CE57" s="46" t="str">
        <f t="shared" si="0"/>
        <v>Pisces - Water</v>
      </c>
    </row>
    <row r="58" spans="79:83" x14ac:dyDescent="0.3">
      <c r="CA58" s="376">
        <v>43887</v>
      </c>
      <c r="CB58" s="46" t="str">
        <f t="shared" si="3"/>
        <v>26-Feb</v>
      </c>
      <c r="CC58" s="46" t="s">
        <v>115</v>
      </c>
      <c r="CD58" s="46" t="s">
        <v>131</v>
      </c>
      <c r="CE58" s="46" t="str">
        <f t="shared" si="0"/>
        <v>Pisces - Water</v>
      </c>
    </row>
    <row r="59" spans="79:83" x14ac:dyDescent="0.3">
      <c r="CA59" s="376">
        <v>43888</v>
      </c>
      <c r="CB59" s="46" t="str">
        <f t="shared" si="3"/>
        <v>27-Feb</v>
      </c>
      <c r="CC59" s="46" t="s">
        <v>115</v>
      </c>
      <c r="CD59" s="46" t="s">
        <v>131</v>
      </c>
      <c r="CE59" s="46" t="str">
        <f t="shared" si="0"/>
        <v>Pisces - Water</v>
      </c>
    </row>
    <row r="60" spans="79:83" x14ac:dyDescent="0.3">
      <c r="CA60" s="376">
        <v>43889</v>
      </c>
      <c r="CB60" s="46" t="str">
        <f t="shared" si="3"/>
        <v>28-Feb</v>
      </c>
      <c r="CC60" s="46" t="s">
        <v>115</v>
      </c>
      <c r="CD60" s="46" t="s">
        <v>131</v>
      </c>
      <c r="CE60" s="46" t="str">
        <f t="shared" si="0"/>
        <v>Pisces - Water</v>
      </c>
    </row>
    <row r="61" spans="79:83" x14ac:dyDescent="0.3">
      <c r="CA61" s="376">
        <v>43890</v>
      </c>
      <c r="CB61" s="46" t="str">
        <f t="shared" si="3"/>
        <v>29-Feb</v>
      </c>
      <c r="CC61" s="46" t="s">
        <v>115</v>
      </c>
      <c r="CD61" s="46" t="s">
        <v>131</v>
      </c>
      <c r="CE61" s="46" t="str">
        <f t="shared" si="0"/>
        <v>Pisces - Water</v>
      </c>
    </row>
    <row r="62" spans="79:83" x14ac:dyDescent="0.3">
      <c r="CA62" s="376">
        <v>43891</v>
      </c>
      <c r="CB62" s="46" t="str">
        <f t="shared" si="3"/>
        <v>01-Mar</v>
      </c>
      <c r="CC62" s="46" t="s">
        <v>115</v>
      </c>
      <c r="CD62" s="46" t="s">
        <v>131</v>
      </c>
      <c r="CE62" s="46" t="str">
        <f t="shared" si="0"/>
        <v>Pisces - Water</v>
      </c>
    </row>
    <row r="63" spans="79:83" x14ac:dyDescent="0.3">
      <c r="CA63" s="376">
        <v>43892</v>
      </c>
      <c r="CB63" s="46" t="str">
        <f t="shared" si="3"/>
        <v>02-Mar</v>
      </c>
      <c r="CC63" s="46" t="s">
        <v>115</v>
      </c>
      <c r="CD63" s="46" t="s">
        <v>131</v>
      </c>
      <c r="CE63" s="46" t="str">
        <f t="shared" si="0"/>
        <v>Pisces - Water</v>
      </c>
    </row>
    <row r="64" spans="79:83" x14ac:dyDescent="0.3">
      <c r="CA64" s="376">
        <v>43893</v>
      </c>
      <c r="CB64" s="46" t="str">
        <f t="shared" si="3"/>
        <v>03-Mar</v>
      </c>
      <c r="CC64" s="46" t="s">
        <v>115</v>
      </c>
      <c r="CD64" s="46" t="s">
        <v>131</v>
      </c>
      <c r="CE64" s="46" t="str">
        <f t="shared" si="0"/>
        <v>Pisces - Water</v>
      </c>
    </row>
    <row r="65" spans="79:83" x14ac:dyDescent="0.3">
      <c r="CA65" s="376">
        <v>43894</v>
      </c>
      <c r="CB65" s="46" t="str">
        <f t="shared" si="3"/>
        <v>04-Mar</v>
      </c>
      <c r="CC65" s="46" t="s">
        <v>115</v>
      </c>
      <c r="CD65" s="46" t="s">
        <v>131</v>
      </c>
      <c r="CE65" s="46" t="str">
        <f t="shared" ref="CE65:CE128" si="17">CC65&amp;" - "&amp;CD65</f>
        <v>Pisces - Water</v>
      </c>
    </row>
    <row r="66" spans="79:83" x14ac:dyDescent="0.3">
      <c r="CA66" s="376">
        <v>43895</v>
      </c>
      <c r="CB66" s="46" t="str">
        <f t="shared" si="3"/>
        <v>05-Mar</v>
      </c>
      <c r="CC66" s="46" t="s">
        <v>115</v>
      </c>
      <c r="CD66" s="46" t="s">
        <v>131</v>
      </c>
      <c r="CE66" s="46" t="str">
        <f t="shared" si="17"/>
        <v>Pisces - Water</v>
      </c>
    </row>
    <row r="67" spans="79:83" x14ac:dyDescent="0.3">
      <c r="CA67" s="376">
        <v>43896</v>
      </c>
      <c r="CB67" s="46" t="str">
        <f t="shared" ref="CB67:CB130" si="18">TEXT(CA67,"DD-MMM")</f>
        <v>06-Mar</v>
      </c>
      <c r="CC67" s="46" t="s">
        <v>115</v>
      </c>
      <c r="CD67" s="46" t="s">
        <v>131</v>
      </c>
      <c r="CE67" s="46" t="str">
        <f t="shared" si="17"/>
        <v>Pisces - Water</v>
      </c>
    </row>
    <row r="68" spans="79:83" x14ac:dyDescent="0.3">
      <c r="CA68" s="376">
        <v>43897</v>
      </c>
      <c r="CB68" s="46" t="str">
        <f t="shared" si="18"/>
        <v>07-Mar</v>
      </c>
      <c r="CC68" s="46" t="s">
        <v>115</v>
      </c>
      <c r="CD68" s="46" t="s">
        <v>131</v>
      </c>
      <c r="CE68" s="46" t="str">
        <f t="shared" si="17"/>
        <v>Pisces - Water</v>
      </c>
    </row>
    <row r="69" spans="79:83" x14ac:dyDescent="0.3">
      <c r="CA69" s="376">
        <v>43898</v>
      </c>
      <c r="CB69" s="46" t="str">
        <f t="shared" si="18"/>
        <v>08-Mar</v>
      </c>
      <c r="CC69" s="46" t="s">
        <v>115</v>
      </c>
      <c r="CD69" s="46" t="s">
        <v>131</v>
      </c>
      <c r="CE69" s="46" t="str">
        <f t="shared" si="17"/>
        <v>Pisces - Water</v>
      </c>
    </row>
    <row r="70" spans="79:83" x14ac:dyDescent="0.3">
      <c r="CA70" s="376">
        <v>43899</v>
      </c>
      <c r="CB70" s="46" t="str">
        <f t="shared" si="18"/>
        <v>09-Mar</v>
      </c>
      <c r="CC70" s="46" t="s">
        <v>115</v>
      </c>
      <c r="CD70" s="46" t="s">
        <v>131</v>
      </c>
      <c r="CE70" s="46" t="str">
        <f t="shared" si="17"/>
        <v>Pisces - Water</v>
      </c>
    </row>
    <row r="71" spans="79:83" x14ac:dyDescent="0.3">
      <c r="CA71" s="376">
        <v>43900</v>
      </c>
      <c r="CB71" s="46" t="str">
        <f t="shared" si="18"/>
        <v>10-Mar</v>
      </c>
      <c r="CC71" s="46" t="s">
        <v>115</v>
      </c>
      <c r="CD71" s="46" t="s">
        <v>131</v>
      </c>
      <c r="CE71" s="46" t="str">
        <f t="shared" si="17"/>
        <v>Pisces - Water</v>
      </c>
    </row>
    <row r="72" spans="79:83" x14ac:dyDescent="0.3">
      <c r="CA72" s="376">
        <v>43901</v>
      </c>
      <c r="CB72" s="46" t="str">
        <f t="shared" si="18"/>
        <v>11-Mar</v>
      </c>
      <c r="CC72" s="46" t="s">
        <v>115</v>
      </c>
      <c r="CD72" s="46" t="s">
        <v>131</v>
      </c>
      <c r="CE72" s="46" t="str">
        <f t="shared" si="17"/>
        <v>Pisces - Water</v>
      </c>
    </row>
    <row r="73" spans="79:83" x14ac:dyDescent="0.3">
      <c r="CA73" s="376">
        <v>43902</v>
      </c>
      <c r="CB73" s="46" t="str">
        <f t="shared" si="18"/>
        <v>12-Mar</v>
      </c>
      <c r="CC73" s="46" t="s">
        <v>115</v>
      </c>
      <c r="CD73" s="46" t="s">
        <v>131</v>
      </c>
      <c r="CE73" s="46" t="str">
        <f t="shared" si="17"/>
        <v>Pisces - Water</v>
      </c>
    </row>
    <row r="74" spans="79:83" x14ac:dyDescent="0.3">
      <c r="CA74" s="376">
        <v>43903</v>
      </c>
      <c r="CB74" s="46" t="str">
        <f t="shared" si="18"/>
        <v>13-Mar</v>
      </c>
      <c r="CC74" s="46" t="s">
        <v>115</v>
      </c>
      <c r="CD74" s="46" t="s">
        <v>131</v>
      </c>
      <c r="CE74" s="46" t="str">
        <f t="shared" si="17"/>
        <v>Pisces - Water</v>
      </c>
    </row>
    <row r="75" spans="79:83" x14ac:dyDescent="0.3">
      <c r="CA75" s="376">
        <v>43904</v>
      </c>
      <c r="CB75" s="46" t="str">
        <f t="shared" si="18"/>
        <v>14-Mar</v>
      </c>
      <c r="CC75" s="46" t="s">
        <v>115</v>
      </c>
      <c r="CD75" s="46" t="s">
        <v>131</v>
      </c>
      <c r="CE75" s="46" t="str">
        <f t="shared" si="17"/>
        <v>Pisces - Water</v>
      </c>
    </row>
    <row r="76" spans="79:83" x14ac:dyDescent="0.3">
      <c r="CA76" s="376">
        <v>43905</v>
      </c>
      <c r="CB76" s="46" t="str">
        <f t="shared" si="18"/>
        <v>15-Mar</v>
      </c>
      <c r="CC76" s="46" t="s">
        <v>115</v>
      </c>
      <c r="CD76" s="46" t="s">
        <v>131</v>
      </c>
      <c r="CE76" s="46" t="str">
        <f t="shared" si="17"/>
        <v>Pisces - Water</v>
      </c>
    </row>
    <row r="77" spans="79:83" x14ac:dyDescent="0.3">
      <c r="CA77" s="376">
        <v>43906</v>
      </c>
      <c r="CB77" s="46" t="str">
        <f t="shared" si="18"/>
        <v>16-Mar</v>
      </c>
      <c r="CC77" s="46" t="s">
        <v>115</v>
      </c>
      <c r="CD77" s="46" t="s">
        <v>131</v>
      </c>
      <c r="CE77" s="46" t="str">
        <f t="shared" si="17"/>
        <v>Pisces - Water</v>
      </c>
    </row>
    <row r="78" spans="79:83" x14ac:dyDescent="0.3">
      <c r="CA78" s="376">
        <v>43907</v>
      </c>
      <c r="CB78" s="46" t="str">
        <f t="shared" si="18"/>
        <v>17-Mar</v>
      </c>
      <c r="CC78" s="46" t="s">
        <v>115</v>
      </c>
      <c r="CD78" s="46" t="s">
        <v>131</v>
      </c>
      <c r="CE78" s="46" t="str">
        <f t="shared" si="17"/>
        <v>Pisces - Water</v>
      </c>
    </row>
    <row r="79" spans="79:83" x14ac:dyDescent="0.3">
      <c r="CA79" s="376">
        <v>43908</v>
      </c>
      <c r="CB79" s="46" t="str">
        <f t="shared" si="18"/>
        <v>18-Mar</v>
      </c>
      <c r="CC79" s="46" t="s">
        <v>115</v>
      </c>
      <c r="CD79" s="46" t="s">
        <v>131</v>
      </c>
      <c r="CE79" s="46" t="str">
        <f t="shared" si="17"/>
        <v>Pisces - Water</v>
      </c>
    </row>
    <row r="80" spans="79:83" x14ac:dyDescent="0.3">
      <c r="CA80" s="376">
        <v>43909</v>
      </c>
      <c r="CB80" s="46" t="str">
        <f t="shared" si="18"/>
        <v>19-Mar</v>
      </c>
      <c r="CC80" s="46" t="s">
        <v>115</v>
      </c>
      <c r="CD80" s="46" t="s">
        <v>131</v>
      </c>
      <c r="CE80" s="46" t="str">
        <f t="shared" si="17"/>
        <v>Pisces - Water</v>
      </c>
    </row>
    <row r="81" spans="79:83" x14ac:dyDescent="0.3">
      <c r="CA81" s="376">
        <v>43910</v>
      </c>
      <c r="CB81" s="46" t="str">
        <f t="shared" si="18"/>
        <v>20-Mar</v>
      </c>
      <c r="CC81" s="46" t="s">
        <v>115</v>
      </c>
      <c r="CD81" s="46" t="s">
        <v>131</v>
      </c>
      <c r="CE81" s="46" t="str">
        <f t="shared" si="17"/>
        <v>Pisces - Water</v>
      </c>
    </row>
    <row r="82" spans="79:83" x14ac:dyDescent="0.3">
      <c r="CA82" s="376">
        <v>43911</v>
      </c>
      <c r="CB82" s="46" t="str">
        <f t="shared" si="18"/>
        <v>21-Mar</v>
      </c>
      <c r="CC82" s="46" t="s">
        <v>116</v>
      </c>
      <c r="CD82" s="46" t="s">
        <v>129</v>
      </c>
      <c r="CE82" s="46" t="str">
        <f t="shared" si="17"/>
        <v>Aries - Fire</v>
      </c>
    </row>
    <row r="83" spans="79:83" x14ac:dyDescent="0.3">
      <c r="CA83" s="376">
        <v>43912</v>
      </c>
      <c r="CB83" s="46" t="str">
        <f t="shared" si="18"/>
        <v>22-Mar</v>
      </c>
      <c r="CC83" s="46" t="s">
        <v>116</v>
      </c>
      <c r="CD83" s="46" t="s">
        <v>129</v>
      </c>
      <c r="CE83" s="46" t="str">
        <f t="shared" si="17"/>
        <v>Aries - Fire</v>
      </c>
    </row>
    <row r="84" spans="79:83" x14ac:dyDescent="0.3">
      <c r="CA84" s="376">
        <v>43913</v>
      </c>
      <c r="CB84" s="46" t="str">
        <f t="shared" si="18"/>
        <v>23-Mar</v>
      </c>
      <c r="CC84" s="46" t="s">
        <v>116</v>
      </c>
      <c r="CD84" s="46" t="s">
        <v>129</v>
      </c>
      <c r="CE84" s="46" t="str">
        <f t="shared" si="17"/>
        <v>Aries - Fire</v>
      </c>
    </row>
    <row r="85" spans="79:83" x14ac:dyDescent="0.3">
      <c r="CA85" s="376">
        <v>43914</v>
      </c>
      <c r="CB85" s="46" t="str">
        <f t="shared" si="18"/>
        <v>24-Mar</v>
      </c>
      <c r="CC85" s="46" t="s">
        <v>116</v>
      </c>
      <c r="CD85" s="46" t="s">
        <v>129</v>
      </c>
      <c r="CE85" s="46" t="str">
        <f t="shared" si="17"/>
        <v>Aries - Fire</v>
      </c>
    </row>
    <row r="86" spans="79:83" x14ac:dyDescent="0.3">
      <c r="CA86" s="376">
        <v>43915</v>
      </c>
      <c r="CB86" s="46" t="str">
        <f t="shared" si="18"/>
        <v>25-Mar</v>
      </c>
      <c r="CC86" s="46" t="s">
        <v>116</v>
      </c>
      <c r="CD86" s="46" t="s">
        <v>129</v>
      </c>
      <c r="CE86" s="46" t="str">
        <f t="shared" si="17"/>
        <v>Aries - Fire</v>
      </c>
    </row>
    <row r="87" spans="79:83" x14ac:dyDescent="0.3">
      <c r="CA87" s="376">
        <v>43916</v>
      </c>
      <c r="CB87" s="46" t="str">
        <f t="shared" si="18"/>
        <v>26-Mar</v>
      </c>
      <c r="CC87" s="46" t="s">
        <v>116</v>
      </c>
      <c r="CD87" s="46" t="s">
        <v>129</v>
      </c>
      <c r="CE87" s="46" t="str">
        <f t="shared" si="17"/>
        <v>Aries - Fire</v>
      </c>
    </row>
    <row r="88" spans="79:83" x14ac:dyDescent="0.3">
      <c r="CA88" s="376">
        <v>43917</v>
      </c>
      <c r="CB88" s="46" t="str">
        <f t="shared" si="18"/>
        <v>27-Mar</v>
      </c>
      <c r="CC88" s="46" t="s">
        <v>116</v>
      </c>
      <c r="CD88" s="46" t="s">
        <v>129</v>
      </c>
      <c r="CE88" s="46" t="str">
        <f t="shared" si="17"/>
        <v>Aries - Fire</v>
      </c>
    </row>
    <row r="89" spans="79:83" x14ac:dyDescent="0.3">
      <c r="CA89" s="376">
        <v>43918</v>
      </c>
      <c r="CB89" s="46" t="str">
        <f t="shared" si="18"/>
        <v>28-Mar</v>
      </c>
      <c r="CC89" s="46" t="s">
        <v>116</v>
      </c>
      <c r="CD89" s="46" t="s">
        <v>129</v>
      </c>
      <c r="CE89" s="46" t="str">
        <f t="shared" si="17"/>
        <v>Aries - Fire</v>
      </c>
    </row>
    <row r="90" spans="79:83" x14ac:dyDescent="0.3">
      <c r="CA90" s="376">
        <v>43919</v>
      </c>
      <c r="CB90" s="46" t="str">
        <f t="shared" si="18"/>
        <v>29-Mar</v>
      </c>
      <c r="CC90" s="46" t="s">
        <v>116</v>
      </c>
      <c r="CD90" s="46" t="s">
        <v>129</v>
      </c>
      <c r="CE90" s="46" t="str">
        <f t="shared" si="17"/>
        <v>Aries - Fire</v>
      </c>
    </row>
    <row r="91" spans="79:83" x14ac:dyDescent="0.3">
      <c r="CA91" s="376">
        <v>43920</v>
      </c>
      <c r="CB91" s="46" t="str">
        <f t="shared" si="18"/>
        <v>30-Mar</v>
      </c>
      <c r="CC91" s="46" t="s">
        <v>116</v>
      </c>
      <c r="CD91" s="46" t="s">
        <v>129</v>
      </c>
      <c r="CE91" s="46" t="str">
        <f t="shared" si="17"/>
        <v>Aries - Fire</v>
      </c>
    </row>
    <row r="92" spans="79:83" x14ac:dyDescent="0.3">
      <c r="CA92" s="376">
        <v>43921</v>
      </c>
      <c r="CB92" s="46" t="str">
        <f t="shared" si="18"/>
        <v>31-Mar</v>
      </c>
      <c r="CC92" s="46" t="s">
        <v>116</v>
      </c>
      <c r="CD92" s="46" t="s">
        <v>129</v>
      </c>
      <c r="CE92" s="46" t="str">
        <f t="shared" si="17"/>
        <v>Aries - Fire</v>
      </c>
    </row>
    <row r="93" spans="79:83" x14ac:dyDescent="0.3">
      <c r="CA93" s="376">
        <v>43922</v>
      </c>
      <c r="CB93" s="46" t="str">
        <f t="shared" si="18"/>
        <v>01-Apr</v>
      </c>
      <c r="CC93" s="46" t="s">
        <v>116</v>
      </c>
      <c r="CD93" s="46" t="s">
        <v>129</v>
      </c>
      <c r="CE93" s="46" t="str">
        <f t="shared" si="17"/>
        <v>Aries - Fire</v>
      </c>
    </row>
    <row r="94" spans="79:83" x14ac:dyDescent="0.3">
      <c r="CA94" s="376">
        <v>43923</v>
      </c>
      <c r="CB94" s="46" t="str">
        <f t="shared" si="18"/>
        <v>02-Apr</v>
      </c>
      <c r="CC94" s="46" t="s">
        <v>116</v>
      </c>
      <c r="CD94" s="46" t="s">
        <v>129</v>
      </c>
      <c r="CE94" s="46" t="str">
        <f t="shared" si="17"/>
        <v>Aries - Fire</v>
      </c>
    </row>
    <row r="95" spans="79:83" x14ac:dyDescent="0.3">
      <c r="CA95" s="376">
        <v>43924</v>
      </c>
      <c r="CB95" s="46" t="str">
        <f t="shared" si="18"/>
        <v>03-Apr</v>
      </c>
      <c r="CC95" s="46" t="s">
        <v>116</v>
      </c>
      <c r="CD95" s="46" t="s">
        <v>129</v>
      </c>
      <c r="CE95" s="46" t="str">
        <f t="shared" si="17"/>
        <v>Aries - Fire</v>
      </c>
    </row>
    <row r="96" spans="79:83" x14ac:dyDescent="0.3">
      <c r="CA96" s="376">
        <v>43925</v>
      </c>
      <c r="CB96" s="46" t="str">
        <f t="shared" si="18"/>
        <v>04-Apr</v>
      </c>
      <c r="CC96" s="46" t="s">
        <v>116</v>
      </c>
      <c r="CD96" s="46" t="s">
        <v>129</v>
      </c>
      <c r="CE96" s="46" t="str">
        <f t="shared" si="17"/>
        <v>Aries - Fire</v>
      </c>
    </row>
    <row r="97" spans="79:83" x14ac:dyDescent="0.3">
      <c r="CA97" s="376">
        <v>43926</v>
      </c>
      <c r="CB97" s="46" t="str">
        <f t="shared" si="18"/>
        <v>05-Apr</v>
      </c>
      <c r="CC97" s="46" t="s">
        <v>116</v>
      </c>
      <c r="CD97" s="46" t="s">
        <v>129</v>
      </c>
      <c r="CE97" s="46" t="str">
        <f t="shared" si="17"/>
        <v>Aries - Fire</v>
      </c>
    </row>
    <row r="98" spans="79:83" x14ac:dyDescent="0.3">
      <c r="CA98" s="376">
        <v>43927</v>
      </c>
      <c r="CB98" s="46" t="str">
        <f t="shared" si="18"/>
        <v>06-Apr</v>
      </c>
      <c r="CC98" s="46" t="s">
        <v>116</v>
      </c>
      <c r="CD98" s="46" t="s">
        <v>129</v>
      </c>
      <c r="CE98" s="46" t="str">
        <f t="shared" si="17"/>
        <v>Aries - Fire</v>
      </c>
    </row>
    <row r="99" spans="79:83" x14ac:dyDescent="0.3">
      <c r="CA99" s="376">
        <v>43928</v>
      </c>
      <c r="CB99" s="46" t="str">
        <f t="shared" si="18"/>
        <v>07-Apr</v>
      </c>
      <c r="CC99" s="46" t="s">
        <v>116</v>
      </c>
      <c r="CD99" s="46" t="s">
        <v>129</v>
      </c>
      <c r="CE99" s="46" t="str">
        <f t="shared" si="17"/>
        <v>Aries - Fire</v>
      </c>
    </row>
    <row r="100" spans="79:83" x14ac:dyDescent="0.3">
      <c r="CA100" s="376">
        <v>43929</v>
      </c>
      <c r="CB100" s="46" t="str">
        <f t="shared" si="18"/>
        <v>08-Apr</v>
      </c>
      <c r="CC100" s="46" t="s">
        <v>116</v>
      </c>
      <c r="CD100" s="46" t="s">
        <v>129</v>
      </c>
      <c r="CE100" s="46" t="str">
        <f t="shared" si="17"/>
        <v>Aries - Fire</v>
      </c>
    </row>
    <row r="101" spans="79:83" x14ac:dyDescent="0.3">
      <c r="CA101" s="376">
        <v>43930</v>
      </c>
      <c r="CB101" s="46" t="str">
        <f t="shared" si="18"/>
        <v>09-Apr</v>
      </c>
      <c r="CC101" s="46" t="s">
        <v>116</v>
      </c>
      <c r="CD101" s="46" t="s">
        <v>129</v>
      </c>
      <c r="CE101" s="46" t="str">
        <f t="shared" si="17"/>
        <v>Aries - Fire</v>
      </c>
    </row>
    <row r="102" spans="79:83" x14ac:dyDescent="0.3">
      <c r="CA102" s="376">
        <v>43931</v>
      </c>
      <c r="CB102" s="46" t="str">
        <f t="shared" si="18"/>
        <v>10-Apr</v>
      </c>
      <c r="CC102" s="46" t="s">
        <v>116</v>
      </c>
      <c r="CD102" s="46" t="s">
        <v>129</v>
      </c>
      <c r="CE102" s="46" t="str">
        <f t="shared" si="17"/>
        <v>Aries - Fire</v>
      </c>
    </row>
    <row r="103" spans="79:83" x14ac:dyDescent="0.3">
      <c r="CA103" s="376">
        <v>43932</v>
      </c>
      <c r="CB103" s="46" t="str">
        <f t="shared" si="18"/>
        <v>11-Apr</v>
      </c>
      <c r="CC103" s="46" t="s">
        <v>116</v>
      </c>
      <c r="CD103" s="46" t="s">
        <v>129</v>
      </c>
      <c r="CE103" s="46" t="str">
        <f t="shared" si="17"/>
        <v>Aries - Fire</v>
      </c>
    </row>
    <row r="104" spans="79:83" x14ac:dyDescent="0.3">
      <c r="CA104" s="376">
        <v>43933</v>
      </c>
      <c r="CB104" s="46" t="str">
        <f t="shared" si="18"/>
        <v>12-Apr</v>
      </c>
      <c r="CC104" s="46" t="s">
        <v>116</v>
      </c>
      <c r="CD104" s="46" t="s">
        <v>129</v>
      </c>
      <c r="CE104" s="46" t="str">
        <f t="shared" si="17"/>
        <v>Aries - Fire</v>
      </c>
    </row>
    <row r="105" spans="79:83" x14ac:dyDescent="0.3">
      <c r="CA105" s="376">
        <v>43934</v>
      </c>
      <c r="CB105" s="46" t="str">
        <f t="shared" si="18"/>
        <v>13-Apr</v>
      </c>
      <c r="CC105" s="46" t="s">
        <v>116</v>
      </c>
      <c r="CD105" s="46" t="s">
        <v>129</v>
      </c>
      <c r="CE105" s="46" t="str">
        <f t="shared" si="17"/>
        <v>Aries - Fire</v>
      </c>
    </row>
    <row r="106" spans="79:83" x14ac:dyDescent="0.3">
      <c r="CA106" s="376">
        <v>43935</v>
      </c>
      <c r="CB106" s="46" t="str">
        <f t="shared" si="18"/>
        <v>14-Apr</v>
      </c>
      <c r="CC106" s="46" t="s">
        <v>116</v>
      </c>
      <c r="CD106" s="46" t="s">
        <v>129</v>
      </c>
      <c r="CE106" s="46" t="str">
        <f t="shared" si="17"/>
        <v>Aries - Fire</v>
      </c>
    </row>
    <row r="107" spans="79:83" x14ac:dyDescent="0.3">
      <c r="CA107" s="376">
        <v>43936</v>
      </c>
      <c r="CB107" s="46" t="str">
        <f t="shared" si="18"/>
        <v>15-Apr</v>
      </c>
      <c r="CC107" s="46" t="s">
        <v>116</v>
      </c>
      <c r="CD107" s="46" t="s">
        <v>129</v>
      </c>
      <c r="CE107" s="46" t="str">
        <f t="shared" si="17"/>
        <v>Aries - Fire</v>
      </c>
    </row>
    <row r="108" spans="79:83" x14ac:dyDescent="0.3">
      <c r="CA108" s="376">
        <v>43937</v>
      </c>
      <c r="CB108" s="46" t="str">
        <f t="shared" si="18"/>
        <v>16-Apr</v>
      </c>
      <c r="CC108" s="46" t="s">
        <v>116</v>
      </c>
      <c r="CD108" s="46" t="s">
        <v>129</v>
      </c>
      <c r="CE108" s="46" t="str">
        <f t="shared" si="17"/>
        <v>Aries - Fire</v>
      </c>
    </row>
    <row r="109" spans="79:83" x14ac:dyDescent="0.3">
      <c r="CA109" s="376">
        <v>43938</v>
      </c>
      <c r="CB109" s="46" t="str">
        <f t="shared" si="18"/>
        <v>17-Apr</v>
      </c>
      <c r="CC109" s="46" t="s">
        <v>116</v>
      </c>
      <c r="CD109" s="46" t="s">
        <v>129</v>
      </c>
      <c r="CE109" s="46" t="str">
        <f t="shared" si="17"/>
        <v>Aries - Fire</v>
      </c>
    </row>
    <row r="110" spans="79:83" x14ac:dyDescent="0.3">
      <c r="CA110" s="376">
        <v>43939</v>
      </c>
      <c r="CB110" s="46" t="str">
        <f t="shared" si="18"/>
        <v>18-Apr</v>
      </c>
      <c r="CC110" s="46" t="s">
        <v>116</v>
      </c>
      <c r="CD110" s="46" t="s">
        <v>129</v>
      </c>
      <c r="CE110" s="46" t="str">
        <f t="shared" si="17"/>
        <v>Aries - Fire</v>
      </c>
    </row>
    <row r="111" spans="79:83" x14ac:dyDescent="0.3">
      <c r="CA111" s="376">
        <v>43940</v>
      </c>
      <c r="CB111" s="46" t="str">
        <f t="shared" si="18"/>
        <v>19-Apr</v>
      </c>
      <c r="CC111" s="46" t="s">
        <v>116</v>
      </c>
      <c r="CD111" s="46" t="s">
        <v>129</v>
      </c>
      <c r="CE111" s="46" t="str">
        <f t="shared" si="17"/>
        <v>Aries - Fire</v>
      </c>
    </row>
    <row r="112" spans="79:83" x14ac:dyDescent="0.3">
      <c r="CA112" s="376">
        <v>43941</v>
      </c>
      <c r="CB112" s="46" t="str">
        <f t="shared" si="18"/>
        <v>20-Apr</v>
      </c>
      <c r="CC112" s="46" t="s">
        <v>117</v>
      </c>
      <c r="CD112" s="46" t="s">
        <v>130</v>
      </c>
      <c r="CE112" s="46" t="str">
        <f t="shared" si="17"/>
        <v>Taurus - Earth</v>
      </c>
    </row>
    <row r="113" spans="79:83" x14ac:dyDescent="0.3">
      <c r="CA113" s="376">
        <v>43942</v>
      </c>
      <c r="CB113" s="46" t="str">
        <f t="shared" si="18"/>
        <v>21-Apr</v>
      </c>
      <c r="CC113" s="46" t="s">
        <v>117</v>
      </c>
      <c r="CD113" s="46" t="s">
        <v>130</v>
      </c>
      <c r="CE113" s="46" t="str">
        <f t="shared" si="17"/>
        <v>Taurus - Earth</v>
      </c>
    </row>
    <row r="114" spans="79:83" x14ac:dyDescent="0.3">
      <c r="CA114" s="376">
        <v>43943</v>
      </c>
      <c r="CB114" s="46" t="str">
        <f t="shared" si="18"/>
        <v>22-Apr</v>
      </c>
      <c r="CC114" s="46" t="s">
        <v>117</v>
      </c>
      <c r="CD114" s="46" t="s">
        <v>130</v>
      </c>
      <c r="CE114" s="46" t="str">
        <f t="shared" si="17"/>
        <v>Taurus - Earth</v>
      </c>
    </row>
    <row r="115" spans="79:83" x14ac:dyDescent="0.3">
      <c r="CA115" s="376">
        <v>43944</v>
      </c>
      <c r="CB115" s="46" t="str">
        <f t="shared" si="18"/>
        <v>23-Apr</v>
      </c>
      <c r="CC115" s="46" t="s">
        <v>117</v>
      </c>
      <c r="CD115" s="46" t="s">
        <v>130</v>
      </c>
      <c r="CE115" s="46" t="str">
        <f t="shared" si="17"/>
        <v>Taurus - Earth</v>
      </c>
    </row>
    <row r="116" spans="79:83" x14ac:dyDescent="0.3">
      <c r="CA116" s="376">
        <v>43945</v>
      </c>
      <c r="CB116" s="46" t="str">
        <f t="shared" si="18"/>
        <v>24-Apr</v>
      </c>
      <c r="CC116" s="46" t="s">
        <v>117</v>
      </c>
      <c r="CD116" s="46" t="s">
        <v>130</v>
      </c>
      <c r="CE116" s="46" t="str">
        <f t="shared" si="17"/>
        <v>Taurus - Earth</v>
      </c>
    </row>
    <row r="117" spans="79:83" x14ac:dyDescent="0.3">
      <c r="CA117" s="376">
        <v>43946</v>
      </c>
      <c r="CB117" s="46" t="str">
        <f t="shared" si="18"/>
        <v>25-Apr</v>
      </c>
      <c r="CC117" s="46" t="s">
        <v>117</v>
      </c>
      <c r="CD117" s="46" t="s">
        <v>130</v>
      </c>
      <c r="CE117" s="46" t="str">
        <f t="shared" si="17"/>
        <v>Taurus - Earth</v>
      </c>
    </row>
    <row r="118" spans="79:83" x14ac:dyDescent="0.3">
      <c r="CA118" s="376">
        <v>43947</v>
      </c>
      <c r="CB118" s="46" t="str">
        <f t="shared" si="18"/>
        <v>26-Apr</v>
      </c>
      <c r="CC118" s="46" t="s">
        <v>117</v>
      </c>
      <c r="CD118" s="46" t="s">
        <v>130</v>
      </c>
      <c r="CE118" s="46" t="str">
        <f t="shared" si="17"/>
        <v>Taurus - Earth</v>
      </c>
    </row>
    <row r="119" spans="79:83" x14ac:dyDescent="0.3">
      <c r="CA119" s="376">
        <v>43948</v>
      </c>
      <c r="CB119" s="46" t="str">
        <f t="shared" si="18"/>
        <v>27-Apr</v>
      </c>
      <c r="CC119" s="46" t="s">
        <v>117</v>
      </c>
      <c r="CD119" s="46" t="s">
        <v>130</v>
      </c>
      <c r="CE119" s="46" t="str">
        <f t="shared" si="17"/>
        <v>Taurus - Earth</v>
      </c>
    </row>
    <row r="120" spans="79:83" x14ac:dyDescent="0.3">
      <c r="CA120" s="376">
        <v>43949</v>
      </c>
      <c r="CB120" s="46" t="str">
        <f t="shared" si="18"/>
        <v>28-Apr</v>
      </c>
      <c r="CC120" s="46" t="s">
        <v>117</v>
      </c>
      <c r="CD120" s="46" t="s">
        <v>130</v>
      </c>
      <c r="CE120" s="46" t="str">
        <f t="shared" si="17"/>
        <v>Taurus - Earth</v>
      </c>
    </row>
    <row r="121" spans="79:83" x14ac:dyDescent="0.3">
      <c r="CA121" s="376">
        <v>43950</v>
      </c>
      <c r="CB121" s="46" t="str">
        <f t="shared" si="18"/>
        <v>29-Apr</v>
      </c>
      <c r="CC121" s="46" t="s">
        <v>117</v>
      </c>
      <c r="CD121" s="46" t="s">
        <v>130</v>
      </c>
      <c r="CE121" s="46" t="str">
        <f t="shared" si="17"/>
        <v>Taurus - Earth</v>
      </c>
    </row>
    <row r="122" spans="79:83" x14ac:dyDescent="0.3">
      <c r="CA122" s="376">
        <v>43951</v>
      </c>
      <c r="CB122" s="46" t="str">
        <f t="shared" si="18"/>
        <v>30-Apr</v>
      </c>
      <c r="CC122" s="46" t="s">
        <v>117</v>
      </c>
      <c r="CD122" s="46" t="s">
        <v>130</v>
      </c>
      <c r="CE122" s="46" t="str">
        <f t="shared" si="17"/>
        <v>Taurus - Earth</v>
      </c>
    </row>
    <row r="123" spans="79:83" x14ac:dyDescent="0.3">
      <c r="CA123" s="376">
        <v>43952</v>
      </c>
      <c r="CB123" s="46" t="str">
        <f t="shared" si="18"/>
        <v>01-May</v>
      </c>
      <c r="CC123" s="46" t="s">
        <v>117</v>
      </c>
      <c r="CD123" s="46" t="s">
        <v>130</v>
      </c>
      <c r="CE123" s="46" t="str">
        <f t="shared" si="17"/>
        <v>Taurus - Earth</v>
      </c>
    </row>
    <row r="124" spans="79:83" x14ac:dyDescent="0.3">
      <c r="CA124" s="376">
        <v>43953</v>
      </c>
      <c r="CB124" s="46" t="str">
        <f t="shared" si="18"/>
        <v>02-May</v>
      </c>
      <c r="CC124" s="46" t="s">
        <v>117</v>
      </c>
      <c r="CD124" s="46" t="s">
        <v>130</v>
      </c>
      <c r="CE124" s="46" t="str">
        <f t="shared" si="17"/>
        <v>Taurus - Earth</v>
      </c>
    </row>
    <row r="125" spans="79:83" x14ac:dyDescent="0.3">
      <c r="CA125" s="376">
        <v>43954</v>
      </c>
      <c r="CB125" s="46" t="str">
        <f t="shared" si="18"/>
        <v>03-May</v>
      </c>
      <c r="CC125" s="46" t="s">
        <v>117</v>
      </c>
      <c r="CD125" s="46" t="s">
        <v>130</v>
      </c>
      <c r="CE125" s="46" t="str">
        <f t="shared" si="17"/>
        <v>Taurus - Earth</v>
      </c>
    </row>
    <row r="126" spans="79:83" x14ac:dyDescent="0.3">
      <c r="CA126" s="376">
        <v>43955</v>
      </c>
      <c r="CB126" s="46" t="str">
        <f t="shared" si="18"/>
        <v>04-May</v>
      </c>
      <c r="CC126" s="46" t="s">
        <v>117</v>
      </c>
      <c r="CD126" s="46" t="s">
        <v>130</v>
      </c>
      <c r="CE126" s="46" t="str">
        <f t="shared" si="17"/>
        <v>Taurus - Earth</v>
      </c>
    </row>
    <row r="127" spans="79:83" x14ac:dyDescent="0.3">
      <c r="CA127" s="376">
        <v>43956</v>
      </c>
      <c r="CB127" s="46" t="str">
        <f t="shared" si="18"/>
        <v>05-May</v>
      </c>
      <c r="CC127" s="46" t="s">
        <v>117</v>
      </c>
      <c r="CD127" s="46" t="s">
        <v>130</v>
      </c>
      <c r="CE127" s="46" t="str">
        <f t="shared" si="17"/>
        <v>Taurus - Earth</v>
      </c>
    </row>
    <row r="128" spans="79:83" x14ac:dyDescent="0.3">
      <c r="CA128" s="376">
        <v>43957</v>
      </c>
      <c r="CB128" s="46" t="str">
        <f t="shared" si="18"/>
        <v>06-May</v>
      </c>
      <c r="CC128" s="46" t="s">
        <v>117</v>
      </c>
      <c r="CD128" s="46" t="s">
        <v>130</v>
      </c>
      <c r="CE128" s="46" t="str">
        <f t="shared" si="17"/>
        <v>Taurus - Earth</v>
      </c>
    </row>
    <row r="129" spans="79:83" x14ac:dyDescent="0.3">
      <c r="CA129" s="376">
        <v>43958</v>
      </c>
      <c r="CB129" s="46" t="str">
        <f t="shared" si="18"/>
        <v>07-May</v>
      </c>
      <c r="CC129" s="46" t="s">
        <v>117</v>
      </c>
      <c r="CD129" s="46" t="s">
        <v>130</v>
      </c>
      <c r="CE129" s="46" t="str">
        <f t="shared" ref="CE129:CE192" si="19">CC129&amp;" - "&amp;CD129</f>
        <v>Taurus - Earth</v>
      </c>
    </row>
    <row r="130" spans="79:83" x14ac:dyDescent="0.3">
      <c r="CA130" s="376">
        <v>43959</v>
      </c>
      <c r="CB130" s="46" t="str">
        <f t="shared" si="18"/>
        <v>08-May</v>
      </c>
      <c r="CC130" s="46" t="s">
        <v>117</v>
      </c>
      <c r="CD130" s="46" t="s">
        <v>130</v>
      </c>
      <c r="CE130" s="46" t="str">
        <f t="shared" si="19"/>
        <v>Taurus - Earth</v>
      </c>
    </row>
    <row r="131" spans="79:83" x14ac:dyDescent="0.3">
      <c r="CA131" s="376">
        <v>43960</v>
      </c>
      <c r="CB131" s="46" t="str">
        <f t="shared" ref="CB131:CB194" si="20">TEXT(CA131,"DD-MMM")</f>
        <v>09-May</v>
      </c>
      <c r="CC131" s="46" t="s">
        <v>117</v>
      </c>
      <c r="CD131" s="46" t="s">
        <v>130</v>
      </c>
      <c r="CE131" s="46" t="str">
        <f t="shared" si="19"/>
        <v>Taurus - Earth</v>
      </c>
    </row>
    <row r="132" spans="79:83" x14ac:dyDescent="0.3">
      <c r="CA132" s="376">
        <v>43961</v>
      </c>
      <c r="CB132" s="46" t="str">
        <f t="shared" si="20"/>
        <v>10-May</v>
      </c>
      <c r="CC132" s="46" t="s">
        <v>117</v>
      </c>
      <c r="CD132" s="46" t="s">
        <v>130</v>
      </c>
      <c r="CE132" s="46" t="str">
        <f t="shared" si="19"/>
        <v>Taurus - Earth</v>
      </c>
    </row>
    <row r="133" spans="79:83" x14ac:dyDescent="0.3">
      <c r="CA133" s="376">
        <v>43962</v>
      </c>
      <c r="CB133" s="46" t="str">
        <f t="shared" si="20"/>
        <v>11-May</v>
      </c>
      <c r="CC133" s="46" t="s">
        <v>117</v>
      </c>
      <c r="CD133" s="46" t="s">
        <v>130</v>
      </c>
      <c r="CE133" s="46" t="str">
        <f t="shared" si="19"/>
        <v>Taurus - Earth</v>
      </c>
    </row>
    <row r="134" spans="79:83" x14ac:dyDescent="0.3">
      <c r="CA134" s="376">
        <v>43963</v>
      </c>
      <c r="CB134" s="46" t="str">
        <f t="shared" si="20"/>
        <v>12-May</v>
      </c>
      <c r="CC134" s="46" t="s">
        <v>117</v>
      </c>
      <c r="CD134" s="46" t="s">
        <v>130</v>
      </c>
      <c r="CE134" s="46" t="str">
        <f t="shared" si="19"/>
        <v>Taurus - Earth</v>
      </c>
    </row>
    <row r="135" spans="79:83" x14ac:dyDescent="0.3">
      <c r="CA135" s="376">
        <v>43964</v>
      </c>
      <c r="CB135" s="46" t="str">
        <f t="shared" si="20"/>
        <v>13-May</v>
      </c>
      <c r="CC135" s="46" t="s">
        <v>117</v>
      </c>
      <c r="CD135" s="46" t="s">
        <v>130</v>
      </c>
      <c r="CE135" s="46" t="str">
        <f t="shared" si="19"/>
        <v>Taurus - Earth</v>
      </c>
    </row>
    <row r="136" spans="79:83" x14ac:dyDescent="0.3">
      <c r="CA136" s="376">
        <v>43965</v>
      </c>
      <c r="CB136" s="46" t="str">
        <f t="shared" si="20"/>
        <v>14-May</v>
      </c>
      <c r="CC136" s="46" t="s">
        <v>117</v>
      </c>
      <c r="CD136" s="46" t="s">
        <v>130</v>
      </c>
      <c r="CE136" s="46" t="str">
        <f t="shared" si="19"/>
        <v>Taurus - Earth</v>
      </c>
    </row>
    <row r="137" spans="79:83" x14ac:dyDescent="0.3">
      <c r="CA137" s="376">
        <v>43966</v>
      </c>
      <c r="CB137" s="46" t="str">
        <f t="shared" si="20"/>
        <v>15-May</v>
      </c>
      <c r="CC137" s="46" t="s">
        <v>117</v>
      </c>
      <c r="CD137" s="46" t="s">
        <v>130</v>
      </c>
      <c r="CE137" s="46" t="str">
        <f t="shared" si="19"/>
        <v>Taurus - Earth</v>
      </c>
    </row>
    <row r="138" spans="79:83" x14ac:dyDescent="0.3">
      <c r="CA138" s="376">
        <v>43967</v>
      </c>
      <c r="CB138" s="46" t="str">
        <f t="shared" si="20"/>
        <v>16-May</v>
      </c>
      <c r="CC138" s="46" t="s">
        <v>117</v>
      </c>
      <c r="CD138" s="46" t="s">
        <v>130</v>
      </c>
      <c r="CE138" s="46" t="str">
        <f t="shared" si="19"/>
        <v>Taurus - Earth</v>
      </c>
    </row>
    <row r="139" spans="79:83" x14ac:dyDescent="0.3">
      <c r="CA139" s="376">
        <v>43968</v>
      </c>
      <c r="CB139" s="46" t="str">
        <f t="shared" si="20"/>
        <v>17-May</v>
      </c>
      <c r="CC139" s="46" t="s">
        <v>117</v>
      </c>
      <c r="CD139" s="46" t="s">
        <v>130</v>
      </c>
      <c r="CE139" s="46" t="str">
        <f t="shared" si="19"/>
        <v>Taurus - Earth</v>
      </c>
    </row>
    <row r="140" spans="79:83" x14ac:dyDescent="0.3">
      <c r="CA140" s="376">
        <v>43969</v>
      </c>
      <c r="CB140" s="46" t="str">
        <f t="shared" si="20"/>
        <v>18-May</v>
      </c>
      <c r="CC140" s="46" t="s">
        <v>117</v>
      </c>
      <c r="CD140" s="46" t="s">
        <v>130</v>
      </c>
      <c r="CE140" s="46" t="str">
        <f t="shared" si="19"/>
        <v>Taurus - Earth</v>
      </c>
    </row>
    <row r="141" spans="79:83" x14ac:dyDescent="0.3">
      <c r="CA141" s="376">
        <v>43970</v>
      </c>
      <c r="CB141" s="46" t="str">
        <f t="shared" si="20"/>
        <v>19-May</v>
      </c>
      <c r="CC141" s="46" t="s">
        <v>117</v>
      </c>
      <c r="CD141" s="46" t="s">
        <v>130</v>
      </c>
      <c r="CE141" s="46" t="str">
        <f t="shared" si="19"/>
        <v>Taurus - Earth</v>
      </c>
    </row>
    <row r="142" spans="79:83" x14ac:dyDescent="0.3">
      <c r="CA142" s="376">
        <v>43971</v>
      </c>
      <c r="CB142" s="46" t="str">
        <f t="shared" si="20"/>
        <v>20-May</v>
      </c>
      <c r="CC142" s="46" t="s">
        <v>117</v>
      </c>
      <c r="CD142" s="46" t="s">
        <v>130</v>
      </c>
      <c r="CE142" s="46" t="str">
        <f t="shared" si="19"/>
        <v>Taurus - Earth</v>
      </c>
    </row>
    <row r="143" spans="79:83" x14ac:dyDescent="0.3">
      <c r="CA143" s="376">
        <v>43972</v>
      </c>
      <c r="CB143" s="46" t="str">
        <f t="shared" si="20"/>
        <v>21-May</v>
      </c>
      <c r="CC143" s="46" t="s">
        <v>118</v>
      </c>
      <c r="CD143" s="46" t="s">
        <v>132</v>
      </c>
      <c r="CE143" s="46" t="str">
        <f t="shared" si="19"/>
        <v>Gemini - Air</v>
      </c>
    </row>
    <row r="144" spans="79:83" x14ac:dyDescent="0.3">
      <c r="CA144" s="376">
        <v>43973</v>
      </c>
      <c r="CB144" s="46" t="str">
        <f t="shared" si="20"/>
        <v>22-May</v>
      </c>
      <c r="CC144" s="46" t="s">
        <v>118</v>
      </c>
      <c r="CD144" s="46" t="s">
        <v>132</v>
      </c>
      <c r="CE144" s="46" t="str">
        <f t="shared" si="19"/>
        <v>Gemini - Air</v>
      </c>
    </row>
    <row r="145" spans="79:83" x14ac:dyDescent="0.3">
      <c r="CA145" s="376">
        <v>43974</v>
      </c>
      <c r="CB145" s="46" t="str">
        <f t="shared" si="20"/>
        <v>23-May</v>
      </c>
      <c r="CC145" s="46" t="s">
        <v>118</v>
      </c>
      <c r="CD145" s="46" t="s">
        <v>132</v>
      </c>
      <c r="CE145" s="46" t="str">
        <f t="shared" si="19"/>
        <v>Gemini - Air</v>
      </c>
    </row>
    <row r="146" spans="79:83" x14ac:dyDescent="0.3">
      <c r="CA146" s="376">
        <v>43975</v>
      </c>
      <c r="CB146" s="46" t="str">
        <f t="shared" si="20"/>
        <v>24-May</v>
      </c>
      <c r="CC146" s="46" t="s">
        <v>118</v>
      </c>
      <c r="CD146" s="46" t="s">
        <v>132</v>
      </c>
      <c r="CE146" s="46" t="str">
        <f t="shared" si="19"/>
        <v>Gemini - Air</v>
      </c>
    </row>
    <row r="147" spans="79:83" x14ac:dyDescent="0.3">
      <c r="CA147" s="376">
        <v>43976</v>
      </c>
      <c r="CB147" s="46" t="str">
        <f t="shared" si="20"/>
        <v>25-May</v>
      </c>
      <c r="CC147" s="46" t="s">
        <v>118</v>
      </c>
      <c r="CD147" s="46" t="s">
        <v>132</v>
      </c>
      <c r="CE147" s="46" t="str">
        <f t="shared" si="19"/>
        <v>Gemini - Air</v>
      </c>
    </row>
    <row r="148" spans="79:83" x14ac:dyDescent="0.3">
      <c r="CA148" s="376">
        <v>43977</v>
      </c>
      <c r="CB148" s="46" t="str">
        <f t="shared" si="20"/>
        <v>26-May</v>
      </c>
      <c r="CC148" s="46" t="s">
        <v>118</v>
      </c>
      <c r="CD148" s="46" t="s">
        <v>132</v>
      </c>
      <c r="CE148" s="46" t="str">
        <f t="shared" si="19"/>
        <v>Gemini - Air</v>
      </c>
    </row>
    <row r="149" spans="79:83" x14ac:dyDescent="0.3">
      <c r="CA149" s="376">
        <v>43978</v>
      </c>
      <c r="CB149" s="46" t="str">
        <f t="shared" si="20"/>
        <v>27-May</v>
      </c>
      <c r="CC149" s="46" t="s">
        <v>118</v>
      </c>
      <c r="CD149" s="46" t="s">
        <v>132</v>
      </c>
      <c r="CE149" s="46" t="str">
        <f t="shared" si="19"/>
        <v>Gemini - Air</v>
      </c>
    </row>
    <row r="150" spans="79:83" x14ac:dyDescent="0.3">
      <c r="CA150" s="376">
        <v>43979</v>
      </c>
      <c r="CB150" s="46" t="str">
        <f t="shared" si="20"/>
        <v>28-May</v>
      </c>
      <c r="CC150" s="46" t="s">
        <v>118</v>
      </c>
      <c r="CD150" s="46" t="s">
        <v>132</v>
      </c>
      <c r="CE150" s="46" t="str">
        <f t="shared" si="19"/>
        <v>Gemini - Air</v>
      </c>
    </row>
    <row r="151" spans="79:83" x14ac:dyDescent="0.3">
      <c r="CA151" s="376">
        <v>43980</v>
      </c>
      <c r="CB151" s="46" t="str">
        <f t="shared" si="20"/>
        <v>29-May</v>
      </c>
      <c r="CC151" s="46" t="s">
        <v>118</v>
      </c>
      <c r="CD151" s="46" t="s">
        <v>132</v>
      </c>
      <c r="CE151" s="46" t="str">
        <f t="shared" si="19"/>
        <v>Gemini - Air</v>
      </c>
    </row>
    <row r="152" spans="79:83" x14ac:dyDescent="0.3">
      <c r="CA152" s="376">
        <v>43981</v>
      </c>
      <c r="CB152" s="46" t="str">
        <f t="shared" si="20"/>
        <v>30-May</v>
      </c>
      <c r="CC152" s="46" t="s">
        <v>118</v>
      </c>
      <c r="CD152" s="46" t="s">
        <v>132</v>
      </c>
      <c r="CE152" s="46" t="str">
        <f t="shared" si="19"/>
        <v>Gemini - Air</v>
      </c>
    </row>
    <row r="153" spans="79:83" x14ac:dyDescent="0.3">
      <c r="CA153" s="376">
        <v>43982</v>
      </c>
      <c r="CB153" s="46" t="str">
        <f t="shared" si="20"/>
        <v>31-May</v>
      </c>
      <c r="CC153" s="46" t="s">
        <v>118</v>
      </c>
      <c r="CD153" s="46" t="s">
        <v>132</v>
      </c>
      <c r="CE153" s="46" t="str">
        <f t="shared" si="19"/>
        <v>Gemini - Air</v>
      </c>
    </row>
    <row r="154" spans="79:83" x14ac:dyDescent="0.3">
      <c r="CA154" s="376">
        <v>43983</v>
      </c>
      <c r="CB154" s="46" t="str">
        <f t="shared" si="20"/>
        <v>01-Jun</v>
      </c>
      <c r="CC154" s="46" t="s">
        <v>118</v>
      </c>
      <c r="CD154" s="46" t="s">
        <v>132</v>
      </c>
      <c r="CE154" s="46" t="str">
        <f t="shared" si="19"/>
        <v>Gemini - Air</v>
      </c>
    </row>
    <row r="155" spans="79:83" x14ac:dyDescent="0.3">
      <c r="CA155" s="376">
        <v>43984</v>
      </c>
      <c r="CB155" s="46" t="str">
        <f t="shared" si="20"/>
        <v>02-Jun</v>
      </c>
      <c r="CC155" s="46" t="s">
        <v>118</v>
      </c>
      <c r="CD155" s="46" t="s">
        <v>132</v>
      </c>
      <c r="CE155" s="46" t="str">
        <f t="shared" si="19"/>
        <v>Gemini - Air</v>
      </c>
    </row>
    <row r="156" spans="79:83" x14ac:dyDescent="0.3">
      <c r="CA156" s="376">
        <v>43985</v>
      </c>
      <c r="CB156" s="46" t="str">
        <f t="shared" si="20"/>
        <v>03-Jun</v>
      </c>
      <c r="CC156" s="46" t="s">
        <v>118</v>
      </c>
      <c r="CD156" s="46" t="s">
        <v>132</v>
      </c>
      <c r="CE156" s="46" t="str">
        <f t="shared" si="19"/>
        <v>Gemini - Air</v>
      </c>
    </row>
    <row r="157" spans="79:83" x14ac:dyDescent="0.3">
      <c r="CA157" s="376">
        <v>43986</v>
      </c>
      <c r="CB157" s="46" t="str">
        <f t="shared" si="20"/>
        <v>04-Jun</v>
      </c>
      <c r="CC157" s="46" t="s">
        <v>118</v>
      </c>
      <c r="CD157" s="46" t="s">
        <v>132</v>
      </c>
      <c r="CE157" s="46" t="str">
        <f t="shared" si="19"/>
        <v>Gemini - Air</v>
      </c>
    </row>
    <row r="158" spans="79:83" x14ac:dyDescent="0.3">
      <c r="CA158" s="376">
        <v>43987</v>
      </c>
      <c r="CB158" s="46" t="str">
        <f t="shared" si="20"/>
        <v>05-Jun</v>
      </c>
      <c r="CC158" s="46" t="s">
        <v>118</v>
      </c>
      <c r="CD158" s="46" t="s">
        <v>132</v>
      </c>
      <c r="CE158" s="46" t="str">
        <f t="shared" si="19"/>
        <v>Gemini - Air</v>
      </c>
    </row>
    <row r="159" spans="79:83" x14ac:dyDescent="0.3">
      <c r="CA159" s="376">
        <v>43988</v>
      </c>
      <c r="CB159" s="46" t="str">
        <f t="shared" si="20"/>
        <v>06-Jun</v>
      </c>
      <c r="CC159" s="46" t="s">
        <v>118</v>
      </c>
      <c r="CD159" s="46" t="s">
        <v>132</v>
      </c>
      <c r="CE159" s="46" t="str">
        <f t="shared" si="19"/>
        <v>Gemini - Air</v>
      </c>
    </row>
    <row r="160" spans="79:83" x14ac:dyDescent="0.3">
      <c r="CA160" s="376">
        <v>43989</v>
      </c>
      <c r="CB160" s="46" t="str">
        <f t="shared" si="20"/>
        <v>07-Jun</v>
      </c>
      <c r="CC160" s="46" t="s">
        <v>118</v>
      </c>
      <c r="CD160" s="46" t="s">
        <v>132</v>
      </c>
      <c r="CE160" s="46" t="str">
        <f t="shared" si="19"/>
        <v>Gemini - Air</v>
      </c>
    </row>
    <row r="161" spans="79:83" x14ac:dyDescent="0.3">
      <c r="CA161" s="376">
        <v>43990</v>
      </c>
      <c r="CB161" s="46" t="str">
        <f t="shared" si="20"/>
        <v>08-Jun</v>
      </c>
      <c r="CC161" s="46" t="s">
        <v>118</v>
      </c>
      <c r="CD161" s="46" t="s">
        <v>132</v>
      </c>
      <c r="CE161" s="46" t="str">
        <f t="shared" si="19"/>
        <v>Gemini - Air</v>
      </c>
    </row>
    <row r="162" spans="79:83" x14ac:dyDescent="0.3">
      <c r="CA162" s="376">
        <v>43991</v>
      </c>
      <c r="CB162" s="46" t="str">
        <f t="shared" si="20"/>
        <v>09-Jun</v>
      </c>
      <c r="CC162" s="46" t="s">
        <v>118</v>
      </c>
      <c r="CD162" s="46" t="s">
        <v>132</v>
      </c>
      <c r="CE162" s="46" t="str">
        <f t="shared" si="19"/>
        <v>Gemini - Air</v>
      </c>
    </row>
    <row r="163" spans="79:83" x14ac:dyDescent="0.3">
      <c r="CA163" s="376">
        <v>43992</v>
      </c>
      <c r="CB163" s="46" t="str">
        <f t="shared" si="20"/>
        <v>10-Jun</v>
      </c>
      <c r="CC163" s="46" t="s">
        <v>118</v>
      </c>
      <c r="CD163" s="46" t="s">
        <v>132</v>
      </c>
      <c r="CE163" s="46" t="str">
        <f t="shared" si="19"/>
        <v>Gemini - Air</v>
      </c>
    </row>
    <row r="164" spans="79:83" x14ac:dyDescent="0.3">
      <c r="CA164" s="376">
        <v>43993</v>
      </c>
      <c r="CB164" s="46" t="str">
        <f t="shared" si="20"/>
        <v>11-Jun</v>
      </c>
      <c r="CC164" s="46" t="s">
        <v>118</v>
      </c>
      <c r="CD164" s="46" t="s">
        <v>132</v>
      </c>
      <c r="CE164" s="46" t="str">
        <f t="shared" si="19"/>
        <v>Gemini - Air</v>
      </c>
    </row>
    <row r="165" spans="79:83" x14ac:dyDescent="0.3">
      <c r="CA165" s="376">
        <v>43994</v>
      </c>
      <c r="CB165" s="46" t="str">
        <f t="shared" si="20"/>
        <v>12-Jun</v>
      </c>
      <c r="CC165" s="46" t="s">
        <v>118</v>
      </c>
      <c r="CD165" s="46" t="s">
        <v>132</v>
      </c>
      <c r="CE165" s="46" t="str">
        <f t="shared" si="19"/>
        <v>Gemini - Air</v>
      </c>
    </row>
    <row r="166" spans="79:83" x14ac:dyDescent="0.3">
      <c r="CA166" s="376">
        <v>43995</v>
      </c>
      <c r="CB166" s="46" t="str">
        <f t="shared" si="20"/>
        <v>13-Jun</v>
      </c>
      <c r="CC166" s="46" t="s">
        <v>118</v>
      </c>
      <c r="CD166" s="46" t="s">
        <v>132</v>
      </c>
      <c r="CE166" s="46" t="str">
        <f t="shared" si="19"/>
        <v>Gemini - Air</v>
      </c>
    </row>
    <row r="167" spans="79:83" x14ac:dyDescent="0.3">
      <c r="CA167" s="376">
        <v>43996</v>
      </c>
      <c r="CB167" s="46" t="str">
        <f t="shared" si="20"/>
        <v>14-Jun</v>
      </c>
      <c r="CC167" s="46" t="s">
        <v>118</v>
      </c>
      <c r="CD167" s="46" t="s">
        <v>132</v>
      </c>
      <c r="CE167" s="46" t="str">
        <f t="shared" si="19"/>
        <v>Gemini - Air</v>
      </c>
    </row>
    <row r="168" spans="79:83" x14ac:dyDescent="0.3">
      <c r="CA168" s="376">
        <v>43997</v>
      </c>
      <c r="CB168" s="46" t="str">
        <f t="shared" si="20"/>
        <v>15-Jun</v>
      </c>
      <c r="CC168" s="46" t="s">
        <v>118</v>
      </c>
      <c r="CD168" s="46" t="s">
        <v>132</v>
      </c>
      <c r="CE168" s="46" t="str">
        <f t="shared" si="19"/>
        <v>Gemini - Air</v>
      </c>
    </row>
    <row r="169" spans="79:83" x14ac:dyDescent="0.3">
      <c r="CA169" s="376">
        <v>43998</v>
      </c>
      <c r="CB169" s="46" t="str">
        <f t="shared" si="20"/>
        <v>16-Jun</v>
      </c>
      <c r="CC169" s="46" t="s">
        <v>118</v>
      </c>
      <c r="CD169" s="46" t="s">
        <v>132</v>
      </c>
      <c r="CE169" s="46" t="str">
        <f t="shared" si="19"/>
        <v>Gemini - Air</v>
      </c>
    </row>
    <row r="170" spans="79:83" x14ac:dyDescent="0.3">
      <c r="CA170" s="376">
        <v>43999</v>
      </c>
      <c r="CB170" s="46" t="str">
        <f t="shared" si="20"/>
        <v>17-Jun</v>
      </c>
      <c r="CC170" s="46" t="s">
        <v>118</v>
      </c>
      <c r="CD170" s="46" t="s">
        <v>132</v>
      </c>
      <c r="CE170" s="46" t="str">
        <f t="shared" si="19"/>
        <v>Gemini - Air</v>
      </c>
    </row>
    <row r="171" spans="79:83" x14ac:dyDescent="0.3">
      <c r="CA171" s="376">
        <v>44000</v>
      </c>
      <c r="CB171" s="46" t="str">
        <f t="shared" si="20"/>
        <v>18-Jun</v>
      </c>
      <c r="CC171" s="46" t="s">
        <v>118</v>
      </c>
      <c r="CD171" s="46" t="s">
        <v>132</v>
      </c>
      <c r="CE171" s="46" t="str">
        <f t="shared" si="19"/>
        <v>Gemini - Air</v>
      </c>
    </row>
    <row r="172" spans="79:83" x14ac:dyDescent="0.3">
      <c r="CA172" s="376">
        <v>44001</v>
      </c>
      <c r="CB172" s="46" t="str">
        <f t="shared" si="20"/>
        <v>19-Jun</v>
      </c>
      <c r="CC172" s="46" t="s">
        <v>118</v>
      </c>
      <c r="CD172" s="46" t="s">
        <v>132</v>
      </c>
      <c r="CE172" s="46" t="str">
        <f t="shared" si="19"/>
        <v>Gemini - Air</v>
      </c>
    </row>
    <row r="173" spans="79:83" x14ac:dyDescent="0.3">
      <c r="CA173" s="376">
        <v>44002</v>
      </c>
      <c r="CB173" s="46" t="str">
        <f t="shared" si="20"/>
        <v>20-Jun</v>
      </c>
      <c r="CC173" s="46" t="s">
        <v>118</v>
      </c>
      <c r="CD173" s="46" t="s">
        <v>132</v>
      </c>
      <c r="CE173" s="46" t="str">
        <f t="shared" si="19"/>
        <v>Gemini - Air</v>
      </c>
    </row>
    <row r="174" spans="79:83" x14ac:dyDescent="0.3">
      <c r="CA174" s="376">
        <v>44003</v>
      </c>
      <c r="CB174" s="46" t="str">
        <f t="shared" si="20"/>
        <v>21-Jun</v>
      </c>
      <c r="CC174" s="46" t="s">
        <v>119</v>
      </c>
      <c r="CD174" s="46" t="s">
        <v>131</v>
      </c>
      <c r="CE174" s="46" t="str">
        <f t="shared" si="19"/>
        <v>Cancer - Water</v>
      </c>
    </row>
    <row r="175" spans="79:83" x14ac:dyDescent="0.3">
      <c r="CA175" s="376">
        <v>44004</v>
      </c>
      <c r="CB175" s="46" t="str">
        <f t="shared" si="20"/>
        <v>22-Jun</v>
      </c>
      <c r="CC175" s="46" t="s">
        <v>119</v>
      </c>
      <c r="CD175" s="46" t="s">
        <v>131</v>
      </c>
      <c r="CE175" s="46" t="str">
        <f t="shared" si="19"/>
        <v>Cancer - Water</v>
      </c>
    </row>
    <row r="176" spans="79:83" x14ac:dyDescent="0.3">
      <c r="CA176" s="376">
        <v>44005</v>
      </c>
      <c r="CB176" s="46" t="str">
        <f t="shared" si="20"/>
        <v>23-Jun</v>
      </c>
      <c r="CC176" s="46" t="s">
        <v>119</v>
      </c>
      <c r="CD176" s="46" t="s">
        <v>131</v>
      </c>
      <c r="CE176" s="46" t="str">
        <f t="shared" si="19"/>
        <v>Cancer - Water</v>
      </c>
    </row>
    <row r="177" spans="79:83" x14ac:dyDescent="0.3">
      <c r="CA177" s="376">
        <v>44006</v>
      </c>
      <c r="CB177" s="46" t="str">
        <f t="shared" si="20"/>
        <v>24-Jun</v>
      </c>
      <c r="CC177" s="46" t="s">
        <v>119</v>
      </c>
      <c r="CD177" s="46" t="s">
        <v>131</v>
      </c>
      <c r="CE177" s="46" t="str">
        <f t="shared" si="19"/>
        <v>Cancer - Water</v>
      </c>
    </row>
    <row r="178" spans="79:83" x14ac:dyDescent="0.3">
      <c r="CA178" s="376">
        <v>44007</v>
      </c>
      <c r="CB178" s="46" t="str">
        <f t="shared" si="20"/>
        <v>25-Jun</v>
      </c>
      <c r="CC178" s="46" t="s">
        <v>119</v>
      </c>
      <c r="CD178" s="46" t="s">
        <v>131</v>
      </c>
      <c r="CE178" s="46" t="str">
        <f t="shared" si="19"/>
        <v>Cancer - Water</v>
      </c>
    </row>
    <row r="179" spans="79:83" x14ac:dyDescent="0.3">
      <c r="CA179" s="376">
        <v>44008</v>
      </c>
      <c r="CB179" s="46" t="str">
        <f t="shared" si="20"/>
        <v>26-Jun</v>
      </c>
      <c r="CC179" s="46" t="s">
        <v>119</v>
      </c>
      <c r="CD179" s="46" t="s">
        <v>131</v>
      </c>
      <c r="CE179" s="46" t="str">
        <f t="shared" si="19"/>
        <v>Cancer - Water</v>
      </c>
    </row>
    <row r="180" spans="79:83" x14ac:dyDescent="0.3">
      <c r="CA180" s="376">
        <v>44009</v>
      </c>
      <c r="CB180" s="46" t="str">
        <f t="shared" si="20"/>
        <v>27-Jun</v>
      </c>
      <c r="CC180" s="46" t="s">
        <v>119</v>
      </c>
      <c r="CD180" s="46" t="s">
        <v>131</v>
      </c>
      <c r="CE180" s="46" t="str">
        <f t="shared" si="19"/>
        <v>Cancer - Water</v>
      </c>
    </row>
    <row r="181" spans="79:83" x14ac:dyDescent="0.3">
      <c r="CA181" s="376">
        <v>44010</v>
      </c>
      <c r="CB181" s="46" t="str">
        <f t="shared" si="20"/>
        <v>28-Jun</v>
      </c>
      <c r="CC181" s="46" t="s">
        <v>119</v>
      </c>
      <c r="CD181" s="46" t="s">
        <v>131</v>
      </c>
      <c r="CE181" s="46" t="str">
        <f t="shared" si="19"/>
        <v>Cancer - Water</v>
      </c>
    </row>
    <row r="182" spans="79:83" x14ac:dyDescent="0.3">
      <c r="CA182" s="376">
        <v>44011</v>
      </c>
      <c r="CB182" s="46" t="str">
        <f t="shared" si="20"/>
        <v>29-Jun</v>
      </c>
      <c r="CC182" s="46" t="s">
        <v>119</v>
      </c>
      <c r="CD182" s="46" t="s">
        <v>131</v>
      </c>
      <c r="CE182" s="46" t="str">
        <f t="shared" si="19"/>
        <v>Cancer - Water</v>
      </c>
    </row>
    <row r="183" spans="79:83" x14ac:dyDescent="0.3">
      <c r="CA183" s="376">
        <v>44012</v>
      </c>
      <c r="CB183" s="46" t="str">
        <f t="shared" si="20"/>
        <v>30-Jun</v>
      </c>
      <c r="CC183" s="46" t="s">
        <v>119</v>
      </c>
      <c r="CD183" s="46" t="s">
        <v>131</v>
      </c>
      <c r="CE183" s="46" t="str">
        <f t="shared" si="19"/>
        <v>Cancer - Water</v>
      </c>
    </row>
    <row r="184" spans="79:83" x14ac:dyDescent="0.3">
      <c r="CA184" s="376">
        <v>44013</v>
      </c>
      <c r="CB184" s="46" t="str">
        <f t="shared" si="20"/>
        <v>01-Jul</v>
      </c>
      <c r="CC184" s="46" t="s">
        <v>119</v>
      </c>
      <c r="CD184" s="46" t="s">
        <v>131</v>
      </c>
      <c r="CE184" s="46" t="str">
        <f t="shared" si="19"/>
        <v>Cancer - Water</v>
      </c>
    </row>
    <row r="185" spans="79:83" x14ac:dyDescent="0.3">
      <c r="CA185" s="376">
        <v>44014</v>
      </c>
      <c r="CB185" s="46" t="str">
        <f t="shared" si="20"/>
        <v>02-Jul</v>
      </c>
      <c r="CC185" s="46" t="s">
        <v>119</v>
      </c>
      <c r="CD185" s="46" t="s">
        <v>131</v>
      </c>
      <c r="CE185" s="46" t="str">
        <f t="shared" si="19"/>
        <v>Cancer - Water</v>
      </c>
    </row>
    <row r="186" spans="79:83" x14ac:dyDescent="0.3">
      <c r="CA186" s="376">
        <v>44015</v>
      </c>
      <c r="CB186" s="46" t="str">
        <f t="shared" si="20"/>
        <v>03-Jul</v>
      </c>
      <c r="CC186" s="46" t="s">
        <v>119</v>
      </c>
      <c r="CD186" s="46" t="s">
        <v>131</v>
      </c>
      <c r="CE186" s="46" t="str">
        <f t="shared" si="19"/>
        <v>Cancer - Water</v>
      </c>
    </row>
    <row r="187" spans="79:83" x14ac:dyDescent="0.3">
      <c r="CA187" s="376">
        <v>44016</v>
      </c>
      <c r="CB187" s="46" t="str">
        <f t="shared" si="20"/>
        <v>04-Jul</v>
      </c>
      <c r="CC187" s="46" t="s">
        <v>119</v>
      </c>
      <c r="CD187" s="46" t="s">
        <v>131</v>
      </c>
      <c r="CE187" s="46" t="str">
        <f t="shared" si="19"/>
        <v>Cancer - Water</v>
      </c>
    </row>
    <row r="188" spans="79:83" x14ac:dyDescent="0.3">
      <c r="CA188" s="376">
        <v>44017</v>
      </c>
      <c r="CB188" s="46" t="str">
        <f t="shared" si="20"/>
        <v>05-Jul</v>
      </c>
      <c r="CC188" s="46" t="s">
        <v>119</v>
      </c>
      <c r="CD188" s="46" t="s">
        <v>131</v>
      </c>
      <c r="CE188" s="46" t="str">
        <f t="shared" si="19"/>
        <v>Cancer - Water</v>
      </c>
    </row>
    <row r="189" spans="79:83" x14ac:dyDescent="0.3">
      <c r="CA189" s="376">
        <v>44018</v>
      </c>
      <c r="CB189" s="46" t="str">
        <f t="shared" si="20"/>
        <v>06-Jul</v>
      </c>
      <c r="CC189" s="46" t="s">
        <v>119</v>
      </c>
      <c r="CD189" s="46" t="s">
        <v>131</v>
      </c>
      <c r="CE189" s="46" t="str">
        <f t="shared" si="19"/>
        <v>Cancer - Water</v>
      </c>
    </row>
    <row r="190" spans="79:83" x14ac:dyDescent="0.3">
      <c r="CA190" s="376">
        <v>44019</v>
      </c>
      <c r="CB190" s="46" t="str">
        <f t="shared" si="20"/>
        <v>07-Jul</v>
      </c>
      <c r="CC190" s="46" t="s">
        <v>119</v>
      </c>
      <c r="CD190" s="46" t="s">
        <v>131</v>
      </c>
      <c r="CE190" s="46" t="str">
        <f t="shared" si="19"/>
        <v>Cancer - Water</v>
      </c>
    </row>
    <row r="191" spans="79:83" x14ac:dyDescent="0.3">
      <c r="CA191" s="376">
        <v>44020</v>
      </c>
      <c r="CB191" s="46" t="str">
        <f t="shared" si="20"/>
        <v>08-Jul</v>
      </c>
      <c r="CC191" s="46" t="s">
        <v>119</v>
      </c>
      <c r="CD191" s="46" t="s">
        <v>131</v>
      </c>
      <c r="CE191" s="46" t="str">
        <f t="shared" si="19"/>
        <v>Cancer - Water</v>
      </c>
    </row>
    <row r="192" spans="79:83" x14ac:dyDescent="0.3">
      <c r="CA192" s="376">
        <v>44021</v>
      </c>
      <c r="CB192" s="46" t="str">
        <f t="shared" si="20"/>
        <v>09-Jul</v>
      </c>
      <c r="CC192" s="46" t="s">
        <v>119</v>
      </c>
      <c r="CD192" s="46" t="s">
        <v>131</v>
      </c>
      <c r="CE192" s="46" t="str">
        <f t="shared" si="19"/>
        <v>Cancer - Water</v>
      </c>
    </row>
    <row r="193" spans="79:83" x14ac:dyDescent="0.3">
      <c r="CA193" s="376">
        <v>44022</v>
      </c>
      <c r="CB193" s="46" t="str">
        <f t="shared" si="20"/>
        <v>10-Jul</v>
      </c>
      <c r="CC193" s="46" t="s">
        <v>119</v>
      </c>
      <c r="CD193" s="46" t="s">
        <v>131</v>
      </c>
      <c r="CE193" s="46" t="str">
        <f t="shared" ref="CE193:CE256" si="21">CC193&amp;" - "&amp;CD193</f>
        <v>Cancer - Water</v>
      </c>
    </row>
    <row r="194" spans="79:83" x14ac:dyDescent="0.3">
      <c r="CA194" s="376">
        <v>44023</v>
      </c>
      <c r="CB194" s="46" t="str">
        <f t="shared" si="20"/>
        <v>11-Jul</v>
      </c>
      <c r="CC194" s="46" t="s">
        <v>119</v>
      </c>
      <c r="CD194" s="46" t="s">
        <v>131</v>
      </c>
      <c r="CE194" s="46" t="str">
        <f t="shared" si="21"/>
        <v>Cancer - Water</v>
      </c>
    </row>
    <row r="195" spans="79:83" x14ac:dyDescent="0.3">
      <c r="CA195" s="376">
        <v>44024</v>
      </c>
      <c r="CB195" s="46" t="str">
        <f t="shared" ref="CB195:CB258" si="22">TEXT(CA195,"DD-MMM")</f>
        <v>12-Jul</v>
      </c>
      <c r="CC195" s="46" t="s">
        <v>119</v>
      </c>
      <c r="CD195" s="46" t="s">
        <v>131</v>
      </c>
      <c r="CE195" s="46" t="str">
        <f t="shared" si="21"/>
        <v>Cancer - Water</v>
      </c>
    </row>
    <row r="196" spans="79:83" x14ac:dyDescent="0.3">
      <c r="CA196" s="376">
        <v>44025</v>
      </c>
      <c r="CB196" s="46" t="str">
        <f t="shared" si="22"/>
        <v>13-Jul</v>
      </c>
      <c r="CC196" s="46" t="s">
        <v>119</v>
      </c>
      <c r="CD196" s="46" t="s">
        <v>131</v>
      </c>
      <c r="CE196" s="46" t="str">
        <f t="shared" si="21"/>
        <v>Cancer - Water</v>
      </c>
    </row>
    <row r="197" spans="79:83" x14ac:dyDescent="0.3">
      <c r="CA197" s="376">
        <v>44026</v>
      </c>
      <c r="CB197" s="46" t="str">
        <f t="shared" si="22"/>
        <v>14-Jul</v>
      </c>
      <c r="CC197" s="46" t="s">
        <v>119</v>
      </c>
      <c r="CD197" s="46" t="s">
        <v>131</v>
      </c>
      <c r="CE197" s="46" t="str">
        <f t="shared" si="21"/>
        <v>Cancer - Water</v>
      </c>
    </row>
    <row r="198" spans="79:83" x14ac:dyDescent="0.3">
      <c r="CA198" s="376">
        <v>44027</v>
      </c>
      <c r="CB198" s="46" t="str">
        <f t="shared" si="22"/>
        <v>15-Jul</v>
      </c>
      <c r="CC198" s="46" t="s">
        <v>119</v>
      </c>
      <c r="CD198" s="46" t="s">
        <v>131</v>
      </c>
      <c r="CE198" s="46" t="str">
        <f t="shared" si="21"/>
        <v>Cancer - Water</v>
      </c>
    </row>
    <row r="199" spans="79:83" x14ac:dyDescent="0.3">
      <c r="CA199" s="376">
        <v>44028</v>
      </c>
      <c r="CB199" s="46" t="str">
        <f t="shared" si="22"/>
        <v>16-Jul</v>
      </c>
      <c r="CC199" s="46" t="s">
        <v>119</v>
      </c>
      <c r="CD199" s="46" t="s">
        <v>131</v>
      </c>
      <c r="CE199" s="46" t="str">
        <f t="shared" si="21"/>
        <v>Cancer - Water</v>
      </c>
    </row>
    <row r="200" spans="79:83" x14ac:dyDescent="0.3">
      <c r="CA200" s="376">
        <v>44029</v>
      </c>
      <c r="CB200" s="46" t="str">
        <f t="shared" si="22"/>
        <v>17-Jul</v>
      </c>
      <c r="CC200" s="46" t="s">
        <v>119</v>
      </c>
      <c r="CD200" s="46" t="s">
        <v>131</v>
      </c>
      <c r="CE200" s="46" t="str">
        <f t="shared" si="21"/>
        <v>Cancer - Water</v>
      </c>
    </row>
    <row r="201" spans="79:83" x14ac:dyDescent="0.3">
      <c r="CA201" s="376">
        <v>44030</v>
      </c>
      <c r="CB201" s="46" t="str">
        <f t="shared" si="22"/>
        <v>18-Jul</v>
      </c>
      <c r="CC201" s="46" t="s">
        <v>119</v>
      </c>
      <c r="CD201" s="46" t="s">
        <v>131</v>
      </c>
      <c r="CE201" s="46" t="str">
        <f t="shared" si="21"/>
        <v>Cancer - Water</v>
      </c>
    </row>
    <row r="202" spans="79:83" x14ac:dyDescent="0.3">
      <c r="CA202" s="376">
        <v>44031</v>
      </c>
      <c r="CB202" s="46" t="str">
        <f t="shared" si="22"/>
        <v>19-Jul</v>
      </c>
      <c r="CC202" s="46" t="s">
        <v>119</v>
      </c>
      <c r="CD202" s="46" t="s">
        <v>131</v>
      </c>
      <c r="CE202" s="46" t="str">
        <f t="shared" si="21"/>
        <v>Cancer - Water</v>
      </c>
    </row>
    <row r="203" spans="79:83" x14ac:dyDescent="0.3">
      <c r="CA203" s="376">
        <v>44032</v>
      </c>
      <c r="CB203" s="46" t="str">
        <f t="shared" si="22"/>
        <v>20-Jul</v>
      </c>
      <c r="CC203" s="46" t="s">
        <v>119</v>
      </c>
      <c r="CD203" s="46" t="s">
        <v>131</v>
      </c>
      <c r="CE203" s="46" t="str">
        <f t="shared" si="21"/>
        <v>Cancer - Water</v>
      </c>
    </row>
    <row r="204" spans="79:83" x14ac:dyDescent="0.3">
      <c r="CA204" s="376">
        <v>44033</v>
      </c>
      <c r="CB204" s="46" t="str">
        <f t="shared" si="22"/>
        <v>21-Jul</v>
      </c>
      <c r="CC204" s="46" t="s">
        <v>119</v>
      </c>
      <c r="CD204" s="46" t="s">
        <v>131</v>
      </c>
      <c r="CE204" s="46" t="str">
        <f t="shared" si="21"/>
        <v>Cancer - Water</v>
      </c>
    </row>
    <row r="205" spans="79:83" x14ac:dyDescent="0.3">
      <c r="CA205" s="376">
        <v>44034</v>
      </c>
      <c r="CB205" s="46" t="str">
        <f t="shared" si="22"/>
        <v>22-Jul</v>
      </c>
      <c r="CC205" s="46" t="s">
        <v>119</v>
      </c>
      <c r="CD205" s="46" t="s">
        <v>131</v>
      </c>
      <c r="CE205" s="46" t="str">
        <f t="shared" si="21"/>
        <v>Cancer - Water</v>
      </c>
    </row>
    <row r="206" spans="79:83" x14ac:dyDescent="0.3">
      <c r="CA206" s="376">
        <v>44035</v>
      </c>
      <c r="CB206" s="46" t="str">
        <f t="shared" si="22"/>
        <v>23-Jul</v>
      </c>
      <c r="CC206" s="46" t="s">
        <v>120</v>
      </c>
      <c r="CD206" s="46" t="s">
        <v>129</v>
      </c>
      <c r="CE206" s="46" t="str">
        <f t="shared" si="21"/>
        <v>Leo - Fire</v>
      </c>
    </row>
    <row r="207" spans="79:83" x14ac:dyDescent="0.3">
      <c r="CA207" s="376">
        <v>44036</v>
      </c>
      <c r="CB207" s="46" t="str">
        <f t="shared" si="22"/>
        <v>24-Jul</v>
      </c>
      <c r="CC207" s="46" t="s">
        <v>120</v>
      </c>
      <c r="CD207" s="46" t="s">
        <v>129</v>
      </c>
      <c r="CE207" s="46" t="str">
        <f t="shared" si="21"/>
        <v>Leo - Fire</v>
      </c>
    </row>
    <row r="208" spans="79:83" x14ac:dyDescent="0.3">
      <c r="CA208" s="376">
        <v>44037</v>
      </c>
      <c r="CB208" s="46" t="str">
        <f t="shared" si="22"/>
        <v>25-Jul</v>
      </c>
      <c r="CC208" s="46" t="s">
        <v>120</v>
      </c>
      <c r="CD208" s="46" t="s">
        <v>129</v>
      </c>
      <c r="CE208" s="46" t="str">
        <f t="shared" si="21"/>
        <v>Leo - Fire</v>
      </c>
    </row>
    <row r="209" spans="79:83" x14ac:dyDescent="0.3">
      <c r="CA209" s="376">
        <v>44038</v>
      </c>
      <c r="CB209" s="46" t="str">
        <f t="shared" si="22"/>
        <v>26-Jul</v>
      </c>
      <c r="CC209" s="46" t="s">
        <v>120</v>
      </c>
      <c r="CD209" s="46" t="s">
        <v>129</v>
      </c>
      <c r="CE209" s="46" t="str">
        <f t="shared" si="21"/>
        <v>Leo - Fire</v>
      </c>
    </row>
    <row r="210" spans="79:83" x14ac:dyDescent="0.3">
      <c r="CA210" s="376">
        <v>44039</v>
      </c>
      <c r="CB210" s="46" t="str">
        <f t="shared" si="22"/>
        <v>27-Jul</v>
      </c>
      <c r="CC210" s="46" t="s">
        <v>120</v>
      </c>
      <c r="CD210" s="46" t="s">
        <v>129</v>
      </c>
      <c r="CE210" s="46" t="str">
        <f t="shared" si="21"/>
        <v>Leo - Fire</v>
      </c>
    </row>
    <row r="211" spans="79:83" x14ac:dyDescent="0.3">
      <c r="CA211" s="376">
        <v>44040</v>
      </c>
      <c r="CB211" s="46" t="str">
        <f t="shared" si="22"/>
        <v>28-Jul</v>
      </c>
      <c r="CC211" s="46" t="s">
        <v>120</v>
      </c>
      <c r="CD211" s="46" t="s">
        <v>129</v>
      </c>
      <c r="CE211" s="46" t="str">
        <f t="shared" si="21"/>
        <v>Leo - Fire</v>
      </c>
    </row>
    <row r="212" spans="79:83" x14ac:dyDescent="0.3">
      <c r="CA212" s="376">
        <v>44041</v>
      </c>
      <c r="CB212" s="46" t="str">
        <f t="shared" si="22"/>
        <v>29-Jul</v>
      </c>
      <c r="CC212" s="46" t="s">
        <v>120</v>
      </c>
      <c r="CD212" s="46" t="s">
        <v>129</v>
      </c>
      <c r="CE212" s="46" t="str">
        <f t="shared" si="21"/>
        <v>Leo - Fire</v>
      </c>
    </row>
    <row r="213" spans="79:83" x14ac:dyDescent="0.3">
      <c r="CA213" s="376">
        <v>44042</v>
      </c>
      <c r="CB213" s="46" t="str">
        <f t="shared" si="22"/>
        <v>30-Jul</v>
      </c>
      <c r="CC213" s="46" t="s">
        <v>120</v>
      </c>
      <c r="CD213" s="46" t="s">
        <v>129</v>
      </c>
      <c r="CE213" s="46" t="str">
        <f t="shared" si="21"/>
        <v>Leo - Fire</v>
      </c>
    </row>
    <row r="214" spans="79:83" x14ac:dyDescent="0.3">
      <c r="CA214" s="376">
        <v>44043</v>
      </c>
      <c r="CB214" s="46" t="str">
        <f t="shared" si="22"/>
        <v>31-Jul</v>
      </c>
      <c r="CC214" s="46" t="s">
        <v>120</v>
      </c>
      <c r="CD214" s="46" t="s">
        <v>129</v>
      </c>
      <c r="CE214" s="46" t="str">
        <f t="shared" si="21"/>
        <v>Leo - Fire</v>
      </c>
    </row>
    <row r="215" spans="79:83" x14ac:dyDescent="0.3">
      <c r="CA215" s="376">
        <v>44044</v>
      </c>
      <c r="CB215" s="46" t="str">
        <f t="shared" si="22"/>
        <v>01-Aug</v>
      </c>
      <c r="CC215" s="46" t="s">
        <v>120</v>
      </c>
      <c r="CD215" s="46" t="s">
        <v>129</v>
      </c>
      <c r="CE215" s="46" t="str">
        <f t="shared" si="21"/>
        <v>Leo - Fire</v>
      </c>
    </row>
    <row r="216" spans="79:83" x14ac:dyDescent="0.3">
      <c r="CA216" s="376">
        <v>44045</v>
      </c>
      <c r="CB216" s="46" t="str">
        <f t="shared" si="22"/>
        <v>02-Aug</v>
      </c>
      <c r="CC216" s="46" t="s">
        <v>120</v>
      </c>
      <c r="CD216" s="46" t="s">
        <v>129</v>
      </c>
      <c r="CE216" s="46" t="str">
        <f t="shared" si="21"/>
        <v>Leo - Fire</v>
      </c>
    </row>
    <row r="217" spans="79:83" x14ac:dyDescent="0.3">
      <c r="CA217" s="376">
        <v>44046</v>
      </c>
      <c r="CB217" s="46" t="str">
        <f t="shared" si="22"/>
        <v>03-Aug</v>
      </c>
      <c r="CC217" s="46" t="s">
        <v>120</v>
      </c>
      <c r="CD217" s="46" t="s">
        <v>129</v>
      </c>
      <c r="CE217" s="46" t="str">
        <f t="shared" si="21"/>
        <v>Leo - Fire</v>
      </c>
    </row>
    <row r="218" spans="79:83" x14ac:dyDescent="0.3">
      <c r="CA218" s="376">
        <v>44047</v>
      </c>
      <c r="CB218" s="46" t="str">
        <f t="shared" si="22"/>
        <v>04-Aug</v>
      </c>
      <c r="CC218" s="46" t="s">
        <v>120</v>
      </c>
      <c r="CD218" s="46" t="s">
        <v>129</v>
      </c>
      <c r="CE218" s="46" t="str">
        <f t="shared" si="21"/>
        <v>Leo - Fire</v>
      </c>
    </row>
    <row r="219" spans="79:83" x14ac:dyDescent="0.3">
      <c r="CA219" s="376">
        <v>44048</v>
      </c>
      <c r="CB219" s="46" t="str">
        <f t="shared" si="22"/>
        <v>05-Aug</v>
      </c>
      <c r="CC219" s="46" t="s">
        <v>120</v>
      </c>
      <c r="CD219" s="46" t="s">
        <v>129</v>
      </c>
      <c r="CE219" s="46" t="str">
        <f t="shared" si="21"/>
        <v>Leo - Fire</v>
      </c>
    </row>
    <row r="220" spans="79:83" x14ac:dyDescent="0.3">
      <c r="CA220" s="376">
        <v>44049</v>
      </c>
      <c r="CB220" s="46" t="str">
        <f t="shared" si="22"/>
        <v>06-Aug</v>
      </c>
      <c r="CC220" s="46" t="s">
        <v>120</v>
      </c>
      <c r="CD220" s="46" t="s">
        <v>129</v>
      </c>
      <c r="CE220" s="46" t="str">
        <f t="shared" si="21"/>
        <v>Leo - Fire</v>
      </c>
    </row>
    <row r="221" spans="79:83" x14ac:dyDescent="0.3">
      <c r="CA221" s="376">
        <v>44050</v>
      </c>
      <c r="CB221" s="46" t="str">
        <f t="shared" si="22"/>
        <v>07-Aug</v>
      </c>
      <c r="CC221" s="46" t="s">
        <v>120</v>
      </c>
      <c r="CD221" s="46" t="s">
        <v>129</v>
      </c>
      <c r="CE221" s="46" t="str">
        <f t="shared" si="21"/>
        <v>Leo - Fire</v>
      </c>
    </row>
    <row r="222" spans="79:83" x14ac:dyDescent="0.3">
      <c r="CA222" s="376">
        <v>44051</v>
      </c>
      <c r="CB222" s="46" t="str">
        <f t="shared" si="22"/>
        <v>08-Aug</v>
      </c>
      <c r="CC222" s="46" t="s">
        <v>120</v>
      </c>
      <c r="CD222" s="46" t="s">
        <v>129</v>
      </c>
      <c r="CE222" s="46" t="str">
        <f t="shared" si="21"/>
        <v>Leo - Fire</v>
      </c>
    </row>
    <row r="223" spans="79:83" x14ac:dyDescent="0.3">
      <c r="CA223" s="376">
        <v>44052</v>
      </c>
      <c r="CB223" s="46" t="str">
        <f t="shared" si="22"/>
        <v>09-Aug</v>
      </c>
      <c r="CC223" s="46" t="s">
        <v>120</v>
      </c>
      <c r="CD223" s="46" t="s">
        <v>129</v>
      </c>
      <c r="CE223" s="46" t="str">
        <f t="shared" si="21"/>
        <v>Leo - Fire</v>
      </c>
    </row>
    <row r="224" spans="79:83" x14ac:dyDescent="0.3">
      <c r="CA224" s="376">
        <v>44053</v>
      </c>
      <c r="CB224" s="46" t="str">
        <f t="shared" si="22"/>
        <v>10-Aug</v>
      </c>
      <c r="CC224" s="46" t="s">
        <v>120</v>
      </c>
      <c r="CD224" s="46" t="s">
        <v>129</v>
      </c>
      <c r="CE224" s="46" t="str">
        <f t="shared" si="21"/>
        <v>Leo - Fire</v>
      </c>
    </row>
    <row r="225" spans="79:83" x14ac:dyDescent="0.3">
      <c r="CA225" s="376">
        <v>44054</v>
      </c>
      <c r="CB225" s="46" t="str">
        <f t="shared" si="22"/>
        <v>11-Aug</v>
      </c>
      <c r="CC225" s="46" t="s">
        <v>120</v>
      </c>
      <c r="CD225" s="46" t="s">
        <v>129</v>
      </c>
      <c r="CE225" s="46" t="str">
        <f t="shared" si="21"/>
        <v>Leo - Fire</v>
      </c>
    </row>
    <row r="226" spans="79:83" x14ac:dyDescent="0.3">
      <c r="CA226" s="376">
        <v>44055</v>
      </c>
      <c r="CB226" s="46" t="str">
        <f t="shared" si="22"/>
        <v>12-Aug</v>
      </c>
      <c r="CC226" s="46" t="s">
        <v>120</v>
      </c>
      <c r="CD226" s="46" t="s">
        <v>129</v>
      </c>
      <c r="CE226" s="46" t="str">
        <f t="shared" si="21"/>
        <v>Leo - Fire</v>
      </c>
    </row>
    <row r="227" spans="79:83" x14ac:dyDescent="0.3">
      <c r="CA227" s="376">
        <v>44056</v>
      </c>
      <c r="CB227" s="46" t="str">
        <f t="shared" si="22"/>
        <v>13-Aug</v>
      </c>
      <c r="CC227" s="46" t="s">
        <v>120</v>
      </c>
      <c r="CD227" s="46" t="s">
        <v>129</v>
      </c>
      <c r="CE227" s="46" t="str">
        <f t="shared" si="21"/>
        <v>Leo - Fire</v>
      </c>
    </row>
    <row r="228" spans="79:83" x14ac:dyDescent="0.3">
      <c r="CA228" s="376">
        <v>44057</v>
      </c>
      <c r="CB228" s="46" t="str">
        <f t="shared" si="22"/>
        <v>14-Aug</v>
      </c>
      <c r="CC228" s="46" t="s">
        <v>120</v>
      </c>
      <c r="CD228" s="46" t="s">
        <v>129</v>
      </c>
      <c r="CE228" s="46" t="str">
        <f t="shared" si="21"/>
        <v>Leo - Fire</v>
      </c>
    </row>
    <row r="229" spans="79:83" x14ac:dyDescent="0.3">
      <c r="CA229" s="376">
        <v>44058</v>
      </c>
      <c r="CB229" s="46" t="str">
        <f t="shared" si="22"/>
        <v>15-Aug</v>
      </c>
      <c r="CC229" s="46" t="s">
        <v>120</v>
      </c>
      <c r="CD229" s="46" t="s">
        <v>129</v>
      </c>
      <c r="CE229" s="46" t="str">
        <f t="shared" si="21"/>
        <v>Leo - Fire</v>
      </c>
    </row>
    <row r="230" spans="79:83" x14ac:dyDescent="0.3">
      <c r="CA230" s="376">
        <v>44059</v>
      </c>
      <c r="CB230" s="46" t="str">
        <f t="shared" si="22"/>
        <v>16-Aug</v>
      </c>
      <c r="CC230" s="46" t="s">
        <v>120</v>
      </c>
      <c r="CD230" s="46" t="s">
        <v>129</v>
      </c>
      <c r="CE230" s="46" t="str">
        <f t="shared" si="21"/>
        <v>Leo - Fire</v>
      </c>
    </row>
    <row r="231" spans="79:83" x14ac:dyDescent="0.3">
      <c r="CA231" s="376">
        <v>44060</v>
      </c>
      <c r="CB231" s="46" t="str">
        <f t="shared" si="22"/>
        <v>17-Aug</v>
      </c>
      <c r="CC231" s="46" t="s">
        <v>120</v>
      </c>
      <c r="CD231" s="46" t="s">
        <v>129</v>
      </c>
      <c r="CE231" s="46" t="str">
        <f t="shared" si="21"/>
        <v>Leo - Fire</v>
      </c>
    </row>
    <row r="232" spans="79:83" x14ac:dyDescent="0.3">
      <c r="CA232" s="376">
        <v>44061</v>
      </c>
      <c r="CB232" s="46" t="str">
        <f t="shared" si="22"/>
        <v>18-Aug</v>
      </c>
      <c r="CC232" s="46" t="s">
        <v>120</v>
      </c>
      <c r="CD232" s="46" t="s">
        <v>129</v>
      </c>
      <c r="CE232" s="46" t="str">
        <f t="shared" si="21"/>
        <v>Leo - Fire</v>
      </c>
    </row>
    <row r="233" spans="79:83" x14ac:dyDescent="0.3">
      <c r="CA233" s="376">
        <v>44062</v>
      </c>
      <c r="CB233" s="46" t="str">
        <f t="shared" si="22"/>
        <v>19-Aug</v>
      </c>
      <c r="CC233" s="46" t="s">
        <v>120</v>
      </c>
      <c r="CD233" s="46" t="s">
        <v>129</v>
      </c>
      <c r="CE233" s="46" t="str">
        <f t="shared" si="21"/>
        <v>Leo - Fire</v>
      </c>
    </row>
    <row r="234" spans="79:83" x14ac:dyDescent="0.3">
      <c r="CA234" s="376">
        <v>44063</v>
      </c>
      <c r="CB234" s="46" t="str">
        <f t="shared" si="22"/>
        <v>20-Aug</v>
      </c>
      <c r="CC234" s="46" t="s">
        <v>120</v>
      </c>
      <c r="CD234" s="46" t="s">
        <v>129</v>
      </c>
      <c r="CE234" s="46" t="str">
        <f t="shared" si="21"/>
        <v>Leo - Fire</v>
      </c>
    </row>
    <row r="235" spans="79:83" x14ac:dyDescent="0.3">
      <c r="CA235" s="376">
        <v>44064</v>
      </c>
      <c r="CB235" s="46" t="str">
        <f t="shared" si="22"/>
        <v>21-Aug</v>
      </c>
      <c r="CC235" s="46" t="s">
        <v>120</v>
      </c>
      <c r="CD235" s="46" t="s">
        <v>129</v>
      </c>
      <c r="CE235" s="46" t="str">
        <f t="shared" si="21"/>
        <v>Leo - Fire</v>
      </c>
    </row>
    <row r="236" spans="79:83" x14ac:dyDescent="0.3">
      <c r="CA236" s="376">
        <v>44065</v>
      </c>
      <c r="CB236" s="46" t="str">
        <f t="shared" si="22"/>
        <v>22-Aug</v>
      </c>
      <c r="CC236" s="46" t="s">
        <v>120</v>
      </c>
      <c r="CD236" s="46" t="s">
        <v>129</v>
      </c>
      <c r="CE236" s="46" t="str">
        <f t="shared" si="21"/>
        <v>Leo - Fire</v>
      </c>
    </row>
    <row r="237" spans="79:83" x14ac:dyDescent="0.3">
      <c r="CA237" s="376">
        <v>44066</v>
      </c>
      <c r="CB237" s="46" t="str">
        <f t="shared" si="22"/>
        <v>23-Aug</v>
      </c>
      <c r="CC237" s="46" t="s">
        <v>121</v>
      </c>
      <c r="CD237" s="46" t="s">
        <v>130</v>
      </c>
      <c r="CE237" s="46" t="str">
        <f t="shared" si="21"/>
        <v>Virgo - Earth</v>
      </c>
    </row>
    <row r="238" spans="79:83" x14ac:dyDescent="0.3">
      <c r="CA238" s="376">
        <v>44067</v>
      </c>
      <c r="CB238" s="46" t="str">
        <f t="shared" si="22"/>
        <v>24-Aug</v>
      </c>
      <c r="CC238" s="46" t="s">
        <v>121</v>
      </c>
      <c r="CD238" s="46" t="s">
        <v>130</v>
      </c>
      <c r="CE238" s="46" t="str">
        <f t="shared" si="21"/>
        <v>Virgo - Earth</v>
      </c>
    </row>
    <row r="239" spans="79:83" x14ac:dyDescent="0.3">
      <c r="CA239" s="376">
        <v>44068</v>
      </c>
      <c r="CB239" s="46" t="str">
        <f t="shared" si="22"/>
        <v>25-Aug</v>
      </c>
      <c r="CC239" s="46" t="s">
        <v>121</v>
      </c>
      <c r="CD239" s="46" t="s">
        <v>130</v>
      </c>
      <c r="CE239" s="46" t="str">
        <f t="shared" si="21"/>
        <v>Virgo - Earth</v>
      </c>
    </row>
    <row r="240" spans="79:83" x14ac:dyDescent="0.3">
      <c r="CA240" s="376">
        <v>44069</v>
      </c>
      <c r="CB240" s="46" t="str">
        <f t="shared" si="22"/>
        <v>26-Aug</v>
      </c>
      <c r="CC240" s="46" t="s">
        <v>121</v>
      </c>
      <c r="CD240" s="46" t="s">
        <v>130</v>
      </c>
      <c r="CE240" s="46" t="str">
        <f t="shared" si="21"/>
        <v>Virgo - Earth</v>
      </c>
    </row>
    <row r="241" spans="79:83" x14ac:dyDescent="0.3">
      <c r="CA241" s="376">
        <v>44070</v>
      </c>
      <c r="CB241" s="46" t="str">
        <f t="shared" si="22"/>
        <v>27-Aug</v>
      </c>
      <c r="CC241" s="46" t="s">
        <v>121</v>
      </c>
      <c r="CD241" s="46" t="s">
        <v>130</v>
      </c>
      <c r="CE241" s="46" t="str">
        <f t="shared" si="21"/>
        <v>Virgo - Earth</v>
      </c>
    </row>
    <row r="242" spans="79:83" x14ac:dyDescent="0.3">
      <c r="CA242" s="376">
        <v>44071</v>
      </c>
      <c r="CB242" s="46" t="str">
        <f t="shared" si="22"/>
        <v>28-Aug</v>
      </c>
      <c r="CC242" s="46" t="s">
        <v>121</v>
      </c>
      <c r="CD242" s="46" t="s">
        <v>130</v>
      </c>
      <c r="CE242" s="46" t="str">
        <f t="shared" si="21"/>
        <v>Virgo - Earth</v>
      </c>
    </row>
    <row r="243" spans="79:83" x14ac:dyDescent="0.3">
      <c r="CA243" s="376">
        <v>44072</v>
      </c>
      <c r="CB243" s="46" t="str">
        <f t="shared" si="22"/>
        <v>29-Aug</v>
      </c>
      <c r="CC243" s="46" t="s">
        <v>121</v>
      </c>
      <c r="CD243" s="46" t="s">
        <v>130</v>
      </c>
      <c r="CE243" s="46" t="str">
        <f t="shared" si="21"/>
        <v>Virgo - Earth</v>
      </c>
    </row>
    <row r="244" spans="79:83" x14ac:dyDescent="0.3">
      <c r="CA244" s="376">
        <v>44073</v>
      </c>
      <c r="CB244" s="46" t="str">
        <f t="shared" si="22"/>
        <v>30-Aug</v>
      </c>
      <c r="CC244" s="46" t="s">
        <v>121</v>
      </c>
      <c r="CD244" s="46" t="s">
        <v>130</v>
      </c>
      <c r="CE244" s="46" t="str">
        <f t="shared" si="21"/>
        <v>Virgo - Earth</v>
      </c>
    </row>
    <row r="245" spans="79:83" x14ac:dyDescent="0.3">
      <c r="CA245" s="376">
        <v>44074</v>
      </c>
      <c r="CB245" s="46" t="str">
        <f t="shared" si="22"/>
        <v>31-Aug</v>
      </c>
      <c r="CC245" s="46" t="s">
        <v>121</v>
      </c>
      <c r="CD245" s="46" t="s">
        <v>130</v>
      </c>
      <c r="CE245" s="46" t="str">
        <f t="shared" si="21"/>
        <v>Virgo - Earth</v>
      </c>
    </row>
    <row r="246" spans="79:83" x14ac:dyDescent="0.3">
      <c r="CA246" s="376">
        <v>44075</v>
      </c>
      <c r="CB246" s="46" t="str">
        <f t="shared" si="22"/>
        <v>01-Sep</v>
      </c>
      <c r="CC246" s="46" t="s">
        <v>121</v>
      </c>
      <c r="CD246" s="46" t="s">
        <v>130</v>
      </c>
      <c r="CE246" s="46" t="str">
        <f t="shared" si="21"/>
        <v>Virgo - Earth</v>
      </c>
    </row>
    <row r="247" spans="79:83" x14ac:dyDescent="0.3">
      <c r="CA247" s="376">
        <v>44076</v>
      </c>
      <c r="CB247" s="46" t="str">
        <f t="shared" si="22"/>
        <v>02-Sep</v>
      </c>
      <c r="CC247" s="46" t="s">
        <v>121</v>
      </c>
      <c r="CD247" s="46" t="s">
        <v>130</v>
      </c>
      <c r="CE247" s="46" t="str">
        <f t="shared" si="21"/>
        <v>Virgo - Earth</v>
      </c>
    </row>
    <row r="248" spans="79:83" x14ac:dyDescent="0.3">
      <c r="CA248" s="376">
        <v>44077</v>
      </c>
      <c r="CB248" s="46" t="str">
        <f t="shared" si="22"/>
        <v>03-Sep</v>
      </c>
      <c r="CC248" s="46" t="s">
        <v>121</v>
      </c>
      <c r="CD248" s="46" t="s">
        <v>130</v>
      </c>
      <c r="CE248" s="46" t="str">
        <f t="shared" si="21"/>
        <v>Virgo - Earth</v>
      </c>
    </row>
    <row r="249" spans="79:83" x14ac:dyDescent="0.3">
      <c r="CA249" s="376">
        <v>44078</v>
      </c>
      <c r="CB249" s="46" t="str">
        <f t="shared" si="22"/>
        <v>04-Sep</v>
      </c>
      <c r="CC249" s="46" t="s">
        <v>121</v>
      </c>
      <c r="CD249" s="46" t="s">
        <v>130</v>
      </c>
      <c r="CE249" s="46" t="str">
        <f t="shared" si="21"/>
        <v>Virgo - Earth</v>
      </c>
    </row>
    <row r="250" spans="79:83" x14ac:dyDescent="0.3">
      <c r="CA250" s="376">
        <v>44079</v>
      </c>
      <c r="CB250" s="46" t="str">
        <f t="shared" si="22"/>
        <v>05-Sep</v>
      </c>
      <c r="CC250" s="46" t="s">
        <v>121</v>
      </c>
      <c r="CD250" s="46" t="s">
        <v>130</v>
      </c>
      <c r="CE250" s="46" t="str">
        <f t="shared" si="21"/>
        <v>Virgo - Earth</v>
      </c>
    </row>
    <row r="251" spans="79:83" x14ac:dyDescent="0.3">
      <c r="CA251" s="376">
        <v>44080</v>
      </c>
      <c r="CB251" s="46" t="str">
        <f t="shared" si="22"/>
        <v>06-Sep</v>
      </c>
      <c r="CC251" s="46" t="s">
        <v>121</v>
      </c>
      <c r="CD251" s="46" t="s">
        <v>130</v>
      </c>
      <c r="CE251" s="46" t="str">
        <f t="shared" si="21"/>
        <v>Virgo - Earth</v>
      </c>
    </row>
    <row r="252" spans="79:83" x14ac:dyDescent="0.3">
      <c r="CA252" s="376">
        <v>44081</v>
      </c>
      <c r="CB252" s="46" t="str">
        <f t="shared" si="22"/>
        <v>07-Sep</v>
      </c>
      <c r="CC252" s="46" t="s">
        <v>121</v>
      </c>
      <c r="CD252" s="46" t="s">
        <v>130</v>
      </c>
      <c r="CE252" s="46" t="str">
        <f t="shared" si="21"/>
        <v>Virgo - Earth</v>
      </c>
    </row>
    <row r="253" spans="79:83" x14ac:dyDescent="0.3">
      <c r="CA253" s="376">
        <v>44082</v>
      </c>
      <c r="CB253" s="46" t="str">
        <f t="shared" si="22"/>
        <v>08-Sep</v>
      </c>
      <c r="CC253" s="46" t="s">
        <v>121</v>
      </c>
      <c r="CD253" s="46" t="s">
        <v>130</v>
      </c>
      <c r="CE253" s="46" t="str">
        <f t="shared" si="21"/>
        <v>Virgo - Earth</v>
      </c>
    </row>
    <row r="254" spans="79:83" x14ac:dyDescent="0.3">
      <c r="CA254" s="376">
        <v>44083</v>
      </c>
      <c r="CB254" s="46" t="str">
        <f t="shared" si="22"/>
        <v>09-Sep</v>
      </c>
      <c r="CC254" s="46" t="s">
        <v>121</v>
      </c>
      <c r="CD254" s="46" t="s">
        <v>130</v>
      </c>
      <c r="CE254" s="46" t="str">
        <f t="shared" si="21"/>
        <v>Virgo - Earth</v>
      </c>
    </row>
    <row r="255" spans="79:83" x14ac:dyDescent="0.3">
      <c r="CA255" s="376">
        <v>44084</v>
      </c>
      <c r="CB255" s="46" t="str">
        <f t="shared" si="22"/>
        <v>10-Sep</v>
      </c>
      <c r="CC255" s="46" t="s">
        <v>121</v>
      </c>
      <c r="CD255" s="46" t="s">
        <v>130</v>
      </c>
      <c r="CE255" s="46" t="str">
        <f t="shared" si="21"/>
        <v>Virgo - Earth</v>
      </c>
    </row>
    <row r="256" spans="79:83" x14ac:dyDescent="0.3">
      <c r="CA256" s="376">
        <v>44085</v>
      </c>
      <c r="CB256" s="46" t="str">
        <f t="shared" si="22"/>
        <v>11-Sep</v>
      </c>
      <c r="CC256" s="46" t="s">
        <v>121</v>
      </c>
      <c r="CD256" s="46" t="s">
        <v>130</v>
      </c>
      <c r="CE256" s="46" t="str">
        <f t="shared" si="21"/>
        <v>Virgo - Earth</v>
      </c>
    </row>
    <row r="257" spans="79:83" x14ac:dyDescent="0.3">
      <c r="CA257" s="376">
        <v>44086</v>
      </c>
      <c r="CB257" s="46" t="str">
        <f t="shared" si="22"/>
        <v>12-Sep</v>
      </c>
      <c r="CC257" s="46" t="s">
        <v>121</v>
      </c>
      <c r="CD257" s="46" t="s">
        <v>130</v>
      </c>
      <c r="CE257" s="46" t="str">
        <f t="shared" ref="CE257:CE320" si="23">CC257&amp;" - "&amp;CD257</f>
        <v>Virgo - Earth</v>
      </c>
    </row>
    <row r="258" spans="79:83" x14ac:dyDescent="0.3">
      <c r="CA258" s="376">
        <v>44087</v>
      </c>
      <c r="CB258" s="46" t="str">
        <f t="shared" si="22"/>
        <v>13-Sep</v>
      </c>
      <c r="CC258" s="46" t="s">
        <v>121</v>
      </c>
      <c r="CD258" s="46" t="s">
        <v>130</v>
      </c>
      <c r="CE258" s="46" t="str">
        <f t="shared" si="23"/>
        <v>Virgo - Earth</v>
      </c>
    </row>
    <row r="259" spans="79:83" x14ac:dyDescent="0.3">
      <c r="CA259" s="376">
        <v>44088</v>
      </c>
      <c r="CB259" s="46" t="str">
        <f t="shared" ref="CB259:CB322" si="24">TEXT(CA259,"DD-MMM")</f>
        <v>14-Sep</v>
      </c>
      <c r="CC259" s="46" t="s">
        <v>121</v>
      </c>
      <c r="CD259" s="46" t="s">
        <v>130</v>
      </c>
      <c r="CE259" s="46" t="str">
        <f t="shared" si="23"/>
        <v>Virgo - Earth</v>
      </c>
    </row>
    <row r="260" spans="79:83" x14ac:dyDescent="0.3">
      <c r="CA260" s="376">
        <v>44089</v>
      </c>
      <c r="CB260" s="46" t="str">
        <f t="shared" si="24"/>
        <v>15-Sep</v>
      </c>
      <c r="CC260" s="46" t="s">
        <v>121</v>
      </c>
      <c r="CD260" s="46" t="s">
        <v>130</v>
      </c>
      <c r="CE260" s="46" t="str">
        <f t="shared" si="23"/>
        <v>Virgo - Earth</v>
      </c>
    </row>
    <row r="261" spans="79:83" x14ac:dyDescent="0.3">
      <c r="CA261" s="376">
        <v>44090</v>
      </c>
      <c r="CB261" s="46" t="str">
        <f t="shared" si="24"/>
        <v>16-Sep</v>
      </c>
      <c r="CC261" s="46" t="s">
        <v>121</v>
      </c>
      <c r="CD261" s="46" t="s">
        <v>130</v>
      </c>
      <c r="CE261" s="46" t="str">
        <f t="shared" si="23"/>
        <v>Virgo - Earth</v>
      </c>
    </row>
    <row r="262" spans="79:83" x14ac:dyDescent="0.3">
      <c r="CA262" s="376">
        <v>44091</v>
      </c>
      <c r="CB262" s="46" t="str">
        <f t="shared" si="24"/>
        <v>17-Sep</v>
      </c>
      <c r="CC262" s="46" t="s">
        <v>121</v>
      </c>
      <c r="CD262" s="46" t="s">
        <v>130</v>
      </c>
      <c r="CE262" s="46" t="str">
        <f t="shared" si="23"/>
        <v>Virgo - Earth</v>
      </c>
    </row>
    <row r="263" spans="79:83" x14ac:dyDescent="0.3">
      <c r="CA263" s="376">
        <v>44092</v>
      </c>
      <c r="CB263" s="46" t="str">
        <f t="shared" si="24"/>
        <v>18-Sep</v>
      </c>
      <c r="CC263" s="46" t="s">
        <v>121</v>
      </c>
      <c r="CD263" s="46" t="s">
        <v>130</v>
      </c>
      <c r="CE263" s="46" t="str">
        <f t="shared" si="23"/>
        <v>Virgo - Earth</v>
      </c>
    </row>
    <row r="264" spans="79:83" x14ac:dyDescent="0.3">
      <c r="CA264" s="376">
        <v>44093</v>
      </c>
      <c r="CB264" s="46" t="str">
        <f t="shared" si="24"/>
        <v>19-Sep</v>
      </c>
      <c r="CC264" s="46" t="s">
        <v>121</v>
      </c>
      <c r="CD264" s="46" t="s">
        <v>130</v>
      </c>
      <c r="CE264" s="46" t="str">
        <f t="shared" si="23"/>
        <v>Virgo - Earth</v>
      </c>
    </row>
    <row r="265" spans="79:83" x14ac:dyDescent="0.3">
      <c r="CA265" s="376">
        <v>44094</v>
      </c>
      <c r="CB265" s="46" t="str">
        <f t="shared" si="24"/>
        <v>20-Sep</v>
      </c>
      <c r="CC265" s="46" t="s">
        <v>121</v>
      </c>
      <c r="CD265" s="46" t="s">
        <v>130</v>
      </c>
      <c r="CE265" s="46" t="str">
        <f t="shared" si="23"/>
        <v>Virgo - Earth</v>
      </c>
    </row>
    <row r="266" spans="79:83" x14ac:dyDescent="0.3">
      <c r="CA266" s="376">
        <v>44095</v>
      </c>
      <c r="CB266" s="46" t="str">
        <f t="shared" si="24"/>
        <v>21-Sep</v>
      </c>
      <c r="CC266" s="46" t="s">
        <v>121</v>
      </c>
      <c r="CD266" s="46" t="s">
        <v>130</v>
      </c>
      <c r="CE266" s="46" t="str">
        <f t="shared" si="23"/>
        <v>Virgo - Earth</v>
      </c>
    </row>
    <row r="267" spans="79:83" x14ac:dyDescent="0.3">
      <c r="CA267" s="376">
        <v>44096</v>
      </c>
      <c r="CB267" s="46" t="str">
        <f t="shared" si="24"/>
        <v>22-Sep</v>
      </c>
      <c r="CC267" s="46" t="s">
        <v>121</v>
      </c>
      <c r="CD267" s="46" t="s">
        <v>130</v>
      </c>
      <c r="CE267" s="46" t="str">
        <f t="shared" si="23"/>
        <v>Virgo - Earth</v>
      </c>
    </row>
    <row r="268" spans="79:83" x14ac:dyDescent="0.3">
      <c r="CA268" s="376">
        <v>44097</v>
      </c>
      <c r="CB268" s="46" t="str">
        <f t="shared" si="24"/>
        <v>23-Sep</v>
      </c>
      <c r="CC268" s="46" t="s">
        <v>122</v>
      </c>
      <c r="CD268" s="46" t="s">
        <v>132</v>
      </c>
      <c r="CE268" s="46" t="str">
        <f t="shared" si="23"/>
        <v>Libra - Air</v>
      </c>
    </row>
    <row r="269" spans="79:83" x14ac:dyDescent="0.3">
      <c r="CA269" s="376">
        <v>44098</v>
      </c>
      <c r="CB269" s="46" t="str">
        <f t="shared" si="24"/>
        <v>24-Sep</v>
      </c>
      <c r="CC269" s="46" t="s">
        <v>122</v>
      </c>
      <c r="CD269" s="46" t="s">
        <v>132</v>
      </c>
      <c r="CE269" s="46" t="str">
        <f t="shared" si="23"/>
        <v>Libra - Air</v>
      </c>
    </row>
    <row r="270" spans="79:83" x14ac:dyDescent="0.3">
      <c r="CA270" s="376">
        <v>44099</v>
      </c>
      <c r="CB270" s="46" t="str">
        <f t="shared" si="24"/>
        <v>25-Sep</v>
      </c>
      <c r="CC270" s="46" t="s">
        <v>122</v>
      </c>
      <c r="CD270" s="46" t="s">
        <v>132</v>
      </c>
      <c r="CE270" s="46" t="str">
        <f t="shared" si="23"/>
        <v>Libra - Air</v>
      </c>
    </row>
    <row r="271" spans="79:83" x14ac:dyDescent="0.3">
      <c r="CA271" s="376">
        <v>44100</v>
      </c>
      <c r="CB271" s="46" t="str">
        <f t="shared" si="24"/>
        <v>26-Sep</v>
      </c>
      <c r="CC271" s="46" t="s">
        <v>122</v>
      </c>
      <c r="CD271" s="46" t="s">
        <v>132</v>
      </c>
      <c r="CE271" s="46" t="str">
        <f t="shared" si="23"/>
        <v>Libra - Air</v>
      </c>
    </row>
    <row r="272" spans="79:83" x14ac:dyDescent="0.3">
      <c r="CA272" s="376">
        <v>44101</v>
      </c>
      <c r="CB272" s="46" t="str">
        <f t="shared" si="24"/>
        <v>27-Sep</v>
      </c>
      <c r="CC272" s="46" t="s">
        <v>122</v>
      </c>
      <c r="CD272" s="46" t="s">
        <v>132</v>
      </c>
      <c r="CE272" s="46" t="str">
        <f t="shared" si="23"/>
        <v>Libra - Air</v>
      </c>
    </row>
    <row r="273" spans="79:83" x14ac:dyDescent="0.3">
      <c r="CA273" s="376">
        <v>44102</v>
      </c>
      <c r="CB273" s="46" t="str">
        <f t="shared" si="24"/>
        <v>28-Sep</v>
      </c>
      <c r="CC273" s="46" t="s">
        <v>122</v>
      </c>
      <c r="CD273" s="46" t="s">
        <v>132</v>
      </c>
      <c r="CE273" s="46" t="str">
        <f t="shared" si="23"/>
        <v>Libra - Air</v>
      </c>
    </row>
    <row r="274" spans="79:83" x14ac:dyDescent="0.3">
      <c r="CA274" s="376">
        <v>44103</v>
      </c>
      <c r="CB274" s="46" t="str">
        <f t="shared" si="24"/>
        <v>29-Sep</v>
      </c>
      <c r="CC274" s="46" t="s">
        <v>122</v>
      </c>
      <c r="CD274" s="46" t="s">
        <v>132</v>
      </c>
      <c r="CE274" s="46" t="str">
        <f t="shared" si="23"/>
        <v>Libra - Air</v>
      </c>
    </row>
    <row r="275" spans="79:83" x14ac:dyDescent="0.3">
      <c r="CA275" s="376">
        <v>44104</v>
      </c>
      <c r="CB275" s="46" t="str">
        <f t="shared" si="24"/>
        <v>30-Sep</v>
      </c>
      <c r="CC275" s="46" t="s">
        <v>122</v>
      </c>
      <c r="CD275" s="46" t="s">
        <v>132</v>
      </c>
      <c r="CE275" s="46" t="str">
        <f t="shared" si="23"/>
        <v>Libra - Air</v>
      </c>
    </row>
    <row r="276" spans="79:83" x14ac:dyDescent="0.3">
      <c r="CA276" s="376">
        <v>44105</v>
      </c>
      <c r="CB276" s="46" t="str">
        <f t="shared" si="24"/>
        <v>01-Oct</v>
      </c>
      <c r="CC276" s="46" t="s">
        <v>122</v>
      </c>
      <c r="CD276" s="46" t="s">
        <v>132</v>
      </c>
      <c r="CE276" s="46" t="str">
        <f t="shared" si="23"/>
        <v>Libra - Air</v>
      </c>
    </row>
    <row r="277" spans="79:83" x14ac:dyDescent="0.3">
      <c r="CA277" s="376">
        <v>44106</v>
      </c>
      <c r="CB277" s="46" t="str">
        <f t="shared" si="24"/>
        <v>02-Oct</v>
      </c>
      <c r="CC277" s="46" t="s">
        <v>122</v>
      </c>
      <c r="CD277" s="46" t="s">
        <v>132</v>
      </c>
      <c r="CE277" s="46" t="str">
        <f t="shared" si="23"/>
        <v>Libra - Air</v>
      </c>
    </row>
    <row r="278" spans="79:83" x14ac:dyDescent="0.3">
      <c r="CA278" s="376">
        <v>44107</v>
      </c>
      <c r="CB278" s="46" t="str">
        <f t="shared" si="24"/>
        <v>03-Oct</v>
      </c>
      <c r="CC278" s="46" t="s">
        <v>122</v>
      </c>
      <c r="CD278" s="46" t="s">
        <v>132</v>
      </c>
      <c r="CE278" s="46" t="str">
        <f t="shared" si="23"/>
        <v>Libra - Air</v>
      </c>
    </row>
    <row r="279" spans="79:83" x14ac:dyDescent="0.3">
      <c r="CA279" s="376">
        <v>44108</v>
      </c>
      <c r="CB279" s="46" t="str">
        <f t="shared" si="24"/>
        <v>04-Oct</v>
      </c>
      <c r="CC279" s="46" t="s">
        <v>122</v>
      </c>
      <c r="CD279" s="46" t="s">
        <v>132</v>
      </c>
      <c r="CE279" s="46" t="str">
        <f t="shared" si="23"/>
        <v>Libra - Air</v>
      </c>
    </row>
    <row r="280" spans="79:83" x14ac:dyDescent="0.3">
      <c r="CA280" s="376">
        <v>44109</v>
      </c>
      <c r="CB280" s="46" t="str">
        <f t="shared" si="24"/>
        <v>05-Oct</v>
      </c>
      <c r="CC280" s="46" t="s">
        <v>122</v>
      </c>
      <c r="CD280" s="46" t="s">
        <v>132</v>
      </c>
      <c r="CE280" s="46" t="str">
        <f t="shared" si="23"/>
        <v>Libra - Air</v>
      </c>
    </row>
    <row r="281" spans="79:83" x14ac:dyDescent="0.3">
      <c r="CA281" s="376">
        <v>44110</v>
      </c>
      <c r="CB281" s="46" t="str">
        <f t="shared" si="24"/>
        <v>06-Oct</v>
      </c>
      <c r="CC281" s="46" t="s">
        <v>122</v>
      </c>
      <c r="CD281" s="46" t="s">
        <v>132</v>
      </c>
      <c r="CE281" s="46" t="str">
        <f t="shared" si="23"/>
        <v>Libra - Air</v>
      </c>
    </row>
    <row r="282" spans="79:83" x14ac:dyDescent="0.3">
      <c r="CA282" s="376">
        <v>44111</v>
      </c>
      <c r="CB282" s="46" t="str">
        <f t="shared" si="24"/>
        <v>07-Oct</v>
      </c>
      <c r="CC282" s="46" t="s">
        <v>122</v>
      </c>
      <c r="CD282" s="46" t="s">
        <v>132</v>
      </c>
      <c r="CE282" s="46" t="str">
        <f t="shared" si="23"/>
        <v>Libra - Air</v>
      </c>
    </row>
    <row r="283" spans="79:83" x14ac:dyDescent="0.3">
      <c r="CA283" s="376">
        <v>44112</v>
      </c>
      <c r="CB283" s="46" t="str">
        <f t="shared" si="24"/>
        <v>08-Oct</v>
      </c>
      <c r="CC283" s="46" t="s">
        <v>122</v>
      </c>
      <c r="CD283" s="46" t="s">
        <v>132</v>
      </c>
      <c r="CE283" s="46" t="str">
        <f t="shared" si="23"/>
        <v>Libra - Air</v>
      </c>
    </row>
    <row r="284" spans="79:83" x14ac:dyDescent="0.3">
      <c r="CA284" s="376">
        <v>44113</v>
      </c>
      <c r="CB284" s="46" t="str">
        <f t="shared" si="24"/>
        <v>09-Oct</v>
      </c>
      <c r="CC284" s="46" t="s">
        <v>122</v>
      </c>
      <c r="CD284" s="46" t="s">
        <v>132</v>
      </c>
      <c r="CE284" s="46" t="str">
        <f t="shared" si="23"/>
        <v>Libra - Air</v>
      </c>
    </row>
    <row r="285" spans="79:83" x14ac:dyDescent="0.3">
      <c r="CA285" s="376">
        <v>44114</v>
      </c>
      <c r="CB285" s="46" t="str">
        <f t="shared" si="24"/>
        <v>10-Oct</v>
      </c>
      <c r="CC285" s="46" t="s">
        <v>122</v>
      </c>
      <c r="CD285" s="46" t="s">
        <v>132</v>
      </c>
      <c r="CE285" s="46" t="str">
        <f t="shared" si="23"/>
        <v>Libra - Air</v>
      </c>
    </row>
    <row r="286" spans="79:83" x14ac:dyDescent="0.3">
      <c r="CA286" s="376">
        <v>44115</v>
      </c>
      <c r="CB286" s="46" t="str">
        <f t="shared" si="24"/>
        <v>11-Oct</v>
      </c>
      <c r="CC286" s="46" t="s">
        <v>122</v>
      </c>
      <c r="CD286" s="46" t="s">
        <v>132</v>
      </c>
      <c r="CE286" s="46" t="str">
        <f t="shared" si="23"/>
        <v>Libra - Air</v>
      </c>
    </row>
    <row r="287" spans="79:83" x14ac:dyDescent="0.3">
      <c r="CA287" s="376">
        <v>44116</v>
      </c>
      <c r="CB287" s="46" t="str">
        <f t="shared" si="24"/>
        <v>12-Oct</v>
      </c>
      <c r="CC287" s="46" t="s">
        <v>122</v>
      </c>
      <c r="CD287" s="46" t="s">
        <v>132</v>
      </c>
      <c r="CE287" s="46" t="str">
        <f t="shared" si="23"/>
        <v>Libra - Air</v>
      </c>
    </row>
    <row r="288" spans="79:83" x14ac:dyDescent="0.3">
      <c r="CA288" s="376">
        <v>44117</v>
      </c>
      <c r="CB288" s="46" t="str">
        <f t="shared" si="24"/>
        <v>13-Oct</v>
      </c>
      <c r="CC288" s="46" t="s">
        <v>122</v>
      </c>
      <c r="CD288" s="46" t="s">
        <v>132</v>
      </c>
      <c r="CE288" s="46" t="str">
        <f t="shared" si="23"/>
        <v>Libra - Air</v>
      </c>
    </row>
    <row r="289" spans="79:83" x14ac:dyDescent="0.3">
      <c r="CA289" s="376">
        <v>44118</v>
      </c>
      <c r="CB289" s="46" t="str">
        <f t="shared" si="24"/>
        <v>14-Oct</v>
      </c>
      <c r="CC289" s="46" t="s">
        <v>122</v>
      </c>
      <c r="CD289" s="46" t="s">
        <v>132</v>
      </c>
      <c r="CE289" s="46" t="str">
        <f t="shared" si="23"/>
        <v>Libra - Air</v>
      </c>
    </row>
    <row r="290" spans="79:83" x14ac:dyDescent="0.3">
      <c r="CA290" s="376">
        <v>44119</v>
      </c>
      <c r="CB290" s="46" t="str">
        <f t="shared" si="24"/>
        <v>15-Oct</v>
      </c>
      <c r="CC290" s="46" t="s">
        <v>122</v>
      </c>
      <c r="CD290" s="46" t="s">
        <v>132</v>
      </c>
      <c r="CE290" s="46" t="str">
        <f t="shared" si="23"/>
        <v>Libra - Air</v>
      </c>
    </row>
    <row r="291" spans="79:83" x14ac:dyDescent="0.3">
      <c r="CA291" s="376">
        <v>44120</v>
      </c>
      <c r="CB291" s="46" t="str">
        <f t="shared" si="24"/>
        <v>16-Oct</v>
      </c>
      <c r="CC291" s="46" t="s">
        <v>122</v>
      </c>
      <c r="CD291" s="46" t="s">
        <v>132</v>
      </c>
      <c r="CE291" s="46" t="str">
        <f t="shared" si="23"/>
        <v>Libra - Air</v>
      </c>
    </row>
    <row r="292" spans="79:83" x14ac:dyDescent="0.3">
      <c r="CA292" s="376">
        <v>44121</v>
      </c>
      <c r="CB292" s="46" t="str">
        <f t="shared" si="24"/>
        <v>17-Oct</v>
      </c>
      <c r="CC292" s="46" t="s">
        <v>122</v>
      </c>
      <c r="CD292" s="46" t="s">
        <v>132</v>
      </c>
      <c r="CE292" s="46" t="str">
        <f t="shared" si="23"/>
        <v>Libra - Air</v>
      </c>
    </row>
    <row r="293" spans="79:83" x14ac:dyDescent="0.3">
      <c r="CA293" s="376">
        <v>44122</v>
      </c>
      <c r="CB293" s="46" t="str">
        <f t="shared" si="24"/>
        <v>18-Oct</v>
      </c>
      <c r="CC293" s="46" t="s">
        <v>122</v>
      </c>
      <c r="CD293" s="46" t="s">
        <v>132</v>
      </c>
      <c r="CE293" s="46" t="str">
        <f t="shared" si="23"/>
        <v>Libra - Air</v>
      </c>
    </row>
    <row r="294" spans="79:83" x14ac:dyDescent="0.3">
      <c r="CA294" s="376">
        <v>44123</v>
      </c>
      <c r="CB294" s="46" t="str">
        <f t="shared" si="24"/>
        <v>19-Oct</v>
      </c>
      <c r="CC294" s="46" t="s">
        <v>122</v>
      </c>
      <c r="CD294" s="46" t="s">
        <v>132</v>
      </c>
      <c r="CE294" s="46" t="str">
        <f t="shared" si="23"/>
        <v>Libra - Air</v>
      </c>
    </row>
    <row r="295" spans="79:83" x14ac:dyDescent="0.3">
      <c r="CA295" s="376">
        <v>44124</v>
      </c>
      <c r="CB295" s="46" t="str">
        <f t="shared" si="24"/>
        <v>20-Oct</v>
      </c>
      <c r="CC295" s="46" t="s">
        <v>122</v>
      </c>
      <c r="CD295" s="46" t="s">
        <v>132</v>
      </c>
      <c r="CE295" s="46" t="str">
        <f t="shared" si="23"/>
        <v>Libra - Air</v>
      </c>
    </row>
    <row r="296" spans="79:83" x14ac:dyDescent="0.3">
      <c r="CA296" s="376">
        <v>44125</v>
      </c>
      <c r="CB296" s="46" t="str">
        <f t="shared" si="24"/>
        <v>21-Oct</v>
      </c>
      <c r="CC296" s="46" t="s">
        <v>122</v>
      </c>
      <c r="CD296" s="46" t="s">
        <v>132</v>
      </c>
      <c r="CE296" s="46" t="str">
        <f t="shared" si="23"/>
        <v>Libra - Air</v>
      </c>
    </row>
    <row r="297" spans="79:83" x14ac:dyDescent="0.3">
      <c r="CA297" s="376">
        <v>44126</v>
      </c>
      <c r="CB297" s="46" t="str">
        <f t="shared" si="24"/>
        <v>22-Oct</v>
      </c>
      <c r="CC297" s="46" t="s">
        <v>122</v>
      </c>
      <c r="CD297" s="46" t="s">
        <v>132</v>
      </c>
      <c r="CE297" s="46" t="str">
        <f t="shared" si="23"/>
        <v>Libra - Air</v>
      </c>
    </row>
    <row r="298" spans="79:83" x14ac:dyDescent="0.3">
      <c r="CA298" s="376">
        <v>44127</v>
      </c>
      <c r="CB298" s="46" t="str">
        <f t="shared" si="24"/>
        <v>23-Oct</v>
      </c>
      <c r="CC298" s="46" t="s">
        <v>123</v>
      </c>
      <c r="CD298" s="46" t="s">
        <v>131</v>
      </c>
      <c r="CE298" s="46" t="str">
        <f t="shared" si="23"/>
        <v>Scorpio - Water</v>
      </c>
    </row>
    <row r="299" spans="79:83" x14ac:dyDescent="0.3">
      <c r="CA299" s="376">
        <v>44128</v>
      </c>
      <c r="CB299" s="46" t="str">
        <f t="shared" si="24"/>
        <v>24-Oct</v>
      </c>
      <c r="CC299" s="46" t="s">
        <v>123</v>
      </c>
      <c r="CD299" s="46" t="s">
        <v>131</v>
      </c>
      <c r="CE299" s="46" t="str">
        <f t="shared" si="23"/>
        <v>Scorpio - Water</v>
      </c>
    </row>
    <row r="300" spans="79:83" x14ac:dyDescent="0.3">
      <c r="CA300" s="376">
        <v>44129</v>
      </c>
      <c r="CB300" s="46" t="str">
        <f t="shared" si="24"/>
        <v>25-Oct</v>
      </c>
      <c r="CC300" s="46" t="s">
        <v>123</v>
      </c>
      <c r="CD300" s="46" t="s">
        <v>131</v>
      </c>
      <c r="CE300" s="46" t="str">
        <f t="shared" si="23"/>
        <v>Scorpio - Water</v>
      </c>
    </row>
    <row r="301" spans="79:83" x14ac:dyDescent="0.3">
      <c r="CA301" s="376">
        <v>44130</v>
      </c>
      <c r="CB301" s="46" t="str">
        <f t="shared" si="24"/>
        <v>26-Oct</v>
      </c>
      <c r="CC301" s="46" t="s">
        <v>123</v>
      </c>
      <c r="CD301" s="46" t="s">
        <v>131</v>
      </c>
      <c r="CE301" s="46" t="str">
        <f t="shared" si="23"/>
        <v>Scorpio - Water</v>
      </c>
    </row>
    <row r="302" spans="79:83" x14ac:dyDescent="0.3">
      <c r="CA302" s="376">
        <v>44131</v>
      </c>
      <c r="CB302" s="46" t="str">
        <f t="shared" si="24"/>
        <v>27-Oct</v>
      </c>
      <c r="CC302" s="46" t="s">
        <v>123</v>
      </c>
      <c r="CD302" s="46" t="s">
        <v>131</v>
      </c>
      <c r="CE302" s="46" t="str">
        <f t="shared" si="23"/>
        <v>Scorpio - Water</v>
      </c>
    </row>
    <row r="303" spans="79:83" x14ac:dyDescent="0.3">
      <c r="CA303" s="376">
        <v>44132</v>
      </c>
      <c r="CB303" s="46" t="str">
        <f t="shared" si="24"/>
        <v>28-Oct</v>
      </c>
      <c r="CC303" s="46" t="s">
        <v>123</v>
      </c>
      <c r="CD303" s="46" t="s">
        <v>131</v>
      </c>
      <c r="CE303" s="46" t="str">
        <f t="shared" si="23"/>
        <v>Scorpio - Water</v>
      </c>
    </row>
    <row r="304" spans="79:83" x14ac:dyDescent="0.3">
      <c r="CA304" s="376">
        <v>44133</v>
      </c>
      <c r="CB304" s="46" t="str">
        <f t="shared" si="24"/>
        <v>29-Oct</v>
      </c>
      <c r="CC304" s="46" t="s">
        <v>123</v>
      </c>
      <c r="CD304" s="46" t="s">
        <v>131</v>
      </c>
      <c r="CE304" s="46" t="str">
        <f t="shared" si="23"/>
        <v>Scorpio - Water</v>
      </c>
    </row>
    <row r="305" spans="79:83" x14ac:dyDescent="0.3">
      <c r="CA305" s="376">
        <v>44134</v>
      </c>
      <c r="CB305" s="46" t="str">
        <f t="shared" si="24"/>
        <v>30-Oct</v>
      </c>
      <c r="CC305" s="46" t="s">
        <v>123</v>
      </c>
      <c r="CD305" s="46" t="s">
        <v>131</v>
      </c>
      <c r="CE305" s="46" t="str">
        <f t="shared" si="23"/>
        <v>Scorpio - Water</v>
      </c>
    </row>
    <row r="306" spans="79:83" x14ac:dyDescent="0.3">
      <c r="CA306" s="376">
        <v>44135</v>
      </c>
      <c r="CB306" s="46" t="str">
        <f t="shared" si="24"/>
        <v>31-Oct</v>
      </c>
      <c r="CC306" s="46" t="s">
        <v>123</v>
      </c>
      <c r="CD306" s="46" t="s">
        <v>131</v>
      </c>
      <c r="CE306" s="46" t="str">
        <f t="shared" si="23"/>
        <v>Scorpio - Water</v>
      </c>
    </row>
    <row r="307" spans="79:83" x14ac:dyDescent="0.3">
      <c r="CA307" s="376">
        <v>44136</v>
      </c>
      <c r="CB307" s="46" t="str">
        <f t="shared" si="24"/>
        <v>01-Nov</v>
      </c>
      <c r="CC307" s="46" t="s">
        <v>123</v>
      </c>
      <c r="CD307" s="46" t="s">
        <v>131</v>
      </c>
      <c r="CE307" s="46" t="str">
        <f t="shared" si="23"/>
        <v>Scorpio - Water</v>
      </c>
    </row>
    <row r="308" spans="79:83" x14ac:dyDescent="0.3">
      <c r="CA308" s="376">
        <v>44137</v>
      </c>
      <c r="CB308" s="46" t="str">
        <f t="shared" si="24"/>
        <v>02-Nov</v>
      </c>
      <c r="CC308" s="46" t="s">
        <v>123</v>
      </c>
      <c r="CD308" s="46" t="s">
        <v>131</v>
      </c>
      <c r="CE308" s="46" t="str">
        <f t="shared" si="23"/>
        <v>Scorpio - Water</v>
      </c>
    </row>
    <row r="309" spans="79:83" x14ac:dyDescent="0.3">
      <c r="CA309" s="376">
        <v>44138</v>
      </c>
      <c r="CB309" s="46" t="str">
        <f t="shared" si="24"/>
        <v>03-Nov</v>
      </c>
      <c r="CC309" s="46" t="s">
        <v>123</v>
      </c>
      <c r="CD309" s="46" t="s">
        <v>131</v>
      </c>
      <c r="CE309" s="46" t="str">
        <f t="shared" si="23"/>
        <v>Scorpio - Water</v>
      </c>
    </row>
    <row r="310" spans="79:83" x14ac:dyDescent="0.3">
      <c r="CA310" s="376">
        <v>44139</v>
      </c>
      <c r="CB310" s="46" t="str">
        <f t="shared" si="24"/>
        <v>04-Nov</v>
      </c>
      <c r="CC310" s="46" t="s">
        <v>123</v>
      </c>
      <c r="CD310" s="46" t="s">
        <v>131</v>
      </c>
      <c r="CE310" s="46" t="str">
        <f t="shared" si="23"/>
        <v>Scorpio - Water</v>
      </c>
    </row>
    <row r="311" spans="79:83" x14ac:dyDescent="0.3">
      <c r="CA311" s="376">
        <v>44140</v>
      </c>
      <c r="CB311" s="46" t="str">
        <f t="shared" si="24"/>
        <v>05-Nov</v>
      </c>
      <c r="CC311" s="46" t="s">
        <v>123</v>
      </c>
      <c r="CD311" s="46" t="s">
        <v>131</v>
      </c>
      <c r="CE311" s="46" t="str">
        <f t="shared" si="23"/>
        <v>Scorpio - Water</v>
      </c>
    </row>
    <row r="312" spans="79:83" x14ac:dyDescent="0.3">
      <c r="CA312" s="376">
        <v>44141</v>
      </c>
      <c r="CB312" s="46" t="str">
        <f t="shared" si="24"/>
        <v>06-Nov</v>
      </c>
      <c r="CC312" s="46" t="s">
        <v>123</v>
      </c>
      <c r="CD312" s="46" t="s">
        <v>131</v>
      </c>
      <c r="CE312" s="46" t="str">
        <f t="shared" si="23"/>
        <v>Scorpio - Water</v>
      </c>
    </row>
    <row r="313" spans="79:83" x14ac:dyDescent="0.3">
      <c r="CA313" s="376">
        <v>44142</v>
      </c>
      <c r="CB313" s="46" t="str">
        <f t="shared" si="24"/>
        <v>07-Nov</v>
      </c>
      <c r="CC313" s="46" t="s">
        <v>123</v>
      </c>
      <c r="CD313" s="46" t="s">
        <v>131</v>
      </c>
      <c r="CE313" s="46" t="str">
        <f t="shared" si="23"/>
        <v>Scorpio - Water</v>
      </c>
    </row>
    <row r="314" spans="79:83" x14ac:dyDescent="0.3">
      <c r="CA314" s="376">
        <v>44143</v>
      </c>
      <c r="CB314" s="46" t="str">
        <f t="shared" si="24"/>
        <v>08-Nov</v>
      </c>
      <c r="CC314" s="46" t="s">
        <v>123</v>
      </c>
      <c r="CD314" s="46" t="s">
        <v>131</v>
      </c>
      <c r="CE314" s="46" t="str">
        <f t="shared" si="23"/>
        <v>Scorpio - Water</v>
      </c>
    </row>
    <row r="315" spans="79:83" x14ac:dyDescent="0.3">
      <c r="CA315" s="376">
        <v>44144</v>
      </c>
      <c r="CB315" s="46" t="str">
        <f t="shared" si="24"/>
        <v>09-Nov</v>
      </c>
      <c r="CC315" s="46" t="s">
        <v>123</v>
      </c>
      <c r="CD315" s="46" t="s">
        <v>131</v>
      </c>
      <c r="CE315" s="46" t="str">
        <f t="shared" si="23"/>
        <v>Scorpio - Water</v>
      </c>
    </row>
    <row r="316" spans="79:83" x14ac:dyDescent="0.3">
      <c r="CA316" s="376">
        <v>44145</v>
      </c>
      <c r="CB316" s="46" t="str">
        <f t="shared" si="24"/>
        <v>10-Nov</v>
      </c>
      <c r="CC316" s="46" t="s">
        <v>123</v>
      </c>
      <c r="CD316" s="46" t="s">
        <v>131</v>
      </c>
      <c r="CE316" s="46" t="str">
        <f t="shared" si="23"/>
        <v>Scorpio - Water</v>
      </c>
    </row>
    <row r="317" spans="79:83" x14ac:dyDescent="0.3">
      <c r="CA317" s="376">
        <v>44146</v>
      </c>
      <c r="CB317" s="46" t="str">
        <f t="shared" si="24"/>
        <v>11-Nov</v>
      </c>
      <c r="CC317" s="46" t="s">
        <v>123</v>
      </c>
      <c r="CD317" s="46" t="s">
        <v>131</v>
      </c>
      <c r="CE317" s="46" t="str">
        <f t="shared" si="23"/>
        <v>Scorpio - Water</v>
      </c>
    </row>
    <row r="318" spans="79:83" x14ac:dyDescent="0.3">
      <c r="CA318" s="376">
        <v>44147</v>
      </c>
      <c r="CB318" s="46" t="str">
        <f t="shared" si="24"/>
        <v>12-Nov</v>
      </c>
      <c r="CC318" s="46" t="s">
        <v>123</v>
      </c>
      <c r="CD318" s="46" t="s">
        <v>131</v>
      </c>
      <c r="CE318" s="46" t="str">
        <f t="shared" si="23"/>
        <v>Scorpio - Water</v>
      </c>
    </row>
    <row r="319" spans="79:83" x14ac:dyDescent="0.3">
      <c r="CA319" s="376">
        <v>44148</v>
      </c>
      <c r="CB319" s="46" t="str">
        <f t="shared" si="24"/>
        <v>13-Nov</v>
      </c>
      <c r="CC319" s="46" t="s">
        <v>123</v>
      </c>
      <c r="CD319" s="46" t="s">
        <v>131</v>
      </c>
      <c r="CE319" s="46" t="str">
        <f t="shared" si="23"/>
        <v>Scorpio - Water</v>
      </c>
    </row>
    <row r="320" spans="79:83" x14ac:dyDescent="0.3">
      <c r="CA320" s="376">
        <v>44149</v>
      </c>
      <c r="CB320" s="46" t="str">
        <f t="shared" si="24"/>
        <v>14-Nov</v>
      </c>
      <c r="CC320" s="46" t="s">
        <v>123</v>
      </c>
      <c r="CD320" s="46" t="s">
        <v>131</v>
      </c>
      <c r="CE320" s="46" t="str">
        <f t="shared" si="23"/>
        <v>Scorpio - Water</v>
      </c>
    </row>
    <row r="321" spans="79:83" x14ac:dyDescent="0.3">
      <c r="CA321" s="376">
        <v>44150</v>
      </c>
      <c r="CB321" s="46" t="str">
        <f t="shared" si="24"/>
        <v>15-Nov</v>
      </c>
      <c r="CC321" s="46" t="s">
        <v>123</v>
      </c>
      <c r="CD321" s="46" t="s">
        <v>131</v>
      </c>
      <c r="CE321" s="46" t="str">
        <f t="shared" ref="CE321:CE367" si="25">CC321&amp;" - "&amp;CD321</f>
        <v>Scorpio - Water</v>
      </c>
    </row>
    <row r="322" spans="79:83" x14ac:dyDescent="0.3">
      <c r="CA322" s="376">
        <v>44151</v>
      </c>
      <c r="CB322" s="46" t="str">
        <f t="shared" si="24"/>
        <v>16-Nov</v>
      </c>
      <c r="CC322" s="46" t="s">
        <v>123</v>
      </c>
      <c r="CD322" s="46" t="s">
        <v>131</v>
      </c>
      <c r="CE322" s="46" t="str">
        <f t="shared" si="25"/>
        <v>Scorpio - Water</v>
      </c>
    </row>
    <row r="323" spans="79:83" x14ac:dyDescent="0.3">
      <c r="CA323" s="376">
        <v>44152</v>
      </c>
      <c r="CB323" s="46" t="str">
        <f t="shared" ref="CB323:CB367" si="26">TEXT(CA323,"DD-MMM")</f>
        <v>17-Nov</v>
      </c>
      <c r="CC323" s="46" t="s">
        <v>123</v>
      </c>
      <c r="CD323" s="46" t="s">
        <v>131</v>
      </c>
      <c r="CE323" s="46" t="str">
        <f t="shared" si="25"/>
        <v>Scorpio - Water</v>
      </c>
    </row>
    <row r="324" spans="79:83" x14ac:dyDescent="0.3">
      <c r="CA324" s="376">
        <v>44153</v>
      </c>
      <c r="CB324" s="46" t="str">
        <f t="shared" si="26"/>
        <v>18-Nov</v>
      </c>
      <c r="CC324" s="46" t="s">
        <v>123</v>
      </c>
      <c r="CD324" s="46" t="s">
        <v>131</v>
      </c>
      <c r="CE324" s="46" t="str">
        <f t="shared" si="25"/>
        <v>Scorpio - Water</v>
      </c>
    </row>
    <row r="325" spans="79:83" x14ac:dyDescent="0.3">
      <c r="CA325" s="376">
        <v>44154</v>
      </c>
      <c r="CB325" s="46" t="str">
        <f t="shared" si="26"/>
        <v>19-Nov</v>
      </c>
      <c r="CC325" s="46" t="s">
        <v>123</v>
      </c>
      <c r="CD325" s="46" t="s">
        <v>131</v>
      </c>
      <c r="CE325" s="46" t="str">
        <f t="shared" si="25"/>
        <v>Scorpio - Water</v>
      </c>
    </row>
    <row r="326" spans="79:83" x14ac:dyDescent="0.3">
      <c r="CA326" s="376">
        <v>44155</v>
      </c>
      <c r="CB326" s="46" t="str">
        <f t="shared" si="26"/>
        <v>20-Nov</v>
      </c>
      <c r="CC326" s="46" t="s">
        <v>123</v>
      </c>
      <c r="CD326" s="46" t="s">
        <v>131</v>
      </c>
      <c r="CE326" s="46" t="str">
        <f t="shared" si="25"/>
        <v>Scorpio - Water</v>
      </c>
    </row>
    <row r="327" spans="79:83" x14ac:dyDescent="0.3">
      <c r="CA327" s="376">
        <v>44156</v>
      </c>
      <c r="CB327" s="46" t="str">
        <f t="shared" si="26"/>
        <v>21-Nov</v>
      </c>
      <c r="CC327" s="46" t="s">
        <v>123</v>
      </c>
      <c r="CD327" s="46" t="s">
        <v>131</v>
      </c>
      <c r="CE327" s="46" t="str">
        <f t="shared" si="25"/>
        <v>Scorpio - Water</v>
      </c>
    </row>
    <row r="328" spans="79:83" x14ac:dyDescent="0.3">
      <c r="CA328" s="376">
        <v>44157</v>
      </c>
      <c r="CB328" s="46" t="str">
        <f t="shared" si="26"/>
        <v>22-Nov</v>
      </c>
      <c r="CC328" s="46" t="s">
        <v>124</v>
      </c>
      <c r="CD328" s="46" t="s">
        <v>129</v>
      </c>
      <c r="CE328" s="46" t="str">
        <f t="shared" si="25"/>
        <v>Sagittarius - Fire</v>
      </c>
    </row>
    <row r="329" spans="79:83" x14ac:dyDescent="0.3">
      <c r="CA329" s="376">
        <v>44158</v>
      </c>
      <c r="CB329" s="46" t="str">
        <f t="shared" si="26"/>
        <v>23-Nov</v>
      </c>
      <c r="CC329" s="46" t="s">
        <v>124</v>
      </c>
      <c r="CD329" s="46" t="s">
        <v>129</v>
      </c>
      <c r="CE329" s="46" t="str">
        <f t="shared" si="25"/>
        <v>Sagittarius - Fire</v>
      </c>
    </row>
    <row r="330" spans="79:83" x14ac:dyDescent="0.3">
      <c r="CA330" s="376">
        <v>44159</v>
      </c>
      <c r="CB330" s="46" t="str">
        <f t="shared" si="26"/>
        <v>24-Nov</v>
      </c>
      <c r="CC330" s="46" t="s">
        <v>124</v>
      </c>
      <c r="CD330" s="46" t="s">
        <v>129</v>
      </c>
      <c r="CE330" s="46" t="str">
        <f t="shared" si="25"/>
        <v>Sagittarius - Fire</v>
      </c>
    </row>
    <row r="331" spans="79:83" x14ac:dyDescent="0.3">
      <c r="CA331" s="376">
        <v>44160</v>
      </c>
      <c r="CB331" s="46" t="str">
        <f t="shared" si="26"/>
        <v>25-Nov</v>
      </c>
      <c r="CC331" s="46" t="s">
        <v>124</v>
      </c>
      <c r="CD331" s="46" t="s">
        <v>129</v>
      </c>
      <c r="CE331" s="46" t="str">
        <f t="shared" si="25"/>
        <v>Sagittarius - Fire</v>
      </c>
    </row>
    <row r="332" spans="79:83" x14ac:dyDescent="0.3">
      <c r="CA332" s="376">
        <v>44161</v>
      </c>
      <c r="CB332" s="46" t="str">
        <f t="shared" si="26"/>
        <v>26-Nov</v>
      </c>
      <c r="CC332" s="46" t="s">
        <v>124</v>
      </c>
      <c r="CD332" s="46" t="s">
        <v>129</v>
      </c>
      <c r="CE332" s="46" t="str">
        <f t="shared" si="25"/>
        <v>Sagittarius - Fire</v>
      </c>
    </row>
    <row r="333" spans="79:83" x14ac:dyDescent="0.3">
      <c r="CA333" s="376">
        <v>44162</v>
      </c>
      <c r="CB333" s="46" t="str">
        <f t="shared" si="26"/>
        <v>27-Nov</v>
      </c>
      <c r="CC333" s="46" t="s">
        <v>124</v>
      </c>
      <c r="CD333" s="46" t="s">
        <v>129</v>
      </c>
      <c r="CE333" s="46" t="str">
        <f t="shared" si="25"/>
        <v>Sagittarius - Fire</v>
      </c>
    </row>
    <row r="334" spans="79:83" x14ac:dyDescent="0.3">
      <c r="CA334" s="376">
        <v>44163</v>
      </c>
      <c r="CB334" s="46" t="str">
        <f t="shared" si="26"/>
        <v>28-Nov</v>
      </c>
      <c r="CC334" s="46" t="s">
        <v>124</v>
      </c>
      <c r="CD334" s="46" t="s">
        <v>129</v>
      </c>
      <c r="CE334" s="46" t="str">
        <f t="shared" si="25"/>
        <v>Sagittarius - Fire</v>
      </c>
    </row>
    <row r="335" spans="79:83" x14ac:dyDescent="0.3">
      <c r="CA335" s="376">
        <v>44164</v>
      </c>
      <c r="CB335" s="46" t="str">
        <f t="shared" si="26"/>
        <v>29-Nov</v>
      </c>
      <c r="CC335" s="46" t="s">
        <v>124</v>
      </c>
      <c r="CD335" s="46" t="s">
        <v>129</v>
      </c>
      <c r="CE335" s="46" t="str">
        <f t="shared" si="25"/>
        <v>Sagittarius - Fire</v>
      </c>
    </row>
    <row r="336" spans="79:83" x14ac:dyDescent="0.3">
      <c r="CA336" s="376">
        <v>44165</v>
      </c>
      <c r="CB336" s="46" t="str">
        <f t="shared" si="26"/>
        <v>30-Nov</v>
      </c>
      <c r="CC336" s="46" t="s">
        <v>124</v>
      </c>
      <c r="CD336" s="46" t="s">
        <v>129</v>
      </c>
      <c r="CE336" s="46" t="str">
        <f t="shared" si="25"/>
        <v>Sagittarius - Fire</v>
      </c>
    </row>
    <row r="337" spans="79:83" x14ac:dyDescent="0.3">
      <c r="CA337" s="376">
        <v>44166</v>
      </c>
      <c r="CB337" s="46" t="str">
        <f t="shared" si="26"/>
        <v>01-Dec</v>
      </c>
      <c r="CC337" s="46" t="s">
        <v>124</v>
      </c>
      <c r="CD337" s="46" t="s">
        <v>129</v>
      </c>
      <c r="CE337" s="46" t="str">
        <f t="shared" si="25"/>
        <v>Sagittarius - Fire</v>
      </c>
    </row>
    <row r="338" spans="79:83" x14ac:dyDescent="0.3">
      <c r="CA338" s="376">
        <v>44167</v>
      </c>
      <c r="CB338" s="46" t="str">
        <f t="shared" si="26"/>
        <v>02-Dec</v>
      </c>
      <c r="CC338" s="46" t="s">
        <v>124</v>
      </c>
      <c r="CD338" s="46" t="s">
        <v>129</v>
      </c>
      <c r="CE338" s="46" t="str">
        <f t="shared" si="25"/>
        <v>Sagittarius - Fire</v>
      </c>
    </row>
    <row r="339" spans="79:83" x14ac:dyDescent="0.3">
      <c r="CA339" s="376">
        <v>44168</v>
      </c>
      <c r="CB339" s="46" t="str">
        <f t="shared" si="26"/>
        <v>03-Dec</v>
      </c>
      <c r="CC339" s="46" t="s">
        <v>124</v>
      </c>
      <c r="CD339" s="46" t="s">
        <v>129</v>
      </c>
      <c r="CE339" s="46" t="str">
        <f t="shared" si="25"/>
        <v>Sagittarius - Fire</v>
      </c>
    </row>
    <row r="340" spans="79:83" x14ac:dyDescent="0.3">
      <c r="CA340" s="376">
        <v>44169</v>
      </c>
      <c r="CB340" s="46" t="str">
        <f t="shared" si="26"/>
        <v>04-Dec</v>
      </c>
      <c r="CC340" s="46" t="s">
        <v>124</v>
      </c>
      <c r="CD340" s="46" t="s">
        <v>129</v>
      </c>
      <c r="CE340" s="46" t="str">
        <f t="shared" si="25"/>
        <v>Sagittarius - Fire</v>
      </c>
    </row>
    <row r="341" spans="79:83" x14ac:dyDescent="0.3">
      <c r="CA341" s="376">
        <v>44170</v>
      </c>
      <c r="CB341" s="46" t="str">
        <f t="shared" si="26"/>
        <v>05-Dec</v>
      </c>
      <c r="CC341" s="46" t="s">
        <v>124</v>
      </c>
      <c r="CD341" s="46" t="s">
        <v>129</v>
      </c>
      <c r="CE341" s="46" t="str">
        <f t="shared" si="25"/>
        <v>Sagittarius - Fire</v>
      </c>
    </row>
    <row r="342" spans="79:83" x14ac:dyDescent="0.3">
      <c r="CA342" s="376">
        <v>44171</v>
      </c>
      <c r="CB342" s="46" t="str">
        <f t="shared" si="26"/>
        <v>06-Dec</v>
      </c>
      <c r="CC342" s="46" t="s">
        <v>124</v>
      </c>
      <c r="CD342" s="46" t="s">
        <v>129</v>
      </c>
      <c r="CE342" s="46" t="str">
        <f t="shared" si="25"/>
        <v>Sagittarius - Fire</v>
      </c>
    </row>
    <row r="343" spans="79:83" x14ac:dyDescent="0.3">
      <c r="CA343" s="376">
        <v>44172</v>
      </c>
      <c r="CB343" s="46" t="str">
        <f t="shared" si="26"/>
        <v>07-Dec</v>
      </c>
      <c r="CC343" s="46" t="s">
        <v>124</v>
      </c>
      <c r="CD343" s="46" t="s">
        <v>129</v>
      </c>
      <c r="CE343" s="46" t="str">
        <f t="shared" si="25"/>
        <v>Sagittarius - Fire</v>
      </c>
    </row>
    <row r="344" spans="79:83" x14ac:dyDescent="0.3">
      <c r="CA344" s="376">
        <v>44173</v>
      </c>
      <c r="CB344" s="46" t="str">
        <f t="shared" si="26"/>
        <v>08-Dec</v>
      </c>
      <c r="CC344" s="46" t="s">
        <v>124</v>
      </c>
      <c r="CD344" s="46" t="s">
        <v>129</v>
      </c>
      <c r="CE344" s="46" t="str">
        <f t="shared" si="25"/>
        <v>Sagittarius - Fire</v>
      </c>
    </row>
    <row r="345" spans="79:83" x14ac:dyDescent="0.3">
      <c r="CA345" s="376">
        <v>44174</v>
      </c>
      <c r="CB345" s="46" t="str">
        <f t="shared" si="26"/>
        <v>09-Dec</v>
      </c>
      <c r="CC345" s="46" t="s">
        <v>124</v>
      </c>
      <c r="CD345" s="46" t="s">
        <v>129</v>
      </c>
      <c r="CE345" s="46" t="str">
        <f t="shared" si="25"/>
        <v>Sagittarius - Fire</v>
      </c>
    </row>
    <row r="346" spans="79:83" x14ac:dyDescent="0.3">
      <c r="CA346" s="376">
        <v>44175</v>
      </c>
      <c r="CB346" s="46" t="str">
        <f t="shared" si="26"/>
        <v>10-Dec</v>
      </c>
      <c r="CC346" s="46" t="s">
        <v>124</v>
      </c>
      <c r="CD346" s="46" t="s">
        <v>129</v>
      </c>
      <c r="CE346" s="46" t="str">
        <f t="shared" si="25"/>
        <v>Sagittarius - Fire</v>
      </c>
    </row>
    <row r="347" spans="79:83" x14ac:dyDescent="0.3">
      <c r="CA347" s="376">
        <v>44176</v>
      </c>
      <c r="CB347" s="46" t="str">
        <f t="shared" si="26"/>
        <v>11-Dec</v>
      </c>
      <c r="CC347" s="46" t="s">
        <v>124</v>
      </c>
      <c r="CD347" s="46" t="s">
        <v>129</v>
      </c>
      <c r="CE347" s="46" t="str">
        <f t="shared" si="25"/>
        <v>Sagittarius - Fire</v>
      </c>
    </row>
    <row r="348" spans="79:83" x14ac:dyDescent="0.3">
      <c r="CA348" s="376">
        <v>44177</v>
      </c>
      <c r="CB348" s="46" t="str">
        <f t="shared" si="26"/>
        <v>12-Dec</v>
      </c>
      <c r="CC348" s="46" t="s">
        <v>124</v>
      </c>
      <c r="CD348" s="46" t="s">
        <v>129</v>
      </c>
      <c r="CE348" s="46" t="str">
        <f t="shared" si="25"/>
        <v>Sagittarius - Fire</v>
      </c>
    </row>
    <row r="349" spans="79:83" x14ac:dyDescent="0.3">
      <c r="CA349" s="376">
        <v>44178</v>
      </c>
      <c r="CB349" s="46" t="str">
        <f t="shared" si="26"/>
        <v>13-Dec</v>
      </c>
      <c r="CC349" s="46" t="s">
        <v>124</v>
      </c>
      <c r="CD349" s="46" t="s">
        <v>129</v>
      </c>
      <c r="CE349" s="46" t="str">
        <f t="shared" si="25"/>
        <v>Sagittarius - Fire</v>
      </c>
    </row>
    <row r="350" spans="79:83" x14ac:dyDescent="0.3">
      <c r="CA350" s="376">
        <v>44179</v>
      </c>
      <c r="CB350" s="46" t="str">
        <f t="shared" si="26"/>
        <v>14-Dec</v>
      </c>
      <c r="CC350" s="46" t="s">
        <v>124</v>
      </c>
      <c r="CD350" s="46" t="s">
        <v>129</v>
      </c>
      <c r="CE350" s="46" t="str">
        <f t="shared" si="25"/>
        <v>Sagittarius - Fire</v>
      </c>
    </row>
    <row r="351" spans="79:83" x14ac:dyDescent="0.3">
      <c r="CA351" s="376">
        <v>44180</v>
      </c>
      <c r="CB351" s="46" t="str">
        <f t="shared" si="26"/>
        <v>15-Dec</v>
      </c>
      <c r="CC351" s="46" t="s">
        <v>124</v>
      </c>
      <c r="CD351" s="46" t="s">
        <v>129</v>
      </c>
      <c r="CE351" s="46" t="str">
        <f t="shared" si="25"/>
        <v>Sagittarius - Fire</v>
      </c>
    </row>
    <row r="352" spans="79:83" x14ac:dyDescent="0.3">
      <c r="CA352" s="376">
        <v>44181</v>
      </c>
      <c r="CB352" s="46" t="str">
        <f t="shared" si="26"/>
        <v>16-Dec</v>
      </c>
      <c r="CC352" s="46" t="s">
        <v>124</v>
      </c>
      <c r="CD352" s="46" t="s">
        <v>129</v>
      </c>
      <c r="CE352" s="46" t="str">
        <f t="shared" si="25"/>
        <v>Sagittarius - Fire</v>
      </c>
    </row>
    <row r="353" spans="79:83" x14ac:dyDescent="0.3">
      <c r="CA353" s="376">
        <v>44182</v>
      </c>
      <c r="CB353" s="46" t="str">
        <f t="shared" si="26"/>
        <v>17-Dec</v>
      </c>
      <c r="CC353" s="46" t="s">
        <v>124</v>
      </c>
      <c r="CD353" s="46" t="s">
        <v>129</v>
      </c>
      <c r="CE353" s="46" t="str">
        <f t="shared" si="25"/>
        <v>Sagittarius - Fire</v>
      </c>
    </row>
    <row r="354" spans="79:83" x14ac:dyDescent="0.3">
      <c r="CA354" s="376">
        <v>44183</v>
      </c>
      <c r="CB354" s="46" t="str">
        <f t="shared" si="26"/>
        <v>18-Dec</v>
      </c>
      <c r="CC354" s="46" t="s">
        <v>124</v>
      </c>
      <c r="CD354" s="46" t="s">
        <v>129</v>
      </c>
      <c r="CE354" s="46" t="str">
        <f t="shared" si="25"/>
        <v>Sagittarius - Fire</v>
      </c>
    </row>
    <row r="355" spans="79:83" x14ac:dyDescent="0.3">
      <c r="CA355" s="376">
        <v>44184</v>
      </c>
      <c r="CB355" s="46" t="str">
        <f t="shared" si="26"/>
        <v>19-Dec</v>
      </c>
      <c r="CC355" s="46" t="s">
        <v>124</v>
      </c>
      <c r="CD355" s="46" t="s">
        <v>129</v>
      </c>
      <c r="CE355" s="46" t="str">
        <f t="shared" si="25"/>
        <v>Sagittarius - Fire</v>
      </c>
    </row>
    <row r="356" spans="79:83" x14ac:dyDescent="0.3">
      <c r="CA356" s="376">
        <v>44185</v>
      </c>
      <c r="CB356" s="46" t="str">
        <f t="shared" si="26"/>
        <v>20-Dec</v>
      </c>
      <c r="CC356" s="46" t="s">
        <v>124</v>
      </c>
      <c r="CD356" s="46" t="s">
        <v>129</v>
      </c>
      <c r="CE356" s="46" t="str">
        <f t="shared" si="25"/>
        <v>Sagittarius - Fire</v>
      </c>
    </row>
    <row r="357" spans="79:83" x14ac:dyDescent="0.3">
      <c r="CA357" s="376">
        <v>44186</v>
      </c>
      <c r="CB357" s="46" t="str">
        <f t="shared" si="26"/>
        <v>21-Dec</v>
      </c>
      <c r="CC357" s="46" t="s">
        <v>124</v>
      </c>
      <c r="CD357" s="46" t="s">
        <v>129</v>
      </c>
      <c r="CE357" s="46" t="str">
        <f>CC357&amp;" - "&amp;CD357</f>
        <v>Sagittarius - Fire</v>
      </c>
    </row>
    <row r="358" spans="79:83" x14ac:dyDescent="0.3">
      <c r="CA358" s="376">
        <v>44187</v>
      </c>
      <c r="CB358" s="46" t="str">
        <f t="shared" si="26"/>
        <v>22-Dec</v>
      </c>
      <c r="CC358" s="46" t="s">
        <v>113</v>
      </c>
      <c r="CD358" s="46" t="s">
        <v>130</v>
      </c>
      <c r="CE358" s="46" t="str">
        <f t="shared" si="25"/>
        <v>Capricorn - Earth</v>
      </c>
    </row>
    <row r="359" spans="79:83" x14ac:dyDescent="0.3">
      <c r="CA359" s="376">
        <v>44188</v>
      </c>
      <c r="CB359" s="46" t="str">
        <f t="shared" si="26"/>
        <v>23-Dec</v>
      </c>
      <c r="CC359" s="46" t="s">
        <v>113</v>
      </c>
      <c r="CD359" s="46" t="s">
        <v>130</v>
      </c>
      <c r="CE359" s="46" t="str">
        <f t="shared" si="25"/>
        <v>Capricorn - Earth</v>
      </c>
    </row>
    <row r="360" spans="79:83" x14ac:dyDescent="0.3">
      <c r="CA360" s="376">
        <v>44189</v>
      </c>
      <c r="CB360" s="46" t="str">
        <f t="shared" si="26"/>
        <v>24-Dec</v>
      </c>
      <c r="CC360" s="46" t="s">
        <v>113</v>
      </c>
      <c r="CD360" s="46" t="s">
        <v>130</v>
      </c>
      <c r="CE360" s="46" t="str">
        <f t="shared" si="25"/>
        <v>Capricorn - Earth</v>
      </c>
    </row>
    <row r="361" spans="79:83" x14ac:dyDescent="0.3">
      <c r="CA361" s="376">
        <v>44190</v>
      </c>
      <c r="CB361" s="46" t="str">
        <f t="shared" si="26"/>
        <v>25-Dec</v>
      </c>
      <c r="CC361" s="46" t="s">
        <v>113</v>
      </c>
      <c r="CD361" s="46" t="s">
        <v>130</v>
      </c>
      <c r="CE361" s="46" t="str">
        <f t="shared" si="25"/>
        <v>Capricorn - Earth</v>
      </c>
    </row>
    <row r="362" spans="79:83" x14ac:dyDescent="0.3">
      <c r="CA362" s="376">
        <v>44191</v>
      </c>
      <c r="CB362" s="46" t="str">
        <f t="shared" si="26"/>
        <v>26-Dec</v>
      </c>
      <c r="CC362" s="46" t="s">
        <v>113</v>
      </c>
      <c r="CD362" s="46" t="s">
        <v>130</v>
      </c>
      <c r="CE362" s="46" t="str">
        <f t="shared" si="25"/>
        <v>Capricorn - Earth</v>
      </c>
    </row>
    <row r="363" spans="79:83" x14ac:dyDescent="0.3">
      <c r="CA363" s="376">
        <v>44192</v>
      </c>
      <c r="CB363" s="46" t="str">
        <f t="shared" si="26"/>
        <v>27-Dec</v>
      </c>
      <c r="CC363" s="46" t="s">
        <v>113</v>
      </c>
      <c r="CD363" s="46" t="s">
        <v>130</v>
      </c>
      <c r="CE363" s="46" t="str">
        <f t="shared" si="25"/>
        <v>Capricorn - Earth</v>
      </c>
    </row>
    <row r="364" spans="79:83" x14ac:dyDescent="0.3">
      <c r="CA364" s="376">
        <v>44193</v>
      </c>
      <c r="CB364" s="46" t="str">
        <f t="shared" si="26"/>
        <v>28-Dec</v>
      </c>
      <c r="CC364" s="46" t="s">
        <v>113</v>
      </c>
      <c r="CD364" s="46" t="s">
        <v>130</v>
      </c>
      <c r="CE364" s="46" t="str">
        <f t="shared" si="25"/>
        <v>Capricorn - Earth</v>
      </c>
    </row>
    <row r="365" spans="79:83" x14ac:dyDescent="0.3">
      <c r="CA365" s="376">
        <v>44194</v>
      </c>
      <c r="CB365" s="46" t="str">
        <f t="shared" si="26"/>
        <v>29-Dec</v>
      </c>
      <c r="CC365" s="46" t="s">
        <v>113</v>
      </c>
      <c r="CD365" s="46" t="s">
        <v>130</v>
      </c>
      <c r="CE365" s="46" t="str">
        <f t="shared" si="25"/>
        <v>Capricorn - Earth</v>
      </c>
    </row>
    <row r="366" spans="79:83" x14ac:dyDescent="0.3">
      <c r="CA366" s="376">
        <v>44195</v>
      </c>
      <c r="CB366" s="46" t="str">
        <f t="shared" si="26"/>
        <v>30-Dec</v>
      </c>
      <c r="CC366" s="46" t="s">
        <v>113</v>
      </c>
      <c r="CD366" s="46" t="s">
        <v>130</v>
      </c>
      <c r="CE366" s="46" t="str">
        <f t="shared" si="25"/>
        <v>Capricorn - Earth</v>
      </c>
    </row>
    <row r="367" spans="79:83" x14ac:dyDescent="0.3">
      <c r="CA367" s="376">
        <v>44196</v>
      </c>
      <c r="CB367" s="46" t="str">
        <f t="shared" si="26"/>
        <v>31-Dec</v>
      </c>
      <c r="CC367" s="46" t="s">
        <v>113</v>
      </c>
      <c r="CD367" s="46" t="s">
        <v>130</v>
      </c>
      <c r="CE367" s="46" t="str">
        <f t="shared" si="25"/>
        <v>Capricorn - Earth</v>
      </c>
    </row>
  </sheetData>
  <mergeCells count="18">
    <mergeCell ref="D5:E5"/>
    <mergeCell ref="G5:H5"/>
    <mergeCell ref="J5:M5"/>
    <mergeCell ref="D6:E6"/>
    <mergeCell ref="G6:H6"/>
    <mergeCell ref="J6:M6"/>
    <mergeCell ref="AY1:AZ1"/>
    <mergeCell ref="R1:S1"/>
    <mergeCell ref="U1:V1"/>
    <mergeCell ref="X1:Y1"/>
    <mergeCell ref="AA1:AB1"/>
    <mergeCell ref="AD1:AE1"/>
    <mergeCell ref="AG1:AH1"/>
    <mergeCell ref="AJ1:AK1"/>
    <mergeCell ref="AM1:AN1"/>
    <mergeCell ref="AP1:AQ1"/>
    <mergeCell ref="AS1:AT1"/>
    <mergeCell ref="AV1:AW1"/>
  </mergeCells>
  <conditionalFormatting sqref="S3:S33">
    <cfRule type="cellIs" dxfId="143" priority="27" operator="equal">
      <formula>$D$7</formula>
    </cfRule>
    <cfRule type="cellIs" dxfId="142" priority="28" operator="equal">
      <formula>$D$8</formula>
    </cfRule>
  </conditionalFormatting>
  <conditionalFormatting sqref="V3:V31">
    <cfRule type="cellIs" dxfId="141" priority="25" operator="equal">
      <formula>$D$7</formula>
    </cfRule>
    <cfRule type="cellIs" dxfId="140" priority="26" operator="equal">
      <formula>$D$8</formula>
    </cfRule>
  </conditionalFormatting>
  <conditionalFormatting sqref="Y3:Y33">
    <cfRule type="cellIs" dxfId="139" priority="23" operator="equal">
      <formula>$D$7</formula>
    </cfRule>
    <cfRule type="cellIs" dxfId="138" priority="24" operator="equal">
      <formula>$D$8</formula>
    </cfRule>
  </conditionalFormatting>
  <conditionalFormatting sqref="AB3:AB32">
    <cfRule type="cellIs" dxfId="137" priority="21" operator="equal">
      <formula>$D$7</formula>
    </cfRule>
    <cfRule type="cellIs" dxfId="136" priority="22" operator="equal">
      <formula>$D$8</formula>
    </cfRule>
  </conditionalFormatting>
  <conditionalFormatting sqref="AE3:AE33">
    <cfRule type="cellIs" dxfId="135" priority="19" operator="equal">
      <formula>$D$7</formula>
    </cfRule>
    <cfRule type="cellIs" dxfId="134" priority="20" operator="equal">
      <formula>$D$8</formula>
    </cfRule>
  </conditionalFormatting>
  <conditionalFormatting sqref="AH3:AH32">
    <cfRule type="cellIs" dxfId="133" priority="17" operator="equal">
      <formula>$D$7</formula>
    </cfRule>
    <cfRule type="cellIs" dxfId="132" priority="18" operator="equal">
      <formula>$D$8</formula>
    </cfRule>
  </conditionalFormatting>
  <conditionalFormatting sqref="AK3:AK33">
    <cfRule type="cellIs" dxfId="131" priority="15" operator="equal">
      <formula>$D$7</formula>
    </cfRule>
    <cfRule type="cellIs" dxfId="130" priority="16" operator="equal">
      <formula>$D$8</formula>
    </cfRule>
  </conditionalFormatting>
  <conditionalFormatting sqref="AN3:AN33">
    <cfRule type="cellIs" dxfId="129" priority="13" operator="equal">
      <formula>$D$7</formula>
    </cfRule>
    <cfRule type="cellIs" dxfId="128" priority="14" operator="equal">
      <formula>$D$8</formula>
    </cfRule>
  </conditionalFormatting>
  <conditionalFormatting sqref="AQ3:AQ32">
    <cfRule type="cellIs" dxfId="127" priority="11" operator="equal">
      <formula>$D$7</formula>
    </cfRule>
    <cfRule type="cellIs" dxfId="126" priority="12" operator="equal">
      <formula>$D$8</formula>
    </cfRule>
  </conditionalFormatting>
  <conditionalFormatting sqref="AT3:AT33">
    <cfRule type="cellIs" dxfId="125" priority="9" operator="equal">
      <formula>$D$7</formula>
    </cfRule>
    <cfRule type="cellIs" dxfId="124" priority="10" operator="equal">
      <formula>$D$8</formula>
    </cfRule>
  </conditionalFormatting>
  <conditionalFormatting sqref="AW3:AW32">
    <cfRule type="cellIs" dxfId="123" priority="7" operator="equal">
      <formula>$D$7</formula>
    </cfRule>
    <cfRule type="cellIs" dxfId="122" priority="8" operator="equal">
      <formula>$D$8</formula>
    </cfRule>
  </conditionalFormatting>
  <conditionalFormatting sqref="AZ3:AZ33">
    <cfRule type="cellIs" dxfId="121" priority="5" operator="equal">
      <formula>$D$7</formula>
    </cfRule>
    <cfRule type="cellIs" dxfId="120" priority="6" operator="equal">
      <formula>$D$8</formula>
    </cfRule>
  </conditionalFormatting>
  <conditionalFormatting sqref="S3:S33 V3:V31 Y3:Y33 AB3:AB32 AE3:AE33 AK3:AK33 AH3:AH32 AN3:AN33 AQ3:AQ32 AT3:AT33 AW3:AW32 AZ3:AZ33">
    <cfRule type="cellIs" dxfId="119" priority="4" operator="equal">
      <formula>$F$16</formula>
    </cfRule>
  </conditionalFormatting>
  <conditionalFormatting sqref="D23">
    <cfRule type="cellIs" dxfId="118" priority="2" operator="equal">
      <formula>$D$7</formula>
    </cfRule>
    <cfRule type="cellIs" dxfId="117" priority="3" operator="equal">
      <formula>$D$8</formula>
    </cfRule>
  </conditionalFormatting>
  <conditionalFormatting sqref="D23">
    <cfRule type="cellIs" dxfId="116" priority="1" operator="equal">
      <formula>$F$16</formula>
    </cfRule>
  </conditionalFormatting>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F0"/>
  </sheetPr>
  <dimension ref="A1:BH37"/>
  <sheetViews>
    <sheetView zoomScale="115" zoomScaleNormal="115" workbookViewId="0">
      <selection activeCell="C16" sqref="C16"/>
    </sheetView>
  </sheetViews>
  <sheetFormatPr defaultRowHeight="14.4" x14ac:dyDescent="0.3"/>
  <cols>
    <col min="1" max="1" width="16" bestFit="1" customWidth="1"/>
    <col min="2" max="2" width="52.77734375" bestFit="1" customWidth="1"/>
    <col min="3" max="17" width="4.21875" customWidth="1"/>
    <col min="18" max="18" width="4.21875" style="450" customWidth="1"/>
    <col min="19" max="19" width="4.5546875" style="450" bestFit="1" customWidth="1"/>
    <col min="20" max="34" width="4.21875" style="450" customWidth="1"/>
    <col min="35" max="35" width="3.44140625" style="450" customWidth="1"/>
    <col min="36" max="37" width="5.77734375" style="450" customWidth="1"/>
    <col min="38" max="58" width="9.21875" style="450"/>
    <col min="59" max="59" width="9.21875" style="15" bestFit="1" customWidth="1"/>
    <col min="60" max="60" width="8.21875" style="306" bestFit="1" customWidth="1"/>
  </cols>
  <sheetData>
    <row r="1" spans="1:60" ht="15" thickBot="1" x14ac:dyDescent="0.35">
      <c r="BG1" s="42" t="s">
        <v>1</v>
      </c>
      <c r="BH1" s="305" t="s">
        <v>2</v>
      </c>
    </row>
    <row r="2" spans="1:60" x14ac:dyDescent="0.3">
      <c r="A2" s="177" t="s">
        <v>86</v>
      </c>
      <c r="B2" s="65">
        <v>9829277692</v>
      </c>
      <c r="C2" s="73">
        <f ca="1">SUMPRODUCT(1*MID(B2,ROW(INDIRECT("1:"&amp;LEN(B2))),1))</f>
        <v>61</v>
      </c>
      <c r="D2" s="73">
        <f ca="1">MOD(C2-1,9)+1</f>
        <v>7</v>
      </c>
      <c r="E2" s="178"/>
      <c r="F2" s="178"/>
      <c r="G2" s="118"/>
      <c r="H2" s="118"/>
      <c r="I2" s="118"/>
      <c r="J2" s="118"/>
      <c r="K2" s="118"/>
      <c r="L2" s="118"/>
      <c r="M2" s="173"/>
      <c r="N2" s="54"/>
      <c r="O2" s="174"/>
      <c r="P2" s="12"/>
      <c r="R2" s="14"/>
      <c r="S2" s="457"/>
      <c r="T2" s="458" t="str">
        <f>'Master Calculator'!Q1</f>
        <v>BD</v>
      </c>
      <c r="U2" s="459" t="str">
        <f>'Master Calculator'!R1</f>
        <v>LP</v>
      </c>
      <c r="V2" s="14"/>
      <c r="W2" s="14"/>
      <c r="X2" s="14"/>
      <c r="Y2" s="14"/>
      <c r="Z2" s="14"/>
      <c r="AA2" s="14"/>
      <c r="BG2" s="15" t="s">
        <v>14</v>
      </c>
      <c r="BH2" s="306">
        <v>1</v>
      </c>
    </row>
    <row r="3" spans="1:60" x14ac:dyDescent="0.3">
      <c r="A3" s="55" t="s">
        <v>88</v>
      </c>
      <c r="B3" s="67"/>
      <c r="C3" s="200" t="e">
        <f ca="1">SUMPRODUCT(1*MID(B3,ROW(INDIRECT("1:"&amp;LEN(B3))),1))</f>
        <v>#REF!</v>
      </c>
      <c r="D3" s="200" t="e">
        <f ca="1">MOD(C3-1,9)+1</f>
        <v>#REF!</v>
      </c>
      <c r="E3" s="13"/>
      <c r="F3" s="13"/>
      <c r="G3" s="13"/>
      <c r="H3" s="13"/>
      <c r="I3" s="13"/>
      <c r="J3" s="13"/>
      <c r="K3" s="13"/>
      <c r="L3" s="13"/>
      <c r="M3" s="66"/>
      <c r="N3" s="17"/>
      <c r="O3" s="52"/>
      <c r="P3" s="19"/>
      <c r="R3" s="14"/>
      <c r="S3" s="460"/>
      <c r="T3" s="456">
        <f>'Master Calculator'!Q2</f>
        <v>2</v>
      </c>
      <c r="U3" s="461">
        <f ca="1">'Master Calculator'!R2</f>
        <v>2</v>
      </c>
      <c r="V3" s="14"/>
      <c r="W3" s="14"/>
      <c r="X3" s="14"/>
      <c r="Y3" s="14"/>
      <c r="Z3" s="14"/>
      <c r="AA3" s="14"/>
      <c r="BG3" s="15" t="s">
        <v>22</v>
      </c>
      <c r="BH3" s="306">
        <v>2</v>
      </c>
    </row>
    <row r="4" spans="1:60" x14ac:dyDescent="0.3">
      <c r="A4" s="26"/>
      <c r="B4" s="13"/>
      <c r="C4" s="43"/>
      <c r="D4" s="43"/>
      <c r="E4" s="43"/>
      <c r="F4" s="13"/>
      <c r="G4" s="13"/>
      <c r="H4" s="13"/>
      <c r="I4" s="13"/>
      <c r="J4" s="13"/>
      <c r="K4" s="13"/>
      <c r="L4" s="13"/>
      <c r="M4" s="13"/>
      <c r="N4" s="13"/>
      <c r="O4" s="13"/>
      <c r="P4" s="19"/>
      <c r="R4" s="14"/>
      <c r="S4" s="338">
        <v>1</v>
      </c>
      <c r="T4" s="111" t="str">
        <f>'Master Calculator'!Q3</f>
        <v>G</v>
      </c>
      <c r="U4" s="260" t="str">
        <f ca="1">'Master Calculator'!R3</f>
        <v>G</v>
      </c>
      <c r="V4" s="14"/>
      <c r="W4" s="14"/>
      <c r="X4" s="14"/>
      <c r="Y4" s="14"/>
      <c r="Z4" s="14"/>
      <c r="AA4" s="14"/>
      <c r="BG4" s="15" t="s">
        <v>27</v>
      </c>
      <c r="BH4" s="306">
        <v>3</v>
      </c>
    </row>
    <row r="5" spans="1:60" x14ac:dyDescent="0.3">
      <c r="A5" s="55" t="s">
        <v>109</v>
      </c>
      <c r="B5" s="67"/>
      <c r="C5" s="200" t="e">
        <f ca="1">SUMPRODUCT(1*MID(B5,ROW(INDIRECT("1:"&amp;LEN(B5))),1))</f>
        <v>#REF!</v>
      </c>
      <c r="D5" s="200" t="e">
        <f ca="1">MOD(C5-1,9)+1</f>
        <v>#REF!</v>
      </c>
      <c r="E5" s="43"/>
      <c r="F5" s="23"/>
      <c r="G5" s="23"/>
      <c r="H5" s="23"/>
      <c r="I5" s="23"/>
      <c r="J5" s="23"/>
      <c r="K5" s="23"/>
      <c r="L5" s="23"/>
      <c r="M5" s="23"/>
      <c r="N5" s="23"/>
      <c r="O5" s="23"/>
      <c r="P5" s="31"/>
      <c r="R5" s="15"/>
      <c r="S5" s="462">
        <v>2</v>
      </c>
      <c r="T5" s="111" t="str">
        <f>'Master Calculator'!Q4</f>
        <v>E</v>
      </c>
      <c r="U5" s="260" t="str">
        <f ca="1">'Master Calculator'!R4</f>
        <v>E</v>
      </c>
      <c r="V5" s="14"/>
      <c r="W5" s="14"/>
      <c r="X5" s="14"/>
      <c r="Y5" s="14"/>
      <c r="Z5" s="14"/>
      <c r="AA5" s="14"/>
      <c r="BG5" s="15" t="s">
        <v>29</v>
      </c>
      <c r="BH5" s="306">
        <v>4</v>
      </c>
    </row>
    <row r="6" spans="1:60" x14ac:dyDescent="0.3">
      <c r="A6" s="55" t="s">
        <v>110</v>
      </c>
      <c r="B6" s="67"/>
      <c r="C6" s="200" t="e">
        <f ca="1">SUMPRODUCT(1*MID(B6,ROW(INDIRECT("1:"&amp;LEN(B6))),1))</f>
        <v>#REF!</v>
      </c>
      <c r="D6" s="200" t="e">
        <f ca="1">MOD(C6-1,9)+1</f>
        <v>#REF!</v>
      </c>
      <c r="E6" s="43"/>
      <c r="F6" s="23"/>
      <c r="G6" s="23"/>
      <c r="H6" s="23"/>
      <c r="I6" s="23"/>
      <c r="J6" s="23"/>
      <c r="K6" s="23"/>
      <c r="L6" s="23"/>
      <c r="M6" s="23"/>
      <c r="N6" s="23"/>
      <c r="O6" s="23"/>
      <c r="P6" s="31"/>
      <c r="R6" s="15"/>
      <c r="S6" s="338">
        <v>3</v>
      </c>
      <c r="T6" s="111" t="str">
        <f>'Master Calculator'!Q5</f>
        <v>G</v>
      </c>
      <c r="U6" s="260" t="str">
        <f ca="1">'Master Calculator'!R5</f>
        <v>G</v>
      </c>
      <c r="V6" s="14"/>
      <c r="W6" s="14"/>
      <c r="X6" s="14"/>
      <c r="Y6" s="14"/>
      <c r="Z6" s="14"/>
      <c r="AA6" s="14"/>
      <c r="BG6" s="15" t="s">
        <v>19</v>
      </c>
      <c r="BH6" s="306">
        <v>5</v>
      </c>
    </row>
    <row r="7" spans="1:60" x14ac:dyDescent="0.3">
      <c r="A7" s="26"/>
      <c r="B7" s="13"/>
      <c r="C7" s="13"/>
      <c r="D7" s="13"/>
      <c r="E7" s="13"/>
      <c r="F7" s="13"/>
      <c r="G7" s="13"/>
      <c r="H7" s="13"/>
      <c r="I7" s="13"/>
      <c r="J7" s="13"/>
      <c r="K7" s="13"/>
      <c r="L7" s="13"/>
      <c r="M7" s="13"/>
      <c r="N7" s="13"/>
      <c r="O7" s="13"/>
      <c r="P7" s="19"/>
      <c r="R7" s="14"/>
      <c r="S7" s="338">
        <v>4</v>
      </c>
      <c r="T7" s="111" t="str">
        <f>'Master Calculator'!Q6</f>
        <v>G</v>
      </c>
      <c r="U7" s="260" t="str">
        <f ca="1">'Master Calculator'!R6</f>
        <v>G</v>
      </c>
      <c r="V7" s="14"/>
      <c r="W7" s="14"/>
      <c r="X7" s="14"/>
      <c r="Y7" s="14"/>
      <c r="Z7" s="14"/>
      <c r="AA7" s="14"/>
      <c r="BG7" s="15" t="s">
        <v>21</v>
      </c>
      <c r="BH7" s="306">
        <v>8</v>
      </c>
    </row>
    <row r="8" spans="1:60" x14ac:dyDescent="0.3">
      <c r="A8" s="26"/>
      <c r="B8" s="13"/>
      <c r="C8" s="13"/>
      <c r="D8" s="13"/>
      <c r="E8" s="13"/>
      <c r="F8" s="13"/>
      <c r="G8" s="13"/>
      <c r="H8" s="13"/>
      <c r="I8" s="13"/>
      <c r="J8" s="13"/>
      <c r="K8" s="13"/>
      <c r="L8" s="13"/>
      <c r="M8" s="13"/>
      <c r="N8" s="13"/>
      <c r="O8" s="13"/>
      <c r="P8" s="19"/>
      <c r="R8" s="14"/>
      <c r="S8" s="338">
        <v>5</v>
      </c>
      <c r="T8" s="111" t="str">
        <f>'Master Calculator'!Q7</f>
        <v>F</v>
      </c>
      <c r="U8" s="260" t="str">
        <f ca="1">'Master Calculator'!R7</f>
        <v>F</v>
      </c>
      <c r="V8" s="14"/>
      <c r="W8" s="14"/>
      <c r="X8" s="14"/>
      <c r="Y8" s="14"/>
      <c r="Z8" s="14"/>
      <c r="AA8" s="14"/>
      <c r="BG8" s="15" t="s">
        <v>20</v>
      </c>
      <c r="BH8" s="306">
        <v>3</v>
      </c>
    </row>
    <row r="9" spans="1:60" x14ac:dyDescent="0.3">
      <c r="A9" s="201" t="s">
        <v>90</v>
      </c>
      <c r="B9" s="27" t="s">
        <v>293</v>
      </c>
      <c r="C9" s="28" t="str">
        <f>MID($B9,COLUMNS($B$9:B$9),1)</f>
        <v>r</v>
      </c>
      <c r="D9" s="28" t="str">
        <f>MID($B9,COLUMNS($B$9:C$9),1)</f>
        <v>j</v>
      </c>
      <c r="E9" s="28" t="str">
        <f>MID($B9,COLUMNS($B$9:D$9),1)</f>
        <v>1</v>
      </c>
      <c r="F9" s="28" t="str">
        <f>MID($B9,COLUMNS($B$9:E$9),1)</f>
        <v>4</v>
      </c>
      <c r="G9" s="28" t="str">
        <f>MID($B9,COLUMNS($B$9:F$9),1)</f>
        <v>c</v>
      </c>
      <c r="H9" s="28" t="str">
        <f>MID($B9,COLUMNS($B$9:G$9),1)</f>
        <v>y</v>
      </c>
      <c r="I9" s="28" t="str">
        <f>MID($B9,COLUMNS($B$9:H$9),1)</f>
        <v>5</v>
      </c>
      <c r="J9" s="28" t="str">
        <f>MID($B9,COLUMNS($B$9:I$9),1)</f>
        <v>8</v>
      </c>
      <c r="K9" s="28" t="str">
        <f>MID($B9,COLUMNS($B$9:J$9),1)</f>
        <v>5</v>
      </c>
      <c r="L9" s="28" t="str">
        <f>MID($B9,COLUMNS($B$9:K$9),1)</f>
        <v>0</v>
      </c>
      <c r="M9" s="23"/>
      <c r="N9" s="13"/>
      <c r="O9" s="13"/>
      <c r="P9" s="19"/>
      <c r="R9" s="14"/>
      <c r="S9" s="338">
        <v>6</v>
      </c>
      <c r="T9" s="111" t="str">
        <f>'Master Calculator'!Q8</f>
        <v>G</v>
      </c>
      <c r="U9" s="260" t="str">
        <f ca="1">'Master Calculator'!R8</f>
        <v>G</v>
      </c>
      <c r="V9" s="14"/>
      <c r="W9" s="14"/>
      <c r="X9" s="14"/>
      <c r="Y9" s="14"/>
      <c r="Z9" s="14"/>
      <c r="AA9" s="14"/>
      <c r="BG9" s="15" t="s">
        <v>41</v>
      </c>
      <c r="BH9" s="306">
        <v>5</v>
      </c>
    </row>
    <row r="10" spans="1:60" x14ac:dyDescent="0.3">
      <c r="A10" s="36"/>
      <c r="B10" s="13"/>
      <c r="C10" s="23">
        <f>IFERROR(VLOOKUP(C9,$BG:$BH,2,0),0)</f>
        <v>2</v>
      </c>
      <c r="D10" s="23">
        <f t="shared" ref="D10:L10" si="0">IFERROR(VLOOKUP(D9,$BG:$BH,2,0),0)</f>
        <v>1</v>
      </c>
      <c r="E10" s="23">
        <f t="shared" si="0"/>
        <v>1</v>
      </c>
      <c r="F10" s="23">
        <f t="shared" si="0"/>
        <v>4</v>
      </c>
      <c r="G10" s="23">
        <f t="shared" si="0"/>
        <v>3</v>
      </c>
      <c r="H10" s="23">
        <f t="shared" si="0"/>
        <v>1</v>
      </c>
      <c r="I10" s="23">
        <f t="shared" si="0"/>
        <v>5</v>
      </c>
      <c r="J10" s="23">
        <f t="shared" si="0"/>
        <v>8</v>
      </c>
      <c r="K10" s="23">
        <f t="shared" si="0"/>
        <v>5</v>
      </c>
      <c r="L10" s="23">
        <f t="shared" si="0"/>
        <v>0</v>
      </c>
      <c r="M10" s="66" t="s">
        <v>87</v>
      </c>
      <c r="N10" s="48">
        <f>C10+D10+E10+F10+G10+H10+I10+J10+K10+L10</f>
        <v>30</v>
      </c>
      <c r="O10" s="200">
        <f>MOD(N10-1,9)+1</f>
        <v>3</v>
      </c>
      <c r="P10" s="19"/>
      <c r="R10" s="14"/>
      <c r="S10" s="338">
        <v>7</v>
      </c>
      <c r="T10" s="111" t="str">
        <f>'Master Calculator'!Q9</f>
        <v>VG</v>
      </c>
      <c r="U10" s="260" t="str">
        <f ca="1">'Master Calculator'!R9</f>
        <v>VG</v>
      </c>
      <c r="V10" s="14"/>
      <c r="W10" s="14"/>
      <c r="X10" s="14"/>
      <c r="Y10" s="14"/>
      <c r="Z10" s="14"/>
      <c r="AA10" s="14"/>
      <c r="BG10" s="15" t="s">
        <v>43</v>
      </c>
      <c r="BH10" s="306">
        <v>1</v>
      </c>
    </row>
    <row r="11" spans="1:60" x14ac:dyDescent="0.3">
      <c r="A11" s="36"/>
      <c r="B11" s="13"/>
      <c r="C11" s="23"/>
      <c r="D11" s="23"/>
      <c r="E11" s="23"/>
      <c r="F11" s="23"/>
      <c r="G11" s="23"/>
      <c r="H11" s="23"/>
      <c r="I11" s="23"/>
      <c r="J11" s="23"/>
      <c r="K11" s="23"/>
      <c r="L11" s="23"/>
      <c r="M11" s="13"/>
      <c r="N11" s="13"/>
      <c r="O11" s="13"/>
      <c r="P11" s="19"/>
      <c r="R11" s="14"/>
      <c r="S11" s="338">
        <v>8</v>
      </c>
      <c r="T11" s="111" t="str">
        <f>'Master Calculator'!Q10</f>
        <v>A</v>
      </c>
      <c r="U11" s="260" t="str">
        <f ca="1">'Master Calculator'!R10</f>
        <v>A</v>
      </c>
      <c r="V11" s="14"/>
      <c r="W11" s="14"/>
      <c r="X11" s="14"/>
      <c r="Y11" s="14"/>
      <c r="Z11" s="14"/>
      <c r="AA11" s="14"/>
      <c r="BG11" s="15" t="s">
        <v>46</v>
      </c>
      <c r="BH11" s="306">
        <v>1</v>
      </c>
    </row>
    <row r="12" spans="1:60" ht="15" thickBot="1" x14ac:dyDescent="0.35">
      <c r="A12" s="201" t="s">
        <v>91</v>
      </c>
      <c r="B12" s="27" t="s">
        <v>254</v>
      </c>
      <c r="C12" s="28" t="str">
        <f>MID($B12,COLUMNS($B$9:B$9),1)</f>
        <v>K</v>
      </c>
      <c r="D12" s="28" t="str">
        <f>MID($B12,COLUMNS($B$9:C$9),1)</f>
        <v>B</v>
      </c>
      <c r="E12" s="28" t="str">
        <f>MID($B12,COLUMNS($B$9:D$9),1)</f>
        <v>P</v>
      </c>
      <c r="F12" s="28" t="str">
        <f>MID($B12,COLUMNS($B$9:E$9),1)</f>
        <v>1</v>
      </c>
      <c r="G12" s="28" t="str">
        <f>MID($B12,COLUMNS($B$9:F$9),1)</f>
        <v>7</v>
      </c>
      <c r="H12" s="28" t="str">
        <f>MID($B12,COLUMNS($B$9:G$9),1)</f>
        <v>1</v>
      </c>
      <c r="I12" s="28" t="str">
        <f>MID($B12,COLUMNS($B$9:H$9),1)</f>
        <v>K</v>
      </c>
      <c r="J12" s="28" t="str">
        <f>MID($B12,COLUMNS($B$9:I$9),1)</f>
        <v/>
      </c>
      <c r="K12" s="28" t="str">
        <f>MID($B12,COLUMNS($B$9:J$9),1)</f>
        <v/>
      </c>
      <c r="L12" s="28" t="str">
        <f>MID($B12,COLUMNS($B$9:K$9),1)</f>
        <v/>
      </c>
      <c r="M12" s="23"/>
      <c r="N12" s="13"/>
      <c r="O12" s="13"/>
      <c r="P12" s="19"/>
      <c r="R12" s="14"/>
      <c r="S12" s="340">
        <v>9</v>
      </c>
      <c r="T12" s="291" t="str">
        <f>'Master Calculator'!Q11</f>
        <v>A</v>
      </c>
      <c r="U12" s="265" t="str">
        <f ca="1">'Master Calculator'!R11</f>
        <v>A</v>
      </c>
      <c r="V12" s="14"/>
      <c r="W12" s="14"/>
      <c r="X12" s="14"/>
      <c r="Y12" s="14"/>
      <c r="Z12" s="14"/>
      <c r="AA12" s="14"/>
      <c r="BG12" s="15" t="s">
        <v>50</v>
      </c>
      <c r="BH12" s="306">
        <v>2</v>
      </c>
    </row>
    <row r="13" spans="1:60" x14ac:dyDescent="0.3">
      <c r="A13" s="36"/>
      <c r="B13" s="13"/>
      <c r="C13" s="23">
        <f t="shared" ref="C13:L13" si="1">IFERROR(VLOOKUP(C12,$BG:$BH,2,0),0)</f>
        <v>2</v>
      </c>
      <c r="D13" s="23">
        <f t="shared" si="1"/>
        <v>2</v>
      </c>
      <c r="E13" s="23">
        <f t="shared" si="1"/>
        <v>8</v>
      </c>
      <c r="F13" s="23">
        <f t="shared" si="1"/>
        <v>1</v>
      </c>
      <c r="G13" s="23">
        <f t="shared" si="1"/>
        <v>7</v>
      </c>
      <c r="H13" s="23">
        <f t="shared" si="1"/>
        <v>1</v>
      </c>
      <c r="I13" s="23">
        <f t="shared" si="1"/>
        <v>2</v>
      </c>
      <c r="J13" s="23">
        <f t="shared" si="1"/>
        <v>0</v>
      </c>
      <c r="K13" s="23">
        <f t="shared" si="1"/>
        <v>0</v>
      </c>
      <c r="L13" s="23">
        <f t="shared" si="1"/>
        <v>0</v>
      </c>
      <c r="M13" s="66" t="s">
        <v>87</v>
      </c>
      <c r="N13" s="48">
        <f>SUM(C13:L13)</f>
        <v>23</v>
      </c>
      <c r="O13" s="200">
        <f>MOD(N13-1,9)+1</f>
        <v>5</v>
      </c>
      <c r="P13" s="19"/>
      <c r="R13" s="14"/>
      <c r="S13" s="14"/>
      <c r="T13" s="14"/>
      <c r="U13" s="14"/>
      <c r="V13" s="14"/>
      <c r="W13" s="14"/>
      <c r="X13" s="14"/>
      <c r="Y13" s="14"/>
      <c r="Z13" s="14"/>
      <c r="AA13" s="14"/>
      <c r="BG13" s="15" t="s">
        <v>53</v>
      </c>
      <c r="BH13" s="306">
        <v>3</v>
      </c>
    </row>
    <row r="14" spans="1:60" x14ac:dyDescent="0.3">
      <c r="A14" s="36"/>
      <c r="B14" s="13"/>
      <c r="C14" s="23"/>
      <c r="D14" s="23"/>
      <c r="E14" s="23"/>
      <c r="F14" s="23"/>
      <c r="G14" s="23"/>
      <c r="H14" s="23"/>
      <c r="I14" s="23"/>
      <c r="J14" s="23"/>
      <c r="K14" s="23"/>
      <c r="L14" s="23"/>
      <c r="M14" s="66"/>
      <c r="N14" s="66"/>
      <c r="O14" s="66"/>
      <c r="P14" s="19"/>
      <c r="R14" s="14"/>
      <c r="S14" s="14"/>
      <c r="T14" s="14"/>
      <c r="U14" s="14"/>
      <c r="V14" s="14"/>
      <c r="W14" s="14"/>
      <c r="X14" s="14"/>
      <c r="Y14" s="14"/>
      <c r="Z14" s="14"/>
      <c r="AA14" s="14"/>
      <c r="BG14" s="15" t="s">
        <v>47</v>
      </c>
      <c r="BH14" s="306">
        <v>4</v>
      </c>
    </row>
    <row r="15" spans="1:60" x14ac:dyDescent="0.3">
      <c r="A15" s="36"/>
      <c r="B15" s="13"/>
      <c r="C15" s="17"/>
      <c r="D15" s="17"/>
      <c r="E15" s="17"/>
      <c r="F15" s="17"/>
      <c r="G15" s="23"/>
      <c r="H15" s="23"/>
      <c r="I15" s="17"/>
      <c r="J15" s="17"/>
      <c r="K15" s="17"/>
      <c r="L15" s="17"/>
      <c r="M15" s="66"/>
      <c r="N15" s="66"/>
      <c r="O15" s="66"/>
      <c r="P15" s="19"/>
      <c r="R15" s="14"/>
      <c r="S15" s="14"/>
      <c r="T15" s="14"/>
      <c r="U15" s="14"/>
      <c r="V15" s="14"/>
      <c r="W15" s="14"/>
      <c r="X15" s="14"/>
      <c r="Y15" s="14"/>
      <c r="Z15" s="14"/>
      <c r="AA15" s="14"/>
      <c r="BG15" s="15" t="s">
        <v>61</v>
      </c>
      <c r="BH15" s="306">
        <v>5</v>
      </c>
    </row>
    <row r="16" spans="1:60" x14ac:dyDescent="0.3">
      <c r="A16" s="201" t="s">
        <v>92</v>
      </c>
      <c r="B16" s="27" t="s">
        <v>294</v>
      </c>
      <c r="C16" s="28" t="str">
        <f>MID($B16,COLUMNS($B$9:B$9),1)</f>
        <v>b</v>
      </c>
      <c r="D16" s="28" t="str">
        <f>MID($B16,COLUMNS($B$9:C$9),1)</f>
        <v xml:space="preserve"> </v>
      </c>
      <c r="E16" s="28" t="str">
        <f>MID($B16,COLUMNS($B$9:D$9),1)</f>
        <v>2</v>
      </c>
      <c r="F16" s="28" t="str">
        <f>MID($B16,COLUMNS($B$9:E$9),1)</f>
        <v>5</v>
      </c>
      <c r="G16" s="28" t="str">
        <f>MID($B16,COLUMNS($B$9:F$9),1)</f>
        <v/>
      </c>
      <c r="H16" s="28" t="str">
        <f>MID($B16,COLUMNS($B$9:G$9),1)</f>
        <v/>
      </c>
      <c r="I16" s="28" t="str">
        <f>MID($B16,COLUMNS($B$9:H$9),1)</f>
        <v/>
      </c>
      <c r="J16" s="28" t="str">
        <f>MID($B16,COLUMNS($B$9:I$9),1)</f>
        <v/>
      </c>
      <c r="K16" s="28" t="str">
        <f>MID($B16,COLUMNS($B$9:J$9),1)</f>
        <v/>
      </c>
      <c r="L16" s="28" t="str">
        <f>MID($B16,COLUMNS($B$9:K$9),1)</f>
        <v/>
      </c>
      <c r="M16" s="23"/>
      <c r="N16" s="13"/>
      <c r="O16" s="13"/>
      <c r="P16" s="19"/>
      <c r="R16" s="14"/>
      <c r="S16" s="14"/>
      <c r="T16" s="14"/>
      <c r="U16" s="14"/>
      <c r="V16" s="14"/>
      <c r="W16" s="14"/>
      <c r="X16" s="14"/>
      <c r="Y16" s="14"/>
      <c r="Z16" s="14"/>
      <c r="AA16" s="14"/>
      <c r="BG16" s="15" t="s">
        <v>52</v>
      </c>
      <c r="BH16" s="306">
        <v>7</v>
      </c>
    </row>
    <row r="17" spans="1:60" x14ac:dyDescent="0.3">
      <c r="A17" s="36"/>
      <c r="B17" s="13"/>
      <c r="C17" s="23">
        <f t="shared" ref="C17" si="2">IFERROR(VLOOKUP(C16,$BG:$BH,2,0),0)</f>
        <v>2</v>
      </c>
      <c r="D17" s="23">
        <f t="shared" ref="D17" si="3">IFERROR(VLOOKUP(D16,$BG:$BH,2,0),0)</f>
        <v>0</v>
      </c>
      <c r="E17" s="23">
        <f t="shared" ref="E17" si="4">IFERROR(VLOOKUP(E16,$BG:$BH,2,0),0)</f>
        <v>2</v>
      </c>
      <c r="F17" s="23">
        <f t="shared" ref="F17" si="5">IFERROR(VLOOKUP(F16,$BG:$BH,2,0),0)</f>
        <v>5</v>
      </c>
      <c r="G17" s="23">
        <f t="shared" ref="G17" si="6">IFERROR(VLOOKUP(G16,$BG:$BH,2,0),0)</f>
        <v>0</v>
      </c>
      <c r="H17" s="23">
        <f t="shared" ref="H17" si="7">IFERROR(VLOOKUP(H16,$BG:$BH,2,0),0)</f>
        <v>0</v>
      </c>
      <c r="I17" s="23">
        <f t="shared" ref="I17" si="8">IFERROR(VLOOKUP(I16,$BG:$BH,2,0),0)</f>
        <v>0</v>
      </c>
      <c r="J17" s="23">
        <f t="shared" ref="J17" si="9">IFERROR(VLOOKUP(J16,$BG:$BH,2,0),0)</f>
        <v>0</v>
      </c>
      <c r="K17" s="23">
        <f t="shared" ref="K17" si="10">IFERROR(VLOOKUP(K16,$BG:$BH,2,0),0)</f>
        <v>0</v>
      </c>
      <c r="L17" s="23">
        <f t="shared" ref="L17" si="11">IFERROR(VLOOKUP(L16,$BG:$BH,2,0),0)</f>
        <v>0</v>
      </c>
      <c r="M17" s="66" t="s">
        <v>87</v>
      </c>
      <c r="N17" s="48">
        <f>SUM(C17:L17)</f>
        <v>9</v>
      </c>
      <c r="O17" s="200">
        <f>MOD(N17-1,9)+1</f>
        <v>9</v>
      </c>
      <c r="P17" s="19"/>
      <c r="R17" s="14"/>
      <c r="S17" s="14"/>
      <c r="T17" s="14"/>
      <c r="U17" s="14"/>
      <c r="V17" s="14"/>
      <c r="W17" s="14"/>
      <c r="X17" s="14"/>
      <c r="Y17" s="14"/>
      <c r="Z17" s="14"/>
      <c r="AA17" s="14"/>
      <c r="BG17" s="15" t="s">
        <v>58</v>
      </c>
      <c r="BH17" s="306">
        <v>8</v>
      </c>
    </row>
    <row r="18" spans="1:60" ht="15" thickBot="1" x14ac:dyDescent="0.35">
      <c r="A18" s="49"/>
      <c r="B18" s="50"/>
      <c r="C18" s="50"/>
      <c r="D18" s="50"/>
      <c r="E18" s="50"/>
      <c r="F18" s="50"/>
      <c r="G18" s="50"/>
      <c r="H18" s="50"/>
      <c r="I18" s="50"/>
      <c r="J18" s="50"/>
      <c r="K18" s="50"/>
      <c r="L18" s="50"/>
      <c r="M18" s="50"/>
      <c r="N18" s="50"/>
      <c r="O18" s="50"/>
      <c r="P18" s="64"/>
      <c r="R18" s="14"/>
      <c r="S18" s="14"/>
      <c r="T18" s="14"/>
      <c r="U18" s="14"/>
      <c r="V18" s="14"/>
      <c r="W18" s="14"/>
      <c r="X18" s="14"/>
      <c r="Y18" s="14"/>
      <c r="Z18" s="14"/>
      <c r="AA18" s="14"/>
      <c r="BG18" s="15" t="s">
        <v>63</v>
      </c>
      <c r="BH18" s="306">
        <v>1</v>
      </c>
    </row>
    <row r="19" spans="1:60" x14ac:dyDescent="0.3">
      <c r="BG19" s="15" t="s">
        <v>59</v>
      </c>
      <c r="BH19" s="306">
        <v>2</v>
      </c>
    </row>
    <row r="20" spans="1:60" x14ac:dyDescent="0.3">
      <c r="BG20" s="15" t="s">
        <v>64</v>
      </c>
      <c r="BH20" s="306">
        <v>3</v>
      </c>
    </row>
    <row r="21" spans="1:60" x14ac:dyDescent="0.3">
      <c r="A21" s="168"/>
      <c r="B21" s="17"/>
      <c r="C21" s="17"/>
      <c r="D21" s="17"/>
      <c r="E21" s="17"/>
      <c r="F21" s="17"/>
      <c r="G21" s="23"/>
      <c r="H21" s="13"/>
      <c r="I21" s="13"/>
      <c r="J21" s="13"/>
      <c r="K21" s="13"/>
      <c r="L21" s="13"/>
      <c r="M21" s="13"/>
      <c r="N21" s="13"/>
      <c r="O21" s="13"/>
      <c r="P21" s="13"/>
      <c r="Q21" s="13"/>
      <c r="R21" s="14"/>
      <c r="S21" s="14"/>
      <c r="T21" s="14"/>
      <c r="U21" s="14"/>
      <c r="V21" s="14"/>
      <c r="W21" s="14"/>
      <c r="X21" s="14"/>
      <c r="Y21" s="14"/>
      <c r="Z21" s="14"/>
      <c r="AA21" s="14"/>
      <c r="AB21" s="14"/>
      <c r="AC21" s="14"/>
      <c r="AD21" s="68"/>
      <c r="AE21" s="14"/>
      <c r="AF21" s="14"/>
      <c r="AG21" s="14"/>
      <c r="AH21" s="14"/>
      <c r="AI21" s="14"/>
      <c r="AJ21" s="14"/>
      <c r="AK21" s="14"/>
      <c r="AL21" s="14"/>
      <c r="BG21" s="15" t="s">
        <v>60</v>
      </c>
      <c r="BH21" s="306">
        <v>4</v>
      </c>
    </row>
    <row r="22" spans="1:60" x14ac:dyDescent="0.3">
      <c r="A22" s="572" t="s">
        <v>189</v>
      </c>
      <c r="B22" s="572"/>
      <c r="C22" s="17"/>
      <c r="D22" s="17"/>
      <c r="E22" s="17"/>
      <c r="F22" s="17"/>
      <c r="G22" s="17"/>
      <c r="H22" s="17"/>
      <c r="I22" s="17"/>
      <c r="J22" s="17"/>
      <c r="K22" s="17"/>
      <c r="L22" s="17"/>
      <c r="M22" s="17"/>
      <c r="N22" s="17"/>
      <c r="O22" s="17"/>
      <c r="P22" s="17"/>
      <c r="Q22" s="17"/>
      <c r="R22" s="14"/>
      <c r="S22" s="14"/>
      <c r="T22" s="14"/>
      <c r="U22" s="15"/>
      <c r="V22" s="15"/>
      <c r="W22" s="15"/>
      <c r="X22" s="15"/>
      <c r="Y22" s="15"/>
      <c r="Z22" s="15"/>
      <c r="AA22" s="15"/>
      <c r="AB22" s="15"/>
      <c r="AC22" s="14"/>
      <c r="AD22" s="68"/>
      <c r="AE22" s="14"/>
      <c r="AF22" s="14"/>
      <c r="AG22" s="14"/>
      <c r="AH22" s="14"/>
      <c r="AI22" s="14"/>
      <c r="AJ22" s="14"/>
      <c r="AK22" s="14"/>
      <c r="AL22" s="14"/>
      <c r="BG22" s="15" t="s">
        <v>51</v>
      </c>
      <c r="BH22" s="306">
        <v>6</v>
      </c>
    </row>
    <row r="23" spans="1:60" x14ac:dyDescent="0.3">
      <c r="A23" s="13" t="s">
        <v>94</v>
      </c>
      <c r="B23" s="71" t="s">
        <v>255</v>
      </c>
      <c r="C23" s="13"/>
      <c r="D23" s="72">
        <f>MasterTables!BU98</f>
        <v>74</v>
      </c>
      <c r="E23" s="200">
        <f>MOD(D23-1,9)+1</f>
        <v>2</v>
      </c>
      <c r="F23" s="13"/>
      <c r="G23" s="13"/>
      <c r="H23" s="13"/>
      <c r="I23" s="13"/>
      <c r="J23" s="13"/>
      <c r="K23" s="13"/>
      <c r="L23" s="13"/>
      <c r="M23" s="13"/>
      <c r="N23" s="13"/>
      <c r="O23" s="13"/>
      <c r="P23" s="13"/>
      <c r="Q23" s="13"/>
      <c r="R23" s="14"/>
      <c r="S23" s="14"/>
      <c r="T23" s="14"/>
      <c r="U23" s="14"/>
      <c r="V23" s="14"/>
      <c r="W23" s="14"/>
      <c r="X23" s="14"/>
      <c r="Y23" s="14"/>
      <c r="Z23" s="14"/>
      <c r="AA23" s="14"/>
      <c r="AB23" s="14"/>
      <c r="AC23" s="14"/>
      <c r="AD23" s="14"/>
      <c r="AE23" s="14"/>
      <c r="AF23" s="14"/>
      <c r="AG23" s="14"/>
      <c r="AH23" s="14"/>
      <c r="AI23" s="68"/>
      <c r="AJ23" s="14"/>
      <c r="AK23" s="14"/>
      <c r="AL23" s="14"/>
      <c r="BG23" s="15" t="s">
        <v>56</v>
      </c>
      <c r="BH23" s="306">
        <v>6</v>
      </c>
    </row>
    <row r="24" spans="1:60" ht="15" thickBot="1" x14ac:dyDescent="0.35">
      <c r="A24" s="13"/>
      <c r="B24" s="13"/>
      <c r="C24" s="23"/>
      <c r="D24" s="18"/>
      <c r="E24" s="13"/>
      <c r="F24" s="13"/>
      <c r="G24" s="13"/>
      <c r="H24" s="23"/>
      <c r="I24" s="23"/>
      <c r="J24" s="23"/>
      <c r="K24" s="23"/>
      <c r="L24" s="23"/>
      <c r="M24" s="23"/>
      <c r="N24" s="23"/>
      <c r="O24" s="23"/>
      <c r="P24" s="23"/>
      <c r="Q24" s="23"/>
      <c r="R24" s="15"/>
      <c r="S24" s="15"/>
      <c r="T24" s="15"/>
      <c r="U24" s="15"/>
      <c r="V24" s="15"/>
      <c r="W24" s="15"/>
      <c r="X24" s="15"/>
      <c r="Y24" s="15"/>
      <c r="Z24" s="15"/>
      <c r="AA24" s="15"/>
      <c r="AB24" s="15"/>
      <c r="AC24" s="15"/>
      <c r="AD24" s="15"/>
      <c r="AE24" s="15"/>
      <c r="AF24" s="15"/>
      <c r="AG24" s="15"/>
      <c r="AH24" s="15"/>
      <c r="AI24" s="451"/>
      <c r="AJ24" s="451"/>
      <c r="AK24" s="451"/>
      <c r="AL24" s="451"/>
      <c r="BG24" s="15" t="s">
        <v>62</v>
      </c>
      <c r="BH24" s="306">
        <v>6</v>
      </c>
    </row>
    <row r="25" spans="1:60" x14ac:dyDescent="0.3">
      <c r="A25" s="13"/>
      <c r="B25" s="13"/>
      <c r="C25" s="13"/>
      <c r="D25" s="381" t="s">
        <v>18</v>
      </c>
      <c r="E25" s="310">
        <f>'Master Calculator'!C6</f>
        <v>2</v>
      </c>
      <c r="F25" s="631" t="str">
        <f>IF(E25=E23,"Very Good","Not Good")</f>
        <v>Very Good</v>
      </c>
      <c r="G25" s="631"/>
      <c r="H25" s="632"/>
      <c r="I25" s="13"/>
      <c r="J25" s="13"/>
      <c r="K25" s="13"/>
      <c r="L25" s="13"/>
      <c r="M25" s="13"/>
      <c r="N25" s="13"/>
      <c r="O25" s="13"/>
      <c r="P25" s="13"/>
      <c r="Q25" s="13"/>
      <c r="R25" s="14"/>
      <c r="S25" s="14"/>
      <c r="T25" s="14"/>
      <c r="U25" s="14"/>
      <c r="V25" s="14"/>
      <c r="W25" s="14"/>
      <c r="X25" s="14"/>
      <c r="Y25" s="14"/>
      <c r="Z25" s="14"/>
      <c r="AA25" s="14"/>
      <c r="AB25" s="14"/>
      <c r="AC25" s="14"/>
      <c r="AD25" s="68"/>
      <c r="AE25" s="14"/>
      <c r="AF25" s="14"/>
      <c r="AG25" s="14"/>
      <c r="AH25" s="14"/>
      <c r="AI25" s="451"/>
      <c r="AJ25" s="451"/>
      <c r="AK25" s="451"/>
      <c r="AL25" s="451"/>
      <c r="BG25" s="15" t="s">
        <v>23</v>
      </c>
      <c r="BH25" s="306">
        <v>5</v>
      </c>
    </row>
    <row r="26" spans="1:60" ht="15" thickBot="1" x14ac:dyDescent="0.35">
      <c r="A26" s="13"/>
      <c r="B26" s="13"/>
      <c r="C26" s="13"/>
      <c r="D26" s="382" t="s">
        <v>25</v>
      </c>
      <c r="E26" s="380">
        <f ca="1">'Master Calculator'!C7</f>
        <v>2</v>
      </c>
      <c r="F26" s="629" t="str">
        <f ca="1">IF(E26=E23,"Very Good","Not Good")</f>
        <v>Very Good</v>
      </c>
      <c r="G26" s="629"/>
      <c r="H26" s="630"/>
      <c r="I26" s="13"/>
      <c r="J26" s="13"/>
      <c r="K26" s="13"/>
      <c r="L26" s="13"/>
      <c r="M26" s="13"/>
      <c r="N26" s="13"/>
      <c r="O26" s="13"/>
      <c r="P26" s="13"/>
      <c r="Q26" s="13"/>
      <c r="R26" s="14"/>
      <c r="S26" s="14"/>
      <c r="T26" s="14"/>
      <c r="U26" s="14"/>
      <c r="V26" s="14"/>
      <c r="W26" s="14"/>
      <c r="X26" s="14"/>
      <c r="Y26" s="14"/>
      <c r="Z26" s="14"/>
      <c r="AA26" s="14"/>
      <c r="AB26" s="14"/>
      <c r="AC26" s="14"/>
      <c r="AD26" s="68"/>
      <c r="AE26" s="14"/>
      <c r="AF26" s="14"/>
      <c r="AG26" s="14"/>
      <c r="AH26" s="14"/>
      <c r="AI26" s="451"/>
      <c r="AJ26" s="451"/>
      <c r="AK26" s="451"/>
      <c r="AL26" s="451"/>
      <c r="BG26" s="15" t="s">
        <v>48</v>
      </c>
      <c r="BH26" s="306">
        <v>1</v>
      </c>
    </row>
    <row r="27" spans="1:60" x14ac:dyDescent="0.3">
      <c r="A27" s="13"/>
      <c r="B27" s="13"/>
      <c r="C27" s="13"/>
      <c r="D27" s="13"/>
      <c r="E27" s="13"/>
      <c r="F27" s="13"/>
      <c r="G27" s="13"/>
      <c r="H27" s="13"/>
      <c r="I27" s="13"/>
      <c r="J27" s="13"/>
      <c r="K27" s="13"/>
      <c r="L27" s="13"/>
      <c r="M27" s="13"/>
      <c r="N27" s="13"/>
      <c r="O27" s="13"/>
      <c r="P27" s="13"/>
      <c r="Q27" s="13"/>
      <c r="R27" s="14"/>
      <c r="S27" s="14"/>
      <c r="T27" s="14"/>
      <c r="U27" s="14"/>
      <c r="V27" s="14"/>
      <c r="W27" s="14"/>
      <c r="X27" s="14"/>
      <c r="Y27" s="14"/>
      <c r="Z27" s="14"/>
      <c r="AA27" s="14"/>
      <c r="AB27" s="14"/>
      <c r="AC27" s="14"/>
      <c r="AD27" s="68"/>
      <c r="AE27" s="14"/>
      <c r="AF27" s="14"/>
      <c r="AG27" s="14"/>
      <c r="AH27" s="14"/>
      <c r="AI27" s="451"/>
      <c r="AJ27" s="451"/>
      <c r="AK27" s="451"/>
      <c r="AL27" s="451"/>
      <c r="BG27" s="15" t="s">
        <v>57</v>
      </c>
      <c r="BH27" s="306">
        <v>7</v>
      </c>
    </row>
    <row r="28" spans="1:60" x14ac:dyDescent="0.3">
      <c r="A28" s="13"/>
      <c r="B28" s="13"/>
      <c r="C28" s="13"/>
      <c r="D28" s="13"/>
      <c r="E28" s="13"/>
      <c r="F28" s="13"/>
      <c r="G28" s="13"/>
      <c r="H28" s="13"/>
      <c r="I28" s="13"/>
      <c r="J28" s="13"/>
      <c r="K28" s="13"/>
      <c r="L28" s="13"/>
      <c r="M28" s="13"/>
      <c r="N28" s="13"/>
      <c r="O28" s="13"/>
      <c r="P28" s="13"/>
      <c r="Q28" s="13"/>
      <c r="R28" s="14"/>
      <c r="S28" s="14"/>
      <c r="T28" s="14"/>
      <c r="U28" s="14"/>
      <c r="V28" s="14"/>
      <c r="W28" s="14"/>
      <c r="X28" s="14"/>
      <c r="Y28" s="14"/>
      <c r="Z28" s="14"/>
      <c r="AA28" s="14"/>
      <c r="AB28" s="14"/>
      <c r="AC28" s="14"/>
      <c r="AD28" s="68"/>
      <c r="AE28" s="14"/>
      <c r="AF28" s="14"/>
      <c r="AG28" s="14"/>
      <c r="AH28" s="14"/>
      <c r="AI28" s="68"/>
      <c r="AJ28" s="14"/>
      <c r="AK28" s="14"/>
      <c r="AL28" s="14"/>
      <c r="BG28" s="176" t="s">
        <v>173</v>
      </c>
      <c r="BH28" s="306">
        <v>1</v>
      </c>
    </row>
    <row r="29" spans="1:60" x14ac:dyDescent="0.3">
      <c r="A29" s="572" t="s">
        <v>189</v>
      </c>
      <c r="B29" s="572"/>
      <c r="C29" s="17"/>
      <c r="D29" s="17"/>
      <c r="E29" s="17"/>
      <c r="F29" s="17"/>
      <c r="G29" s="17"/>
      <c r="H29" s="17"/>
      <c r="I29" s="17"/>
      <c r="J29" s="17"/>
      <c r="K29" s="17"/>
      <c r="L29" s="17"/>
      <c r="M29" s="17"/>
      <c r="N29" s="17"/>
      <c r="O29" s="17"/>
      <c r="P29" s="17"/>
      <c r="Q29" s="17"/>
      <c r="R29" s="14"/>
      <c r="S29" s="14"/>
      <c r="T29" s="14"/>
      <c r="U29" s="14"/>
      <c r="V29" s="14"/>
      <c r="W29" s="14"/>
      <c r="X29" s="14"/>
      <c r="Y29" s="14"/>
      <c r="Z29" s="14"/>
      <c r="AA29" s="14"/>
      <c r="AB29" s="14"/>
      <c r="AC29" s="14"/>
      <c r="AD29" s="68"/>
      <c r="AE29" s="14"/>
      <c r="AF29" s="14"/>
      <c r="AG29" s="14"/>
      <c r="AH29" s="14"/>
      <c r="AI29" s="24"/>
      <c r="AJ29" s="15"/>
      <c r="AK29" s="14"/>
      <c r="AL29" s="14"/>
      <c r="BG29" s="176" t="s">
        <v>174</v>
      </c>
      <c r="BH29" s="306">
        <v>2</v>
      </c>
    </row>
    <row r="30" spans="1:60" x14ac:dyDescent="0.3">
      <c r="A30" s="13" t="s">
        <v>94</v>
      </c>
      <c r="B30" s="71" t="s">
        <v>208</v>
      </c>
      <c r="C30" s="13"/>
      <c r="D30" s="72">
        <f>MasterTables!BU102</f>
        <v>181</v>
      </c>
      <c r="E30" s="200">
        <f>MOD(D30-1,9)+1</f>
        <v>1</v>
      </c>
      <c r="F30" s="13"/>
      <c r="G30" s="13"/>
      <c r="H30" s="13"/>
      <c r="I30" s="13"/>
      <c r="J30" s="13"/>
      <c r="K30" s="13"/>
      <c r="L30" s="13"/>
      <c r="M30" s="13"/>
      <c r="N30" s="13"/>
      <c r="O30" s="13"/>
      <c r="P30" s="13"/>
      <c r="Q30" s="13"/>
      <c r="R30" s="14"/>
      <c r="S30" s="14"/>
      <c r="T30" s="14"/>
      <c r="U30" s="14"/>
      <c r="V30" s="14"/>
      <c r="W30" s="14"/>
      <c r="X30" s="14"/>
      <c r="Y30" s="14"/>
      <c r="Z30" s="14"/>
      <c r="AA30" s="14"/>
      <c r="AB30" s="14"/>
      <c r="AC30" s="14"/>
      <c r="AD30" s="14"/>
      <c r="AE30" s="14"/>
      <c r="AF30" s="14"/>
      <c r="AG30" s="14"/>
      <c r="AH30" s="14"/>
      <c r="AI30" s="24"/>
      <c r="AJ30" s="15"/>
      <c r="AK30" s="14"/>
      <c r="AL30" s="14"/>
      <c r="BG30" s="176" t="s">
        <v>175</v>
      </c>
      <c r="BH30" s="306">
        <v>3</v>
      </c>
    </row>
    <row r="31" spans="1:60" ht="15" thickBot="1" x14ac:dyDescent="0.35">
      <c r="A31" s="13"/>
      <c r="B31" s="13"/>
      <c r="C31" s="23"/>
      <c r="D31" s="18"/>
      <c r="E31" s="13"/>
      <c r="F31" s="13"/>
      <c r="G31" s="13"/>
      <c r="H31" s="23"/>
      <c r="I31" s="23"/>
      <c r="J31" s="23"/>
      <c r="K31" s="23"/>
      <c r="L31" s="23"/>
      <c r="M31" s="23"/>
      <c r="N31" s="23"/>
      <c r="O31" s="23"/>
      <c r="P31" s="23"/>
      <c r="Q31" s="23"/>
      <c r="R31" s="15"/>
      <c r="S31" s="15"/>
      <c r="T31" s="15"/>
      <c r="U31" s="15"/>
      <c r="V31" s="15"/>
      <c r="W31" s="15"/>
      <c r="X31" s="15"/>
      <c r="Y31" s="15"/>
      <c r="Z31" s="15"/>
      <c r="AA31" s="15"/>
      <c r="AB31" s="15"/>
      <c r="AC31" s="15"/>
      <c r="AD31" s="15"/>
      <c r="AE31" s="15"/>
      <c r="AF31" s="15"/>
      <c r="AG31" s="15"/>
      <c r="AH31" s="15"/>
      <c r="BG31" s="176" t="s">
        <v>176</v>
      </c>
      <c r="BH31" s="306">
        <v>4</v>
      </c>
    </row>
    <row r="32" spans="1:60" x14ac:dyDescent="0.3">
      <c r="A32" s="13"/>
      <c r="B32" s="13"/>
      <c r="C32" s="13"/>
      <c r="D32" s="381" t="s">
        <v>18</v>
      </c>
      <c r="E32" s="310">
        <f>'Master Calculator'!C6</f>
        <v>2</v>
      </c>
      <c r="F32" s="631" t="str">
        <f>IF(E32=E30,"Very Good","Not Good")</f>
        <v>Not Good</v>
      </c>
      <c r="G32" s="631"/>
      <c r="H32" s="632"/>
      <c r="I32" s="13"/>
      <c r="J32" s="13"/>
      <c r="K32" s="13"/>
      <c r="L32" s="13"/>
      <c r="M32" s="13"/>
      <c r="N32" s="13"/>
      <c r="O32" s="13"/>
      <c r="P32" s="13"/>
      <c r="Q32" s="13"/>
      <c r="R32" s="14"/>
      <c r="S32" s="14"/>
      <c r="T32" s="14"/>
      <c r="U32" s="14"/>
      <c r="V32" s="14"/>
      <c r="W32" s="14"/>
      <c r="X32" s="14"/>
      <c r="Y32" s="14"/>
      <c r="Z32" s="14"/>
      <c r="AA32" s="14"/>
      <c r="AB32" s="14"/>
      <c r="AC32" s="14"/>
      <c r="AD32" s="68"/>
      <c r="AE32" s="14"/>
      <c r="AF32" s="14"/>
      <c r="AG32" s="14"/>
      <c r="AH32" s="14"/>
      <c r="BG32" s="176" t="s">
        <v>177</v>
      </c>
      <c r="BH32" s="306">
        <v>5</v>
      </c>
    </row>
    <row r="33" spans="1:60" ht="15" thickBot="1" x14ac:dyDescent="0.35">
      <c r="A33" s="13"/>
      <c r="B33" s="13"/>
      <c r="C33" s="13"/>
      <c r="D33" s="382" t="s">
        <v>25</v>
      </c>
      <c r="E33" s="380">
        <f ca="1">'Master Calculator'!C7</f>
        <v>2</v>
      </c>
      <c r="F33" s="629" t="str">
        <f ca="1">IF(E33=E30,"Very Good","Not Good")</f>
        <v>Not Good</v>
      </c>
      <c r="G33" s="629"/>
      <c r="H33" s="630"/>
      <c r="I33" s="13"/>
      <c r="J33" s="13"/>
      <c r="K33" s="13"/>
      <c r="L33" s="13"/>
      <c r="M33" s="13"/>
      <c r="N33" s="13"/>
      <c r="O33" s="13"/>
      <c r="P33" s="13"/>
      <c r="Q33" s="13"/>
      <c r="R33" s="14"/>
      <c r="S33" s="14"/>
      <c r="T33" s="14"/>
      <c r="U33" s="14"/>
      <c r="V33" s="14"/>
      <c r="W33" s="14"/>
      <c r="X33" s="14"/>
      <c r="Y33" s="14"/>
      <c r="Z33" s="14"/>
      <c r="AA33" s="14"/>
      <c r="AB33" s="14"/>
      <c r="AC33" s="14"/>
      <c r="AD33" s="68"/>
      <c r="AE33" s="14"/>
      <c r="AF33" s="14"/>
      <c r="AG33" s="14"/>
      <c r="AH33" s="14"/>
      <c r="BG33" s="176" t="s">
        <v>178</v>
      </c>
      <c r="BH33" s="306">
        <v>6</v>
      </c>
    </row>
    <row r="34" spans="1:60" x14ac:dyDescent="0.3">
      <c r="A34" s="13"/>
      <c r="B34" s="13"/>
      <c r="C34" s="13"/>
      <c r="D34" s="13"/>
      <c r="E34" s="13"/>
      <c r="F34" s="13"/>
      <c r="G34" s="13"/>
      <c r="H34" s="13"/>
      <c r="I34" s="13"/>
      <c r="J34" s="13"/>
      <c r="K34" s="13"/>
      <c r="L34" s="13"/>
      <c r="M34" s="13"/>
      <c r="N34" s="13"/>
      <c r="O34" s="13"/>
      <c r="P34" s="13"/>
      <c r="Q34" s="13"/>
      <c r="R34" s="14"/>
      <c r="S34" s="14"/>
      <c r="T34" s="14"/>
      <c r="U34" s="14"/>
      <c r="V34" s="14"/>
      <c r="W34" s="14"/>
      <c r="X34" s="14"/>
      <c r="Y34" s="14"/>
      <c r="Z34" s="14"/>
      <c r="AA34" s="14"/>
      <c r="AB34" s="14"/>
      <c r="AC34" s="14"/>
      <c r="AD34" s="68"/>
      <c r="AE34" s="14"/>
      <c r="AF34" s="14"/>
      <c r="AG34" s="14"/>
      <c r="AH34" s="14"/>
      <c r="BG34" s="176" t="s">
        <v>179</v>
      </c>
      <c r="BH34" s="306">
        <v>7</v>
      </c>
    </row>
    <row r="35" spans="1:60" x14ac:dyDescent="0.3">
      <c r="A35" s="13"/>
      <c r="B35" s="13"/>
      <c r="C35" s="13"/>
      <c r="D35" s="13"/>
      <c r="E35" s="13"/>
      <c r="F35" s="13"/>
      <c r="G35" s="13"/>
      <c r="H35" s="13"/>
      <c r="I35" s="13"/>
      <c r="J35" s="13"/>
      <c r="K35" s="13"/>
      <c r="L35" s="13"/>
      <c r="M35" s="13"/>
      <c r="N35" s="13"/>
      <c r="O35" s="13"/>
      <c r="P35" s="13"/>
      <c r="Q35" s="13"/>
      <c r="R35" s="14"/>
      <c r="S35" s="14"/>
      <c r="T35" s="14"/>
      <c r="U35" s="14"/>
      <c r="V35" s="14"/>
      <c r="W35" s="14"/>
      <c r="X35" s="14"/>
      <c r="Y35" s="14"/>
      <c r="Z35" s="14"/>
      <c r="AA35" s="14"/>
      <c r="AB35" s="14"/>
      <c r="AC35" s="14"/>
      <c r="AD35" s="68"/>
      <c r="AE35" s="14"/>
      <c r="AF35" s="14"/>
      <c r="AG35" s="14"/>
      <c r="AH35" s="14"/>
      <c r="AI35" s="14"/>
      <c r="AJ35" s="14"/>
      <c r="AK35" s="14"/>
      <c r="AL35" s="14"/>
      <c r="BG35" s="176" t="s">
        <v>180</v>
      </c>
      <c r="BH35" s="306">
        <v>8</v>
      </c>
    </row>
    <row r="36" spans="1:60" x14ac:dyDescent="0.3">
      <c r="BG36" s="176" t="s">
        <v>181</v>
      </c>
      <c r="BH36" s="306">
        <v>9</v>
      </c>
    </row>
    <row r="37" spans="1:60" x14ac:dyDescent="0.3">
      <c r="BG37" s="176" t="s">
        <v>182</v>
      </c>
      <c r="BH37" s="306">
        <v>0</v>
      </c>
    </row>
  </sheetData>
  <mergeCells count="6">
    <mergeCell ref="F33:H33"/>
    <mergeCell ref="A22:B22"/>
    <mergeCell ref="A29:B29"/>
    <mergeCell ref="F25:H25"/>
    <mergeCell ref="F26:H26"/>
    <mergeCell ref="F32:H32"/>
  </mergeCells>
  <conditionalFormatting sqref="T4:T12">
    <cfRule type="cellIs" dxfId="115" priority="14" operator="equal">
      <formula>"SA"</formula>
    </cfRule>
    <cfRule type="cellIs" dxfId="114" priority="15" operator="equal">
      <formula>"A"</formula>
    </cfRule>
    <cfRule type="cellIs" dxfId="113" priority="16" operator="equal">
      <formula>"E"</formula>
    </cfRule>
    <cfRule type="cellIs" dxfId="112" priority="17" operator="equal">
      <formula>"G"</formula>
    </cfRule>
  </conditionalFormatting>
  <conditionalFormatting sqref="T4:T12">
    <cfRule type="cellIs" dxfId="111" priority="13" operator="equal">
      <formula>"VG"</formula>
    </cfRule>
  </conditionalFormatting>
  <conditionalFormatting sqref="U4">
    <cfRule type="cellIs" dxfId="110" priority="9" operator="equal">
      <formula>"SA"</formula>
    </cfRule>
    <cfRule type="cellIs" dxfId="109" priority="10" operator="equal">
      <formula>"A"</formula>
    </cfRule>
    <cfRule type="cellIs" dxfId="108" priority="11" operator="equal">
      <formula>"E"</formula>
    </cfRule>
    <cfRule type="cellIs" dxfId="107" priority="12" operator="equal">
      <formula>"G"</formula>
    </cfRule>
  </conditionalFormatting>
  <conditionalFormatting sqref="U4">
    <cfRule type="cellIs" dxfId="106" priority="8" operator="equal">
      <formula>"VG"</formula>
    </cfRule>
  </conditionalFormatting>
  <conditionalFormatting sqref="U5:U12">
    <cfRule type="cellIs" dxfId="105" priority="4" operator="equal">
      <formula>"SA"</formula>
    </cfRule>
    <cfRule type="cellIs" dxfId="104" priority="5" operator="equal">
      <formula>"A"</formula>
    </cfRule>
    <cfRule type="cellIs" dxfId="103" priority="6" operator="equal">
      <formula>"E"</formula>
    </cfRule>
    <cfRule type="cellIs" dxfId="102" priority="7" operator="equal">
      <formula>"G"</formula>
    </cfRule>
  </conditionalFormatting>
  <conditionalFormatting sqref="U5:U12">
    <cfRule type="cellIs" dxfId="101" priority="3" operator="equal">
      <formula>"VG"</formula>
    </cfRule>
  </conditionalFormatting>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tint="0.39997558519241921"/>
  </sheetPr>
  <dimension ref="A1:CE367"/>
  <sheetViews>
    <sheetView topLeftCell="BW327" zoomScale="86" workbookViewId="0">
      <selection activeCell="CI350" sqref="CI350"/>
    </sheetView>
  </sheetViews>
  <sheetFormatPr defaultColWidth="9.21875" defaultRowHeight="14.4" x14ac:dyDescent="0.3"/>
  <cols>
    <col min="1" max="1" width="14.21875" style="13" bestFit="1" customWidth="1"/>
    <col min="2" max="2" width="14" style="13" customWidth="1"/>
    <col min="3" max="3" width="16.77734375" style="13" bestFit="1" customWidth="1"/>
    <col min="4" max="4" width="5.77734375" style="13" bestFit="1" customWidth="1"/>
    <col min="5" max="5" width="3.44140625" style="13" bestFit="1" customWidth="1"/>
    <col min="6" max="7" width="5.77734375" style="13" bestFit="1" customWidth="1"/>
    <col min="8" max="8" width="2.77734375" style="13" customWidth="1"/>
    <col min="9" max="9" width="5.77734375" style="13" bestFit="1" customWidth="1"/>
    <col min="10" max="10" width="3.44140625" style="13" bestFit="1" customWidth="1"/>
    <col min="11" max="15" width="2" style="13" bestFit="1" customWidth="1"/>
    <col min="16" max="16" width="4.21875" style="13" customWidth="1"/>
    <col min="17" max="17" width="9" style="13" customWidth="1"/>
    <col min="18" max="18" width="3.21875" style="216" customWidth="1"/>
    <col min="19" max="19" width="3.21875" style="216" bestFit="1" customWidth="1"/>
    <col min="20" max="20" width="2" style="216" customWidth="1"/>
    <col min="21" max="21" width="3.21875" style="216" bestFit="1" customWidth="1"/>
    <col min="22" max="22" width="3.44140625" style="216" customWidth="1"/>
    <col min="23" max="23" width="2" style="216" customWidth="1"/>
    <col min="24" max="24" width="3.21875" style="216" bestFit="1" customWidth="1"/>
    <col min="25" max="25" width="4.21875" style="216" customWidth="1"/>
    <col min="26" max="26" width="1.77734375" style="216" customWidth="1"/>
    <col min="27" max="28" width="3.21875" style="216" bestFit="1" customWidth="1"/>
    <col min="29" max="29" width="1.77734375" style="216" customWidth="1"/>
    <col min="30" max="31" width="3.21875" style="216" bestFit="1" customWidth="1"/>
    <col min="32" max="32" width="1.21875" style="216" customWidth="1"/>
    <col min="33" max="34" width="3.21875" style="216" bestFit="1" customWidth="1"/>
    <col min="35" max="35" width="1.77734375" style="216" customWidth="1"/>
    <col min="36" max="37" width="3.21875" style="216" bestFit="1" customWidth="1"/>
    <col min="38" max="38" width="1.77734375" style="216" customWidth="1"/>
    <col min="39" max="40" width="3.21875" style="216" bestFit="1" customWidth="1"/>
    <col min="41" max="41" width="1.21875" style="216" customWidth="1"/>
    <col min="42" max="42" width="3.44140625" style="216" bestFit="1" customWidth="1"/>
    <col min="43" max="43" width="4.21875" style="216" customWidth="1"/>
    <col min="44" max="44" width="1.44140625" style="216" customWidth="1"/>
    <col min="45" max="45" width="3.44140625" style="216" bestFit="1" customWidth="1"/>
    <col min="46" max="46" width="3.21875" style="216" bestFit="1" customWidth="1"/>
    <col min="47" max="47" width="1.44140625" style="216" customWidth="1"/>
    <col min="48" max="48" width="3.44140625" style="216" bestFit="1" customWidth="1"/>
    <col min="49" max="49" width="4.21875" style="216" customWidth="1"/>
    <col min="50" max="50" width="1.21875" style="216" customWidth="1"/>
    <col min="51" max="51" width="3.44140625" style="216" bestFit="1" customWidth="1"/>
    <col min="52" max="52" width="3.77734375" style="216" customWidth="1"/>
    <col min="53" max="78" width="9.21875" style="13"/>
    <col min="79" max="80" width="8.21875" style="46" bestFit="1" customWidth="1"/>
    <col min="81" max="81" width="11.21875" style="46" bestFit="1" customWidth="1"/>
    <col min="82" max="82" width="8.77734375" style="46" bestFit="1" customWidth="1"/>
    <col min="83" max="83" width="16.77734375" style="46" bestFit="1" customWidth="1"/>
    <col min="84" max="16384" width="9.21875" style="13"/>
  </cols>
  <sheetData>
    <row r="1" spans="1:83" ht="15" thickBot="1" x14ac:dyDescent="0.35">
      <c r="R1" s="633" t="s">
        <v>156</v>
      </c>
      <c r="S1" s="634"/>
      <c r="T1" s="202"/>
      <c r="U1" s="633" t="s">
        <v>157</v>
      </c>
      <c r="V1" s="634"/>
      <c r="W1" s="202"/>
      <c r="X1" s="633" t="s">
        <v>158</v>
      </c>
      <c r="Y1" s="634"/>
      <c r="Z1" s="202"/>
      <c r="AA1" s="633" t="s">
        <v>159</v>
      </c>
      <c r="AB1" s="634"/>
      <c r="AC1" s="202"/>
      <c r="AD1" s="633" t="s">
        <v>160</v>
      </c>
      <c r="AE1" s="634"/>
      <c r="AF1" s="202"/>
      <c r="AG1" s="633" t="s">
        <v>161</v>
      </c>
      <c r="AH1" s="634"/>
      <c r="AI1" s="202"/>
      <c r="AJ1" s="633" t="s">
        <v>162</v>
      </c>
      <c r="AK1" s="634"/>
      <c r="AL1" s="202"/>
      <c r="AM1" s="633" t="s">
        <v>163</v>
      </c>
      <c r="AN1" s="634"/>
      <c r="AO1" s="202"/>
      <c r="AP1" s="633" t="s">
        <v>164</v>
      </c>
      <c r="AQ1" s="634"/>
      <c r="AR1" s="202"/>
      <c r="AS1" s="633" t="s">
        <v>165</v>
      </c>
      <c r="AT1" s="634"/>
      <c r="AU1" s="202"/>
      <c r="AV1" s="633" t="s">
        <v>166</v>
      </c>
      <c r="AW1" s="635"/>
      <c r="AX1" s="202"/>
      <c r="AY1" s="633" t="s">
        <v>167</v>
      </c>
      <c r="AZ1" s="634"/>
      <c r="CA1" s="171" t="s">
        <v>125</v>
      </c>
      <c r="CB1" s="171" t="s">
        <v>125</v>
      </c>
      <c r="CC1" s="171" t="s">
        <v>126</v>
      </c>
      <c r="CD1" s="171" t="s">
        <v>128</v>
      </c>
      <c r="CE1" s="171" t="str">
        <f t="shared" ref="CE1:CE64" si="0">CC1&amp;" - "&amp;CD1</f>
        <v>Zodiac - Element</v>
      </c>
    </row>
    <row r="2" spans="1:83" ht="29.4" thickBot="1" x14ac:dyDescent="0.35">
      <c r="B2" s="203"/>
      <c r="C2" s="54"/>
      <c r="D2" s="118" t="s">
        <v>29</v>
      </c>
      <c r="E2" s="118" t="s">
        <v>29</v>
      </c>
      <c r="F2" s="118"/>
      <c r="G2" s="118" t="s">
        <v>47</v>
      </c>
      <c r="H2" s="118" t="s">
        <v>47</v>
      </c>
      <c r="I2" s="118"/>
      <c r="J2" s="118" t="s">
        <v>48</v>
      </c>
      <c r="K2" s="118" t="s">
        <v>48</v>
      </c>
      <c r="L2" s="118" t="s">
        <v>48</v>
      </c>
      <c r="M2" s="118" t="s">
        <v>48</v>
      </c>
      <c r="N2" s="12"/>
      <c r="Q2" s="204" t="s">
        <v>168</v>
      </c>
      <c r="R2" s="205">
        <v>1</v>
      </c>
      <c r="S2" s="206">
        <f>IF(LEN(R2+$F$16)&gt;1,LEFT(R2+$F$16,1)+RIGHT(R2+$F$16,1),R2+$F$16)</f>
        <v>5</v>
      </c>
      <c r="T2" s="207"/>
      <c r="U2" s="205">
        <v>2</v>
      </c>
      <c r="V2" s="206">
        <f>IF(LEN(U2+$F$16)&gt;1,LEFT(U2+$F$16,1)+RIGHT(U2+$F$16,1),U2+$F$16)</f>
        <v>6</v>
      </c>
      <c r="W2" s="208"/>
      <c r="X2" s="205">
        <v>3</v>
      </c>
      <c r="Y2" s="206">
        <f>IF(LEN(X2+$F$16)&gt;1,LEFT(X2+$F$16,1)+RIGHT(X2+$F$16,1),X2+$F$16)</f>
        <v>7</v>
      </c>
      <c r="Z2" s="207"/>
      <c r="AA2" s="205">
        <v>4</v>
      </c>
      <c r="AB2" s="206">
        <f>IF(LEN(AA2+$F$16)&gt;1,LEFT(AA2+$F$16,1)+RIGHT(AA2+$F$16,1),AA2+$F$16)</f>
        <v>8</v>
      </c>
      <c r="AC2" s="208"/>
      <c r="AD2" s="205">
        <v>5</v>
      </c>
      <c r="AE2" s="206">
        <f>IF(LEN(AD2+$F$16)&gt;1,LEFT(AD2+$F$16,1)+RIGHT(AD2+$F$16,1),AD2+$F$16)</f>
        <v>9</v>
      </c>
      <c r="AF2" s="207"/>
      <c r="AG2" s="205">
        <v>6</v>
      </c>
      <c r="AH2" s="206">
        <f>IF(LEN(AG2+$F$16)&gt;1,LEFT(AG2+$F$16,1)+RIGHT(AG2+$F$16,1),AG2+$F$16)</f>
        <v>1</v>
      </c>
      <c r="AI2" s="208"/>
      <c r="AJ2" s="205">
        <v>7</v>
      </c>
      <c r="AK2" s="206">
        <f>IF(LEN(AJ2+$F$16)&gt;1,LEFT(AJ2+$F$16,1)+RIGHT(AJ2+$F$16,1),AJ2+$F$16)</f>
        <v>2</v>
      </c>
      <c r="AL2" s="208"/>
      <c r="AM2" s="205">
        <v>8</v>
      </c>
      <c r="AN2" s="206">
        <f>IF(LEN(AM2+$F$16)&gt;1,LEFT(AM2+$F$16,1)+RIGHT(AM2+$F$16,1),AM2+$F$16)</f>
        <v>3</v>
      </c>
      <c r="AO2" s="207"/>
      <c r="AP2" s="205">
        <v>9</v>
      </c>
      <c r="AQ2" s="206">
        <f>IF(LEN(AP2+$F$16)&gt;1,LEFT(AP2+$F$16,1)+RIGHT(AP2+$F$16,1),AP2+$F$16)</f>
        <v>4</v>
      </c>
      <c r="AR2" s="208"/>
      <c r="AS2" s="205">
        <v>1</v>
      </c>
      <c r="AT2" s="206">
        <f>IF(LEN(AS2+$F$16)&gt;1,LEFT(AS2+$F$16,1)+RIGHT(AS2+$F$16,1),AS2+$F$16)</f>
        <v>5</v>
      </c>
      <c r="AU2" s="208"/>
      <c r="AV2" s="205">
        <v>2</v>
      </c>
      <c r="AW2" s="206">
        <f>IF(LEN(AV2+$F$16)&gt;1,LEFT(AV2+$F$16,1)+RIGHT(AV2+$F$16,1),AV2+$F$16)</f>
        <v>6</v>
      </c>
      <c r="AX2" s="208"/>
      <c r="AY2" s="205">
        <v>3</v>
      </c>
      <c r="AZ2" s="206">
        <f>IF(LEN(AY2+$F$16)&gt;1,LEFT(AY2+$F$16,1)+RIGHT(AY2+$F$16,1),AY2+$F$16)</f>
        <v>7</v>
      </c>
      <c r="CA2" s="376">
        <v>43831</v>
      </c>
      <c r="CB2" s="46" t="str">
        <f>TEXT(CA2,"DD-MMM")</f>
        <v>01-Jan</v>
      </c>
      <c r="CC2" s="46" t="s">
        <v>113</v>
      </c>
      <c r="CD2" s="46" t="s">
        <v>130</v>
      </c>
      <c r="CE2" s="46" t="str">
        <f t="shared" si="0"/>
        <v>Capricorn - Earth</v>
      </c>
    </row>
    <row r="3" spans="1:83" ht="29.4" thickBot="1" x14ac:dyDescent="0.35">
      <c r="B3" s="44" t="s">
        <v>108</v>
      </c>
      <c r="C3" s="375">
        <v>24163</v>
      </c>
      <c r="D3" s="23" t="str">
        <f>MID(B5,1,1)</f>
        <v>2</v>
      </c>
      <c r="E3" s="23" t="str">
        <f>MID(B5,2,1)</f>
        <v>5</v>
      </c>
      <c r="F3" s="23"/>
      <c r="G3" s="23" t="str">
        <f>MID(B5,4,1)</f>
        <v>0</v>
      </c>
      <c r="H3" s="23" t="str">
        <f>MID(B5,5,1)</f>
        <v>2</v>
      </c>
      <c r="I3" s="23"/>
      <c r="J3" s="23" t="str">
        <f>MID(B5,7,1)</f>
        <v>1</v>
      </c>
      <c r="K3" s="17" t="str">
        <f>MID(B5,8,1)</f>
        <v>9</v>
      </c>
      <c r="L3" s="17" t="str">
        <f>MID(B5,9,1)</f>
        <v>6</v>
      </c>
      <c r="M3" s="17" t="str">
        <f>MID(B5,10,1)</f>
        <v>6</v>
      </c>
      <c r="N3" s="19"/>
      <c r="Q3" s="209" t="s">
        <v>169</v>
      </c>
      <c r="R3" s="210">
        <v>1</v>
      </c>
      <c r="S3" s="211">
        <f t="shared" ref="S3:S33" si="1">MOD((IF(LEN(R3+$S$2)&gt;1,LEFT(R3+$S$2,1)+RIGHT(R3+$S$2,1),R3+$S$2))-1,9)+1</f>
        <v>6</v>
      </c>
      <c r="T3" s="212"/>
      <c r="U3" s="210">
        <v>1</v>
      </c>
      <c r="V3" s="215">
        <f t="shared" ref="V3:V31" si="2">MOD((IF(LEN(U3+$V$2)&gt;1,LEFT(U3+$V$2,1)+RIGHT(U3+$V$2,1),U3+$V$2))-1,9)+1</f>
        <v>7</v>
      </c>
      <c r="W3" s="212"/>
      <c r="X3" s="210">
        <v>1</v>
      </c>
      <c r="Y3" s="211">
        <f>MOD((IF(LEN(X3+$Y$2)&gt;1,LEFT(X3+$Y$2,1)+RIGHT(X3+$Y$2,1),X3+$Y$2))-1,9)+1</f>
        <v>8</v>
      </c>
      <c r="Z3" s="212"/>
      <c r="AA3" s="210">
        <v>1</v>
      </c>
      <c r="AB3" s="211">
        <f>MOD((IF(LEN(AA3+$AB$2)&gt;1,LEFT(AA3+$AB$2,1)+RIGHT(AA3+$AB$2,1),AA3+$AB$2))-1,9)+1</f>
        <v>9</v>
      </c>
      <c r="AC3" s="212"/>
      <c r="AD3" s="210">
        <v>1</v>
      </c>
      <c r="AE3" s="211">
        <f>MOD((IF(LEN(AD3+$AE$2)&gt;1,LEFT(AD3+$AE$2,1)+RIGHT(AD3+$AE$2,1),AD3+$AE$2))-1,9)+1</f>
        <v>1</v>
      </c>
      <c r="AF3" s="212"/>
      <c r="AG3" s="210">
        <v>1</v>
      </c>
      <c r="AH3" s="211">
        <f>MOD((IF(LEN(AG3+$AH$2)&gt;1,LEFT(AG3+$AH$2,1)+RIGHT(AG3+$AH$2,1),AG3+$AH$2))-1,9)+1</f>
        <v>2</v>
      </c>
      <c r="AI3" s="212"/>
      <c r="AJ3" s="210">
        <v>1</v>
      </c>
      <c r="AK3" s="211">
        <f>MOD((IF(LEN(AJ3+$AK$2)&gt;1,LEFT(AJ3+$AK$2,1)+RIGHT(AJ3+$AK$2,1),AJ3+$AK$2))-1,9)+1</f>
        <v>3</v>
      </c>
      <c r="AL3" s="212"/>
      <c r="AM3" s="210">
        <v>1</v>
      </c>
      <c r="AN3" s="211">
        <f>MOD((IF(LEN(AM3+$AN$2)&gt;1,LEFT(AM3+$AN$2,1)+RIGHT(AM3+$AN$2,1),AM3+$AN$2))-1,9)+1</f>
        <v>4</v>
      </c>
      <c r="AO3" s="212"/>
      <c r="AP3" s="210">
        <v>1</v>
      </c>
      <c r="AQ3" s="211">
        <f>MOD((IF(LEN(AP3+$AQ$2)&gt;1,LEFT(AP3+$AQ$2,1)+RIGHT(AP3+$AQ$2,1),AP3+$AQ$2))-1,9)+1</f>
        <v>5</v>
      </c>
      <c r="AR3" s="212"/>
      <c r="AS3" s="210">
        <v>1</v>
      </c>
      <c r="AT3" s="211">
        <f>MOD((IF(LEN(AS3+$AT$2)&gt;1,LEFT(AS3+$AT$2,1)+RIGHT(AS3+$AT$2,1),AS3+$AT$2))-1,9)+1</f>
        <v>6</v>
      </c>
      <c r="AU3" s="212"/>
      <c r="AV3" s="210">
        <v>1</v>
      </c>
      <c r="AW3" s="211">
        <f>MOD((IF(LEN(AV3+$AW$2)&gt;1,LEFT(AV3+$AW$2,1)+RIGHT(AV3+$AW$2,1),AV3+$AW$2))-1,9)+1</f>
        <v>7</v>
      </c>
      <c r="AX3" s="212"/>
      <c r="AY3" s="210">
        <v>1</v>
      </c>
      <c r="AZ3" s="211">
        <f>MOD((IF(LEN(AY3+$AZ$2)&gt;1,LEFT(AY3+$AZ$2,1)+RIGHT(AY3+$AZ$2,1),AY3+$AZ$2))-1,9)+1</f>
        <v>8</v>
      </c>
      <c r="CA3" s="376">
        <v>43832</v>
      </c>
      <c r="CB3" s="46" t="str">
        <f t="shared" ref="CB3:CB66" si="3">TEXT(CA3,"DD-MMM")</f>
        <v>02-Jan</v>
      </c>
      <c r="CC3" s="46" t="s">
        <v>113</v>
      </c>
      <c r="CD3" s="46" t="s">
        <v>130</v>
      </c>
      <c r="CE3" s="46" t="str">
        <f t="shared" si="0"/>
        <v>Capricorn - Earth</v>
      </c>
    </row>
    <row r="4" spans="1:83" ht="15" thickBot="1" x14ac:dyDescent="0.35">
      <c r="B4" s="213" t="str">
        <f>TEXT(C3,("DD-MMM"))</f>
        <v>25-Feb</v>
      </c>
      <c r="J4" s="46" t="str">
        <f>J3&amp;K3&amp;L3&amp;M3</f>
        <v>1966</v>
      </c>
      <c r="K4" s="46"/>
      <c r="L4" s="46"/>
      <c r="M4" s="171">
        <f ca="1">SUMPRODUCT(1*MID(J4,ROW(INDIRECT("1:"&amp;LEN(J4))),1))</f>
        <v>22</v>
      </c>
      <c r="N4" s="19"/>
      <c r="R4" s="214">
        <v>2</v>
      </c>
      <c r="S4" s="215">
        <f t="shared" si="1"/>
        <v>7</v>
      </c>
      <c r="U4" s="214">
        <v>2</v>
      </c>
      <c r="V4" s="215">
        <f t="shared" si="2"/>
        <v>8</v>
      </c>
      <c r="X4" s="214">
        <v>2</v>
      </c>
      <c r="Y4" s="215">
        <f t="shared" ref="Y4:Y33" si="4">MOD((IF(LEN(X4+$Y$2)&gt;1,LEFT(X4+$Y$2,1)+RIGHT(X4+$Y$2,1),X4+$Y$2))-1,9)+1</f>
        <v>9</v>
      </c>
      <c r="AA4" s="214">
        <v>2</v>
      </c>
      <c r="AB4" s="215">
        <f t="shared" ref="AB4:AB32" si="5">MOD((IF(LEN(AA4+$AB$2)&gt;1,LEFT(AA4+$AB$2,1)+RIGHT(AA4+$AB$2,1),AA4+$AB$2))-1,9)+1</f>
        <v>1</v>
      </c>
      <c r="AD4" s="214">
        <v>2</v>
      </c>
      <c r="AE4" s="215">
        <f t="shared" ref="AE4:AE33" si="6">MOD((IF(LEN(AD4+$AE$2)&gt;1,LEFT(AD4+$AE$2,1)+RIGHT(AD4+$AE$2,1),AD4+$AE$2))-1,9)+1</f>
        <v>2</v>
      </c>
      <c r="AG4" s="214">
        <v>2</v>
      </c>
      <c r="AH4" s="215">
        <f t="shared" ref="AH4:AH32" si="7">MOD((IF(LEN(AG4+$AH$2)&gt;1,LEFT(AG4+$AH$2,1)+RIGHT(AG4+$AH$2,1),AG4+$AH$2))-1,9)+1</f>
        <v>3</v>
      </c>
      <c r="AJ4" s="214">
        <v>2</v>
      </c>
      <c r="AK4" s="215">
        <f t="shared" ref="AK4:AK33" si="8">MOD((IF(LEN(AJ4+$AK$2)&gt;1,LEFT(AJ4+$AK$2,1)+RIGHT(AJ4+$AK$2,1),AJ4+$AK$2))-1,9)+1</f>
        <v>4</v>
      </c>
      <c r="AM4" s="214">
        <v>2</v>
      </c>
      <c r="AN4" s="215">
        <f t="shared" ref="AN4:AN33" si="9">MOD((IF(LEN(AM4+$AN$2)&gt;1,LEFT(AM4+$AN$2,1)+RIGHT(AM4+$AN$2,1),AM4+$AN$2))-1,9)+1</f>
        <v>5</v>
      </c>
      <c r="AP4" s="214">
        <v>2</v>
      </c>
      <c r="AQ4" s="215">
        <f t="shared" ref="AQ4:AQ32" si="10">MOD((IF(LEN(AP4+$AQ$2)&gt;1,LEFT(AP4+$AQ$2,1)+RIGHT(AP4+$AQ$2,1),AP4+$AQ$2))-1,9)+1</f>
        <v>6</v>
      </c>
      <c r="AS4" s="214">
        <v>2</v>
      </c>
      <c r="AT4" s="215">
        <f t="shared" ref="AT4:AT33" si="11">MOD((IF(LEN(AS4+$AT$2)&gt;1,LEFT(AS4+$AT$2,1)+RIGHT(AS4+$AT$2,1),AS4+$AT$2))-1,9)+1</f>
        <v>7</v>
      </c>
      <c r="AV4" s="214">
        <v>2</v>
      </c>
      <c r="AW4" s="215">
        <f t="shared" ref="AW4:AW32" si="12">MOD((IF(LEN(AV4+$AW$2)&gt;1,LEFT(AV4+$AW$2,1)+RIGHT(AV4+$AW$2,1),AV4+$AW$2))-1,9)+1</f>
        <v>8</v>
      </c>
      <c r="AY4" s="214">
        <v>2</v>
      </c>
      <c r="AZ4" s="215">
        <f t="shared" ref="AZ4:AZ33" si="13">MOD((IF(LEN(AY4+$AZ$2)&gt;1,LEFT(AY4+$AZ$2,1)+RIGHT(AY4+$AZ$2,1),AY4+$AZ$2))-1,9)+1</f>
        <v>9</v>
      </c>
      <c r="CA4" s="376">
        <v>43833</v>
      </c>
      <c r="CB4" s="46" t="str">
        <f t="shared" si="3"/>
        <v>03-Jan</v>
      </c>
      <c r="CC4" s="46" t="s">
        <v>113</v>
      </c>
      <c r="CD4" s="46" t="s">
        <v>130</v>
      </c>
      <c r="CE4" s="46" t="str">
        <f t="shared" si="0"/>
        <v>Capricorn - Earth</v>
      </c>
    </row>
    <row r="5" spans="1:83" s="18" customFormat="1" ht="33" customHeight="1" thickBot="1" x14ac:dyDescent="0.35">
      <c r="B5" s="217" t="str">
        <f>TEXT(C3,"DD-MM-YYYY")</f>
        <v>25-02-1966</v>
      </c>
      <c r="C5" s="218" t="s">
        <v>127</v>
      </c>
      <c r="D5" s="605" t="s">
        <v>18</v>
      </c>
      <c r="E5" s="605"/>
      <c r="F5" s="35"/>
      <c r="G5" s="605" t="s">
        <v>54</v>
      </c>
      <c r="H5" s="605"/>
      <c r="I5" s="35"/>
      <c r="J5" s="605" t="s">
        <v>55</v>
      </c>
      <c r="K5" s="605"/>
      <c r="L5" s="605"/>
      <c r="M5" s="605"/>
      <c r="N5" s="219"/>
      <c r="R5" s="214">
        <v>3</v>
      </c>
      <c r="S5" s="215">
        <f t="shared" si="1"/>
        <v>8</v>
      </c>
      <c r="T5" s="216"/>
      <c r="U5" s="214">
        <v>3</v>
      </c>
      <c r="V5" s="215">
        <f t="shared" si="2"/>
        <v>9</v>
      </c>
      <c r="W5" s="216"/>
      <c r="X5" s="214">
        <v>3</v>
      </c>
      <c r="Y5" s="215">
        <f t="shared" si="4"/>
        <v>1</v>
      </c>
      <c r="Z5" s="216"/>
      <c r="AA5" s="214">
        <v>3</v>
      </c>
      <c r="AB5" s="215">
        <f t="shared" si="5"/>
        <v>2</v>
      </c>
      <c r="AC5" s="216"/>
      <c r="AD5" s="214">
        <v>3</v>
      </c>
      <c r="AE5" s="215">
        <f t="shared" si="6"/>
        <v>3</v>
      </c>
      <c r="AF5" s="216"/>
      <c r="AG5" s="214">
        <v>3</v>
      </c>
      <c r="AH5" s="215">
        <f t="shared" si="7"/>
        <v>4</v>
      </c>
      <c r="AI5" s="216"/>
      <c r="AJ5" s="214">
        <v>3</v>
      </c>
      <c r="AK5" s="215">
        <f t="shared" si="8"/>
        <v>5</v>
      </c>
      <c r="AL5" s="216"/>
      <c r="AM5" s="214">
        <v>3</v>
      </c>
      <c r="AN5" s="215">
        <f t="shared" si="9"/>
        <v>6</v>
      </c>
      <c r="AO5" s="216"/>
      <c r="AP5" s="214">
        <v>3</v>
      </c>
      <c r="AQ5" s="215">
        <f t="shared" si="10"/>
        <v>7</v>
      </c>
      <c r="AR5" s="216"/>
      <c r="AS5" s="214">
        <v>3</v>
      </c>
      <c r="AT5" s="215">
        <f t="shared" si="11"/>
        <v>8</v>
      </c>
      <c r="AU5" s="216"/>
      <c r="AV5" s="214">
        <v>3</v>
      </c>
      <c r="AW5" s="215">
        <f t="shared" si="12"/>
        <v>9</v>
      </c>
      <c r="AX5" s="216"/>
      <c r="AY5" s="214">
        <v>3</v>
      </c>
      <c r="AZ5" s="215">
        <f t="shared" si="13"/>
        <v>1</v>
      </c>
      <c r="CA5" s="376">
        <v>43834</v>
      </c>
      <c r="CB5" s="46" t="str">
        <f t="shared" si="3"/>
        <v>04-Jan</v>
      </c>
      <c r="CC5" s="46" t="s">
        <v>113</v>
      </c>
      <c r="CD5" s="46" t="s">
        <v>130</v>
      </c>
      <c r="CE5" s="46" t="str">
        <f t="shared" si="0"/>
        <v>Capricorn - Earth</v>
      </c>
    </row>
    <row r="6" spans="1:83" ht="15" thickBot="1" x14ac:dyDescent="0.35">
      <c r="B6" s="44"/>
      <c r="C6" s="220" t="str">
        <f>VLOOKUP(B4,CB:CE,4,0)</f>
        <v>Pisces - Water</v>
      </c>
      <c r="D6" s="583">
        <f>D3+E3</f>
        <v>7</v>
      </c>
      <c r="E6" s="583"/>
      <c r="F6" s="23"/>
      <c r="G6" s="584">
        <f>G3+H3</f>
        <v>2</v>
      </c>
      <c r="H6" s="584"/>
      <c r="I6" s="23"/>
      <c r="J6" s="584">
        <f ca="1">SUMPRODUCT(1*MID(M4,ROW(INDIRECT("1:"&amp;LEN(M4))),1))</f>
        <v>4</v>
      </c>
      <c r="K6" s="584"/>
      <c r="L6" s="584"/>
      <c r="M6" s="584"/>
      <c r="N6" s="19"/>
      <c r="R6" s="214">
        <v>4</v>
      </c>
      <c r="S6" s="215">
        <f t="shared" si="1"/>
        <v>9</v>
      </c>
      <c r="U6" s="214">
        <v>4</v>
      </c>
      <c r="V6" s="215">
        <f t="shared" si="2"/>
        <v>1</v>
      </c>
      <c r="X6" s="214">
        <v>4</v>
      </c>
      <c r="Y6" s="215">
        <f t="shared" si="4"/>
        <v>2</v>
      </c>
      <c r="AA6" s="214">
        <v>4</v>
      </c>
      <c r="AB6" s="215">
        <f t="shared" si="5"/>
        <v>3</v>
      </c>
      <c r="AD6" s="214">
        <v>4</v>
      </c>
      <c r="AE6" s="215">
        <f t="shared" si="6"/>
        <v>4</v>
      </c>
      <c r="AG6" s="214">
        <v>4</v>
      </c>
      <c r="AH6" s="215">
        <f t="shared" si="7"/>
        <v>5</v>
      </c>
      <c r="AJ6" s="214">
        <v>4</v>
      </c>
      <c r="AK6" s="215">
        <f t="shared" si="8"/>
        <v>6</v>
      </c>
      <c r="AM6" s="214">
        <v>4</v>
      </c>
      <c r="AN6" s="215">
        <f t="shared" si="9"/>
        <v>7</v>
      </c>
      <c r="AP6" s="214">
        <v>4</v>
      </c>
      <c r="AQ6" s="215">
        <f t="shared" si="10"/>
        <v>8</v>
      </c>
      <c r="AS6" s="214">
        <v>4</v>
      </c>
      <c r="AT6" s="215">
        <f t="shared" si="11"/>
        <v>9</v>
      </c>
      <c r="AV6" s="214">
        <v>4</v>
      </c>
      <c r="AW6" s="215">
        <f t="shared" si="12"/>
        <v>1</v>
      </c>
      <c r="AY6" s="214">
        <v>4</v>
      </c>
      <c r="AZ6" s="215">
        <f t="shared" si="13"/>
        <v>2</v>
      </c>
      <c r="CA6" s="376">
        <v>43835</v>
      </c>
      <c r="CB6" s="46" t="str">
        <f t="shared" si="3"/>
        <v>05-Jan</v>
      </c>
      <c r="CC6" s="46" t="s">
        <v>113</v>
      </c>
      <c r="CD6" s="46" t="s">
        <v>130</v>
      </c>
      <c r="CE6" s="46" t="str">
        <f t="shared" si="0"/>
        <v>Capricorn - Earth</v>
      </c>
    </row>
    <row r="7" spans="1:83" x14ac:dyDescent="0.3">
      <c r="B7" s="44"/>
      <c r="C7" s="221" t="s">
        <v>18</v>
      </c>
      <c r="D7" s="48">
        <f>IF(LEN(D6)&gt;1,LEFT(D6,1)+RIGHT(D6,1),D6)</f>
        <v>7</v>
      </c>
      <c r="E7" s="23"/>
      <c r="F7" s="23"/>
      <c r="G7" s="48">
        <f>IF(LEN(G6)&gt;1,LEFT(G6,1)+RIGHT(G6,1),G6)</f>
        <v>2</v>
      </c>
      <c r="H7" s="23"/>
      <c r="I7" s="23"/>
      <c r="J7" s="48">
        <f ca="1">SUMPRODUCT(1*MID(J6,ROW(INDIRECT("1:"&amp;LEN(J6))),1))</f>
        <v>4</v>
      </c>
      <c r="K7" s="23"/>
      <c r="L7" s="23"/>
      <c r="M7" s="23"/>
      <c r="N7" s="19"/>
      <c r="R7" s="214">
        <v>5</v>
      </c>
      <c r="S7" s="215">
        <f t="shared" si="1"/>
        <v>1</v>
      </c>
      <c r="U7" s="214">
        <v>5</v>
      </c>
      <c r="V7" s="215">
        <f t="shared" si="2"/>
        <v>2</v>
      </c>
      <c r="X7" s="214">
        <v>5</v>
      </c>
      <c r="Y7" s="215">
        <f t="shared" si="4"/>
        <v>3</v>
      </c>
      <c r="AA7" s="214">
        <v>5</v>
      </c>
      <c r="AB7" s="215">
        <f t="shared" si="5"/>
        <v>4</v>
      </c>
      <c r="AD7" s="214">
        <v>5</v>
      </c>
      <c r="AE7" s="215">
        <f t="shared" si="6"/>
        <v>5</v>
      </c>
      <c r="AG7" s="214">
        <v>5</v>
      </c>
      <c r="AH7" s="215">
        <f t="shared" si="7"/>
        <v>6</v>
      </c>
      <c r="AJ7" s="214">
        <v>5</v>
      </c>
      <c r="AK7" s="215">
        <f t="shared" si="8"/>
        <v>7</v>
      </c>
      <c r="AM7" s="214">
        <v>5</v>
      </c>
      <c r="AN7" s="215">
        <f t="shared" si="9"/>
        <v>8</v>
      </c>
      <c r="AP7" s="214">
        <v>5</v>
      </c>
      <c r="AQ7" s="215">
        <f t="shared" si="10"/>
        <v>9</v>
      </c>
      <c r="AS7" s="214">
        <v>5</v>
      </c>
      <c r="AT7" s="215">
        <f t="shared" si="11"/>
        <v>1</v>
      </c>
      <c r="AV7" s="214">
        <v>5</v>
      </c>
      <c r="AW7" s="215">
        <f t="shared" si="12"/>
        <v>2</v>
      </c>
      <c r="AY7" s="214">
        <v>5</v>
      </c>
      <c r="AZ7" s="215">
        <f t="shared" si="13"/>
        <v>3</v>
      </c>
      <c r="CA7" s="376">
        <v>43836</v>
      </c>
      <c r="CB7" s="46" t="str">
        <f t="shared" si="3"/>
        <v>06-Jan</v>
      </c>
      <c r="CC7" s="46" t="s">
        <v>113</v>
      </c>
      <c r="CD7" s="46" t="s">
        <v>130</v>
      </c>
      <c r="CE7" s="46" t="str">
        <f t="shared" si="0"/>
        <v>Capricorn - Earth</v>
      </c>
    </row>
    <row r="8" spans="1:83" ht="15" thickBot="1" x14ac:dyDescent="0.35">
      <c r="B8" s="179"/>
      <c r="C8" s="222" t="s">
        <v>25</v>
      </c>
      <c r="D8" s="62">
        <f ca="1">MOD((D7+G7+J7)-1,9)+1</f>
        <v>4</v>
      </c>
      <c r="E8" s="38"/>
      <c r="F8" s="38"/>
      <c r="G8" s="38"/>
      <c r="H8" s="38"/>
      <c r="I8" s="38"/>
      <c r="J8" s="38"/>
      <c r="K8" s="38"/>
      <c r="L8" s="38"/>
      <c r="M8" s="38"/>
      <c r="N8" s="64"/>
      <c r="R8" s="214">
        <v>6</v>
      </c>
      <c r="S8" s="215">
        <f t="shared" si="1"/>
        <v>2</v>
      </c>
      <c r="U8" s="214">
        <v>6</v>
      </c>
      <c r="V8" s="215">
        <f t="shared" si="2"/>
        <v>3</v>
      </c>
      <c r="X8" s="214">
        <v>6</v>
      </c>
      <c r="Y8" s="215">
        <f t="shared" si="4"/>
        <v>4</v>
      </c>
      <c r="AA8" s="214">
        <v>6</v>
      </c>
      <c r="AB8" s="215">
        <f t="shared" si="5"/>
        <v>5</v>
      </c>
      <c r="AD8" s="214">
        <v>6</v>
      </c>
      <c r="AE8" s="215">
        <f t="shared" si="6"/>
        <v>6</v>
      </c>
      <c r="AG8" s="214">
        <v>6</v>
      </c>
      <c r="AH8" s="215">
        <f t="shared" si="7"/>
        <v>7</v>
      </c>
      <c r="AJ8" s="214">
        <v>6</v>
      </c>
      <c r="AK8" s="215">
        <f t="shared" si="8"/>
        <v>8</v>
      </c>
      <c r="AM8" s="214">
        <v>6</v>
      </c>
      <c r="AN8" s="215">
        <f t="shared" si="9"/>
        <v>9</v>
      </c>
      <c r="AP8" s="214">
        <v>6</v>
      </c>
      <c r="AQ8" s="215">
        <f t="shared" si="10"/>
        <v>1</v>
      </c>
      <c r="AS8" s="214">
        <v>6</v>
      </c>
      <c r="AT8" s="215">
        <f t="shared" si="11"/>
        <v>2</v>
      </c>
      <c r="AV8" s="214">
        <v>6</v>
      </c>
      <c r="AW8" s="215">
        <f t="shared" si="12"/>
        <v>3</v>
      </c>
      <c r="AY8" s="214">
        <v>6</v>
      </c>
      <c r="AZ8" s="215">
        <f t="shared" si="13"/>
        <v>4</v>
      </c>
      <c r="CA8" s="376">
        <v>43837</v>
      </c>
      <c r="CB8" s="46" t="str">
        <f t="shared" si="3"/>
        <v>07-Jan</v>
      </c>
      <c r="CC8" s="46" t="s">
        <v>113</v>
      </c>
      <c r="CD8" s="46" t="s">
        <v>130</v>
      </c>
      <c r="CE8" s="46" t="str">
        <f t="shared" si="0"/>
        <v>Capricorn - Earth</v>
      </c>
    </row>
    <row r="9" spans="1:83" x14ac:dyDescent="0.3">
      <c r="R9" s="214">
        <v>7</v>
      </c>
      <c r="S9" s="215">
        <f t="shared" si="1"/>
        <v>3</v>
      </c>
      <c r="U9" s="214">
        <v>7</v>
      </c>
      <c r="V9" s="215">
        <f t="shared" si="2"/>
        <v>4</v>
      </c>
      <c r="X9" s="214">
        <v>7</v>
      </c>
      <c r="Y9" s="215">
        <f t="shared" si="4"/>
        <v>5</v>
      </c>
      <c r="AA9" s="214">
        <v>7</v>
      </c>
      <c r="AB9" s="215">
        <f t="shared" si="5"/>
        <v>6</v>
      </c>
      <c r="AD9" s="214">
        <v>7</v>
      </c>
      <c r="AE9" s="215">
        <f t="shared" si="6"/>
        <v>7</v>
      </c>
      <c r="AG9" s="214">
        <v>7</v>
      </c>
      <c r="AH9" s="215">
        <f t="shared" si="7"/>
        <v>8</v>
      </c>
      <c r="AJ9" s="214">
        <v>7</v>
      </c>
      <c r="AK9" s="215">
        <f t="shared" si="8"/>
        <v>9</v>
      </c>
      <c r="AM9" s="214">
        <v>7</v>
      </c>
      <c r="AN9" s="215">
        <f t="shared" si="9"/>
        <v>1</v>
      </c>
      <c r="AP9" s="214">
        <v>7</v>
      </c>
      <c r="AQ9" s="215">
        <f t="shared" si="10"/>
        <v>2</v>
      </c>
      <c r="AS9" s="214">
        <v>7</v>
      </c>
      <c r="AT9" s="215">
        <f t="shared" si="11"/>
        <v>3</v>
      </c>
      <c r="AV9" s="214">
        <v>7</v>
      </c>
      <c r="AW9" s="215">
        <f t="shared" si="12"/>
        <v>4</v>
      </c>
      <c r="AY9" s="214">
        <v>7</v>
      </c>
      <c r="AZ9" s="215">
        <f t="shared" si="13"/>
        <v>5</v>
      </c>
      <c r="CA9" s="376">
        <v>43838</v>
      </c>
      <c r="CB9" s="46" t="str">
        <f t="shared" si="3"/>
        <v>08-Jan</v>
      </c>
      <c r="CC9" s="46" t="s">
        <v>113</v>
      </c>
      <c r="CD9" s="46" t="s">
        <v>130</v>
      </c>
      <c r="CE9" s="46" t="str">
        <f t="shared" si="0"/>
        <v>Capricorn - Earth</v>
      </c>
    </row>
    <row r="10" spans="1:83" ht="15" thickBot="1" x14ac:dyDescent="0.35">
      <c r="R10" s="214">
        <v>8</v>
      </c>
      <c r="S10" s="215">
        <f t="shared" si="1"/>
        <v>4</v>
      </c>
      <c r="U10" s="214">
        <v>8</v>
      </c>
      <c r="V10" s="215">
        <f t="shared" si="2"/>
        <v>5</v>
      </c>
      <c r="X10" s="214">
        <v>8</v>
      </c>
      <c r="Y10" s="215">
        <f t="shared" si="4"/>
        <v>6</v>
      </c>
      <c r="AA10" s="214">
        <v>8</v>
      </c>
      <c r="AB10" s="215">
        <f t="shared" si="5"/>
        <v>7</v>
      </c>
      <c r="AD10" s="214">
        <v>8</v>
      </c>
      <c r="AE10" s="215">
        <f t="shared" si="6"/>
        <v>8</v>
      </c>
      <c r="AG10" s="214">
        <v>8</v>
      </c>
      <c r="AH10" s="215">
        <f t="shared" si="7"/>
        <v>9</v>
      </c>
      <c r="AJ10" s="214">
        <v>8</v>
      </c>
      <c r="AK10" s="215">
        <f t="shared" si="8"/>
        <v>1</v>
      </c>
      <c r="AM10" s="214">
        <v>8</v>
      </c>
      <c r="AN10" s="215">
        <f t="shared" si="9"/>
        <v>2</v>
      </c>
      <c r="AP10" s="214">
        <v>8</v>
      </c>
      <c r="AQ10" s="215">
        <f t="shared" si="10"/>
        <v>3</v>
      </c>
      <c r="AS10" s="214">
        <v>8</v>
      </c>
      <c r="AT10" s="215">
        <f t="shared" si="11"/>
        <v>4</v>
      </c>
      <c r="AV10" s="214">
        <v>8</v>
      </c>
      <c r="AW10" s="215">
        <f t="shared" si="12"/>
        <v>5</v>
      </c>
      <c r="AY10" s="214">
        <v>8</v>
      </c>
      <c r="AZ10" s="215">
        <f t="shared" si="13"/>
        <v>6</v>
      </c>
      <c r="CA10" s="376">
        <v>43839</v>
      </c>
      <c r="CB10" s="46" t="str">
        <f t="shared" si="3"/>
        <v>09-Jan</v>
      </c>
      <c r="CC10" s="46" t="s">
        <v>113</v>
      </c>
      <c r="CD10" s="46" t="s">
        <v>130</v>
      </c>
      <c r="CE10" s="46" t="str">
        <f t="shared" si="0"/>
        <v>Capricorn - Earth</v>
      </c>
    </row>
    <row r="11" spans="1:83" x14ac:dyDescent="0.3">
      <c r="A11" s="223" t="s">
        <v>125</v>
      </c>
      <c r="B11" s="54"/>
      <c r="C11" s="118"/>
      <c r="D11" s="118" t="s">
        <v>29</v>
      </c>
      <c r="E11" s="118" t="s">
        <v>29</v>
      </c>
      <c r="F11" s="118"/>
      <c r="G11" s="118" t="s">
        <v>47</v>
      </c>
      <c r="H11" s="118" t="s">
        <v>47</v>
      </c>
      <c r="I11" s="118"/>
      <c r="J11" s="118" t="s">
        <v>48</v>
      </c>
      <c r="K11" s="54" t="s">
        <v>48</v>
      </c>
      <c r="L11" s="54" t="s">
        <v>48</v>
      </c>
      <c r="M11" s="54" t="s">
        <v>48</v>
      </c>
      <c r="N11" s="10"/>
      <c r="O11" s="12"/>
      <c r="R11" s="214">
        <v>9</v>
      </c>
      <c r="S11" s="215">
        <f t="shared" si="1"/>
        <v>5</v>
      </c>
      <c r="U11" s="214">
        <v>9</v>
      </c>
      <c r="V11" s="215">
        <f t="shared" si="2"/>
        <v>6</v>
      </c>
      <c r="X11" s="214">
        <v>9</v>
      </c>
      <c r="Y11" s="215">
        <f t="shared" si="4"/>
        <v>7</v>
      </c>
      <c r="AA11" s="214">
        <v>9</v>
      </c>
      <c r="AB11" s="215">
        <f t="shared" si="5"/>
        <v>8</v>
      </c>
      <c r="AD11" s="214">
        <v>9</v>
      </c>
      <c r="AE11" s="215">
        <f t="shared" si="6"/>
        <v>9</v>
      </c>
      <c r="AG11" s="214">
        <v>9</v>
      </c>
      <c r="AH11" s="215">
        <f t="shared" si="7"/>
        <v>1</v>
      </c>
      <c r="AJ11" s="214">
        <v>9</v>
      </c>
      <c r="AK11" s="215">
        <f t="shared" si="8"/>
        <v>2</v>
      </c>
      <c r="AM11" s="214">
        <v>9</v>
      </c>
      <c r="AN11" s="215">
        <f t="shared" si="9"/>
        <v>3</v>
      </c>
      <c r="AP11" s="214">
        <v>9</v>
      </c>
      <c r="AQ11" s="215">
        <f t="shared" si="10"/>
        <v>4</v>
      </c>
      <c r="AS11" s="214">
        <v>9</v>
      </c>
      <c r="AT11" s="215">
        <f t="shared" si="11"/>
        <v>5</v>
      </c>
      <c r="AV11" s="214">
        <v>9</v>
      </c>
      <c r="AW11" s="215">
        <f t="shared" si="12"/>
        <v>6</v>
      </c>
      <c r="AY11" s="214">
        <v>9</v>
      </c>
      <c r="AZ11" s="215">
        <f t="shared" si="13"/>
        <v>7</v>
      </c>
      <c r="CA11" s="376">
        <v>43840</v>
      </c>
      <c r="CB11" s="46" t="str">
        <f t="shared" si="3"/>
        <v>10-Jan</v>
      </c>
      <c r="CC11" s="46" t="s">
        <v>113</v>
      </c>
      <c r="CD11" s="46" t="s">
        <v>130</v>
      </c>
      <c r="CE11" s="46" t="str">
        <f t="shared" si="0"/>
        <v>Capricorn - Earth</v>
      </c>
    </row>
    <row r="12" spans="1:83" x14ac:dyDescent="0.3">
      <c r="A12" s="224">
        <v>43831</v>
      </c>
      <c r="B12" s="17"/>
      <c r="C12" s="23"/>
      <c r="D12" s="23" t="str">
        <f>MID(A13,1,1)</f>
        <v>0</v>
      </c>
      <c r="E12" s="23" t="str">
        <f>MID(A13,2,1)</f>
        <v>1</v>
      </c>
      <c r="F12" s="23"/>
      <c r="G12" s="23" t="str">
        <f>MID(A13,4,1)</f>
        <v>0</v>
      </c>
      <c r="H12" s="23" t="str">
        <f>MID(A13,5,1)</f>
        <v>1</v>
      </c>
      <c r="I12" s="23"/>
      <c r="J12" s="23" t="str">
        <f>MID(A13,7,1)</f>
        <v>2</v>
      </c>
      <c r="K12" s="17" t="str">
        <f>MID(A13,8,1)</f>
        <v>0</v>
      </c>
      <c r="L12" s="17" t="str">
        <f>MID(A13,9,1)</f>
        <v>2</v>
      </c>
      <c r="M12" s="17" t="str">
        <f>MID(A13,10,1)</f>
        <v>0</v>
      </c>
      <c r="O12" s="19"/>
      <c r="R12" s="214">
        <v>10</v>
      </c>
      <c r="S12" s="215">
        <f t="shared" si="1"/>
        <v>6</v>
      </c>
      <c r="U12" s="214">
        <v>10</v>
      </c>
      <c r="V12" s="215">
        <f t="shared" si="2"/>
        <v>7</v>
      </c>
      <c r="X12" s="214">
        <v>10</v>
      </c>
      <c r="Y12" s="215">
        <f t="shared" si="4"/>
        <v>8</v>
      </c>
      <c r="AA12" s="214">
        <v>10</v>
      </c>
      <c r="AB12" s="215">
        <f t="shared" si="5"/>
        <v>9</v>
      </c>
      <c r="AD12" s="214">
        <v>10</v>
      </c>
      <c r="AE12" s="215">
        <f t="shared" si="6"/>
        <v>1</v>
      </c>
      <c r="AG12" s="214">
        <v>10</v>
      </c>
      <c r="AH12" s="215">
        <f t="shared" si="7"/>
        <v>2</v>
      </c>
      <c r="AJ12" s="214">
        <v>10</v>
      </c>
      <c r="AK12" s="215">
        <f t="shared" si="8"/>
        <v>3</v>
      </c>
      <c r="AM12" s="214">
        <v>10</v>
      </c>
      <c r="AN12" s="215">
        <f t="shared" si="9"/>
        <v>4</v>
      </c>
      <c r="AP12" s="214">
        <v>10</v>
      </c>
      <c r="AQ12" s="215">
        <f t="shared" si="10"/>
        <v>5</v>
      </c>
      <c r="AS12" s="214">
        <v>10</v>
      </c>
      <c r="AT12" s="215">
        <f t="shared" si="11"/>
        <v>6</v>
      </c>
      <c r="AV12" s="214">
        <v>10</v>
      </c>
      <c r="AW12" s="215">
        <f t="shared" si="12"/>
        <v>7</v>
      </c>
      <c r="AY12" s="214">
        <v>10</v>
      </c>
      <c r="AZ12" s="215">
        <f t="shared" si="13"/>
        <v>8</v>
      </c>
      <c r="CA12" s="376">
        <v>43841</v>
      </c>
      <c r="CB12" s="46" t="str">
        <f t="shared" si="3"/>
        <v>11-Jan</v>
      </c>
      <c r="CC12" s="46" t="s">
        <v>113</v>
      </c>
      <c r="CD12" s="46" t="s">
        <v>130</v>
      </c>
      <c r="CE12" s="46" t="str">
        <f t="shared" si="0"/>
        <v>Capricorn - Earth</v>
      </c>
    </row>
    <row r="13" spans="1:83" x14ac:dyDescent="0.3">
      <c r="A13" s="225" t="str">
        <f>TEXT(A12,"DD-MM-YYYY")</f>
        <v>01-01-2020</v>
      </c>
      <c r="B13" s="17"/>
      <c r="C13" s="23"/>
      <c r="D13" s="52">
        <f>D12+E12</f>
        <v>1</v>
      </c>
      <c r="E13" s="52"/>
      <c r="F13" s="23"/>
      <c r="G13" s="52">
        <f>G12+H12</f>
        <v>1</v>
      </c>
      <c r="H13" s="52"/>
      <c r="I13" s="23"/>
      <c r="J13" s="23">
        <f>J12+K12+L12+M12</f>
        <v>4</v>
      </c>
      <c r="K13" s="23"/>
      <c r="L13" s="23"/>
      <c r="M13" s="23"/>
      <c r="O13" s="19"/>
      <c r="R13" s="214">
        <v>11</v>
      </c>
      <c r="S13" s="215">
        <f t="shared" si="1"/>
        <v>7</v>
      </c>
      <c r="U13" s="214">
        <v>11</v>
      </c>
      <c r="V13" s="215">
        <f t="shared" si="2"/>
        <v>8</v>
      </c>
      <c r="X13" s="214">
        <v>11</v>
      </c>
      <c r="Y13" s="215">
        <f t="shared" si="4"/>
        <v>9</v>
      </c>
      <c r="AA13" s="214">
        <v>11</v>
      </c>
      <c r="AB13" s="215">
        <f t="shared" si="5"/>
        <v>1</v>
      </c>
      <c r="AD13" s="214">
        <v>11</v>
      </c>
      <c r="AE13" s="215">
        <f t="shared" si="6"/>
        <v>2</v>
      </c>
      <c r="AG13" s="214">
        <v>11</v>
      </c>
      <c r="AH13" s="215">
        <f t="shared" si="7"/>
        <v>3</v>
      </c>
      <c r="AJ13" s="214">
        <v>11</v>
      </c>
      <c r="AK13" s="215">
        <f t="shared" si="8"/>
        <v>4</v>
      </c>
      <c r="AM13" s="214">
        <v>11</v>
      </c>
      <c r="AN13" s="215">
        <f t="shared" si="9"/>
        <v>5</v>
      </c>
      <c r="AP13" s="214">
        <v>11</v>
      </c>
      <c r="AQ13" s="215">
        <f t="shared" si="10"/>
        <v>6</v>
      </c>
      <c r="AS13" s="214">
        <v>11</v>
      </c>
      <c r="AT13" s="215">
        <f t="shared" si="11"/>
        <v>7</v>
      </c>
      <c r="AV13" s="214">
        <v>11</v>
      </c>
      <c r="AW13" s="215">
        <f t="shared" si="12"/>
        <v>8</v>
      </c>
      <c r="AY13" s="214">
        <v>11</v>
      </c>
      <c r="AZ13" s="215">
        <f t="shared" si="13"/>
        <v>9</v>
      </c>
      <c r="CA13" s="376">
        <v>43842</v>
      </c>
      <c r="CB13" s="46" t="str">
        <f t="shared" si="3"/>
        <v>12-Jan</v>
      </c>
      <c r="CC13" s="46" t="s">
        <v>113</v>
      </c>
      <c r="CD13" s="46" t="s">
        <v>130</v>
      </c>
      <c r="CE13" s="46" t="str">
        <f t="shared" si="0"/>
        <v>Capricorn - Earth</v>
      </c>
    </row>
    <row r="14" spans="1:83" x14ac:dyDescent="0.3">
      <c r="A14" s="44"/>
      <c r="B14" s="17"/>
      <c r="C14" s="23"/>
      <c r="D14" s="52">
        <f>IF(LEN(D13)&gt;1,LEFT(D13,1)+RIGHT(D13,1),D13)</f>
        <v>1</v>
      </c>
      <c r="E14" s="23"/>
      <c r="F14" s="23"/>
      <c r="G14" s="52">
        <f>IF(LEN(G13)&gt;1,LEFT(G13,1)+RIGHT(G13,1),G13)</f>
        <v>1</v>
      </c>
      <c r="H14" s="23"/>
      <c r="I14" s="23"/>
      <c r="J14" s="52">
        <f>IF(LEN(J13)&gt;1,LEFT(J13,1)+RIGHT(J13,1),J13)</f>
        <v>4</v>
      </c>
      <c r="K14" s="17"/>
      <c r="L14" s="17"/>
      <c r="M14" s="17"/>
      <c r="O14" s="19"/>
      <c r="R14" s="214">
        <v>12</v>
      </c>
      <c r="S14" s="215">
        <f t="shared" si="1"/>
        <v>8</v>
      </c>
      <c r="U14" s="214">
        <v>12</v>
      </c>
      <c r="V14" s="215">
        <f t="shared" si="2"/>
        <v>9</v>
      </c>
      <c r="X14" s="214">
        <v>12</v>
      </c>
      <c r="Y14" s="215">
        <f t="shared" si="4"/>
        <v>1</v>
      </c>
      <c r="AA14" s="214">
        <v>12</v>
      </c>
      <c r="AB14" s="215">
        <f t="shared" si="5"/>
        <v>2</v>
      </c>
      <c r="AD14" s="214">
        <v>12</v>
      </c>
      <c r="AE14" s="215">
        <f t="shared" si="6"/>
        <v>3</v>
      </c>
      <c r="AG14" s="214">
        <v>12</v>
      </c>
      <c r="AH14" s="215">
        <f t="shared" si="7"/>
        <v>4</v>
      </c>
      <c r="AJ14" s="214">
        <v>12</v>
      </c>
      <c r="AK14" s="215">
        <f t="shared" si="8"/>
        <v>5</v>
      </c>
      <c r="AM14" s="214">
        <v>12</v>
      </c>
      <c r="AN14" s="215">
        <f t="shared" si="9"/>
        <v>6</v>
      </c>
      <c r="AP14" s="214">
        <v>12</v>
      </c>
      <c r="AQ14" s="215">
        <f t="shared" si="10"/>
        <v>7</v>
      </c>
      <c r="AS14" s="214">
        <v>12</v>
      </c>
      <c r="AT14" s="215">
        <f t="shared" si="11"/>
        <v>8</v>
      </c>
      <c r="AV14" s="214">
        <v>12</v>
      </c>
      <c r="AW14" s="215">
        <f t="shared" si="12"/>
        <v>9</v>
      </c>
      <c r="AY14" s="214">
        <v>12</v>
      </c>
      <c r="AZ14" s="215">
        <f t="shared" si="13"/>
        <v>1</v>
      </c>
      <c r="CA14" s="376">
        <v>43843</v>
      </c>
      <c r="CB14" s="46" t="str">
        <f t="shared" si="3"/>
        <v>13-Jan</v>
      </c>
      <c r="CC14" s="46" t="s">
        <v>113</v>
      </c>
      <c r="CD14" s="46" t="s">
        <v>130</v>
      </c>
      <c r="CE14" s="46" t="str">
        <f t="shared" si="0"/>
        <v>Capricorn - Earth</v>
      </c>
    </row>
    <row r="15" spans="1:83" x14ac:dyDescent="0.3">
      <c r="A15" s="44"/>
      <c r="B15" s="17"/>
      <c r="C15" s="23"/>
      <c r="D15" s="23"/>
      <c r="E15" s="23"/>
      <c r="F15" s="23"/>
      <c r="G15" s="23"/>
      <c r="H15" s="23"/>
      <c r="I15" s="23"/>
      <c r="J15" s="23"/>
      <c r="K15" s="17"/>
      <c r="L15" s="17"/>
      <c r="M15" s="17"/>
      <c r="O15" s="19"/>
      <c r="R15" s="214">
        <v>13</v>
      </c>
      <c r="S15" s="215">
        <f t="shared" si="1"/>
        <v>9</v>
      </c>
      <c r="U15" s="214">
        <v>13</v>
      </c>
      <c r="V15" s="215">
        <f t="shared" si="2"/>
        <v>1</v>
      </c>
      <c r="X15" s="214">
        <v>13</v>
      </c>
      <c r="Y15" s="215">
        <f t="shared" si="4"/>
        <v>2</v>
      </c>
      <c r="AA15" s="214">
        <v>13</v>
      </c>
      <c r="AB15" s="215">
        <f t="shared" si="5"/>
        <v>3</v>
      </c>
      <c r="AD15" s="214">
        <v>13</v>
      </c>
      <c r="AE15" s="215">
        <f t="shared" si="6"/>
        <v>4</v>
      </c>
      <c r="AG15" s="214">
        <v>13</v>
      </c>
      <c r="AH15" s="215">
        <f t="shared" si="7"/>
        <v>5</v>
      </c>
      <c r="AJ15" s="214">
        <v>13</v>
      </c>
      <c r="AK15" s="215">
        <f t="shared" si="8"/>
        <v>6</v>
      </c>
      <c r="AM15" s="214">
        <v>13</v>
      </c>
      <c r="AN15" s="215">
        <f t="shared" si="9"/>
        <v>7</v>
      </c>
      <c r="AP15" s="214">
        <v>13</v>
      </c>
      <c r="AQ15" s="215">
        <f t="shared" si="10"/>
        <v>8</v>
      </c>
      <c r="AS15" s="214">
        <v>13</v>
      </c>
      <c r="AT15" s="215">
        <f t="shared" si="11"/>
        <v>9</v>
      </c>
      <c r="AV15" s="214">
        <v>13</v>
      </c>
      <c r="AW15" s="215">
        <f t="shared" si="12"/>
        <v>1</v>
      </c>
      <c r="AY15" s="214">
        <v>13</v>
      </c>
      <c r="AZ15" s="215">
        <f t="shared" si="13"/>
        <v>2</v>
      </c>
      <c r="CA15" s="376">
        <v>43844</v>
      </c>
      <c r="CB15" s="46" t="str">
        <f t="shared" si="3"/>
        <v>14-Jan</v>
      </c>
      <c r="CC15" s="46" t="s">
        <v>113</v>
      </c>
      <c r="CD15" s="46" t="s">
        <v>130</v>
      </c>
      <c r="CE15" s="46" t="str">
        <f t="shared" si="0"/>
        <v>Capricorn - Earth</v>
      </c>
    </row>
    <row r="16" spans="1:83" x14ac:dyDescent="0.3">
      <c r="A16" s="55" t="s">
        <v>69</v>
      </c>
      <c r="B16" s="226" t="s">
        <v>170</v>
      </c>
      <c r="D16" s="23">
        <f>D7+G7+J14</f>
        <v>13</v>
      </c>
      <c r="E16" s="23"/>
      <c r="F16" s="455">
        <f>MOD(D16-1,9)+1</f>
        <v>4</v>
      </c>
      <c r="G16" s="23"/>
      <c r="H16" s="23"/>
      <c r="I16" s="23"/>
      <c r="J16" s="23"/>
      <c r="K16" s="17"/>
      <c r="L16" s="17"/>
      <c r="M16" s="17"/>
      <c r="O16" s="19"/>
      <c r="R16" s="214">
        <v>14</v>
      </c>
      <c r="S16" s="215">
        <f t="shared" si="1"/>
        <v>1</v>
      </c>
      <c r="U16" s="214">
        <v>14</v>
      </c>
      <c r="V16" s="215">
        <f t="shared" si="2"/>
        <v>2</v>
      </c>
      <c r="X16" s="214">
        <v>14</v>
      </c>
      <c r="Y16" s="215">
        <f t="shared" si="4"/>
        <v>3</v>
      </c>
      <c r="AA16" s="214">
        <v>14</v>
      </c>
      <c r="AB16" s="215">
        <f t="shared" si="5"/>
        <v>4</v>
      </c>
      <c r="AD16" s="214">
        <v>14</v>
      </c>
      <c r="AE16" s="215">
        <f t="shared" si="6"/>
        <v>5</v>
      </c>
      <c r="AG16" s="214">
        <v>14</v>
      </c>
      <c r="AH16" s="215">
        <f t="shared" si="7"/>
        <v>6</v>
      </c>
      <c r="AJ16" s="214">
        <v>14</v>
      </c>
      <c r="AK16" s="215">
        <f t="shared" si="8"/>
        <v>7</v>
      </c>
      <c r="AM16" s="214">
        <v>14</v>
      </c>
      <c r="AN16" s="215">
        <f t="shared" si="9"/>
        <v>8</v>
      </c>
      <c r="AP16" s="214">
        <v>14</v>
      </c>
      <c r="AQ16" s="215">
        <f t="shared" si="10"/>
        <v>9</v>
      </c>
      <c r="AS16" s="214">
        <v>14</v>
      </c>
      <c r="AT16" s="215">
        <f t="shared" si="11"/>
        <v>1</v>
      </c>
      <c r="AV16" s="214">
        <v>14</v>
      </c>
      <c r="AW16" s="215">
        <f t="shared" si="12"/>
        <v>2</v>
      </c>
      <c r="AY16" s="214">
        <v>14</v>
      </c>
      <c r="AZ16" s="215">
        <f t="shared" si="13"/>
        <v>3</v>
      </c>
      <c r="CA16" s="376">
        <v>43845</v>
      </c>
      <c r="CB16" s="46" t="str">
        <f t="shared" si="3"/>
        <v>15-Jan</v>
      </c>
      <c r="CC16" s="46" t="s">
        <v>113</v>
      </c>
      <c r="CD16" s="46" t="s">
        <v>130</v>
      </c>
      <c r="CE16" s="46" t="str">
        <f t="shared" si="0"/>
        <v>Capricorn - Earth</v>
      </c>
    </row>
    <row r="17" spans="1:83" x14ac:dyDescent="0.3">
      <c r="A17" s="55" t="s">
        <v>71</v>
      </c>
      <c r="B17" s="226" t="s">
        <v>168</v>
      </c>
      <c r="D17" s="23">
        <f>F16+G14</f>
        <v>5</v>
      </c>
      <c r="E17" s="23"/>
      <c r="F17" s="137">
        <f t="shared" ref="F17:F18" si="14">MOD(D17-1,9)+1</f>
        <v>5</v>
      </c>
      <c r="G17" s="23"/>
      <c r="H17" s="23"/>
      <c r="I17" s="23"/>
      <c r="J17" s="23"/>
      <c r="K17" s="17"/>
      <c r="L17" s="17"/>
      <c r="M17" s="17"/>
      <c r="O17" s="19"/>
      <c r="R17" s="214">
        <v>15</v>
      </c>
      <c r="S17" s="215">
        <f t="shared" si="1"/>
        <v>2</v>
      </c>
      <c r="U17" s="214">
        <v>15</v>
      </c>
      <c r="V17" s="215">
        <f t="shared" si="2"/>
        <v>3</v>
      </c>
      <c r="X17" s="214">
        <v>15</v>
      </c>
      <c r="Y17" s="215">
        <f t="shared" si="4"/>
        <v>4</v>
      </c>
      <c r="AA17" s="214">
        <v>15</v>
      </c>
      <c r="AB17" s="215">
        <f t="shared" si="5"/>
        <v>5</v>
      </c>
      <c r="AD17" s="214">
        <v>15</v>
      </c>
      <c r="AE17" s="215">
        <f t="shared" si="6"/>
        <v>6</v>
      </c>
      <c r="AG17" s="214">
        <v>15</v>
      </c>
      <c r="AH17" s="215">
        <f t="shared" si="7"/>
        <v>7</v>
      </c>
      <c r="AJ17" s="214">
        <v>15</v>
      </c>
      <c r="AK17" s="215">
        <f t="shared" si="8"/>
        <v>8</v>
      </c>
      <c r="AM17" s="214">
        <v>15</v>
      </c>
      <c r="AN17" s="215">
        <f t="shared" si="9"/>
        <v>9</v>
      </c>
      <c r="AP17" s="214">
        <v>15</v>
      </c>
      <c r="AQ17" s="215">
        <f t="shared" si="10"/>
        <v>1</v>
      </c>
      <c r="AS17" s="214">
        <v>15</v>
      </c>
      <c r="AT17" s="215">
        <f t="shared" si="11"/>
        <v>2</v>
      </c>
      <c r="AV17" s="214">
        <v>15</v>
      </c>
      <c r="AW17" s="215">
        <f t="shared" si="12"/>
        <v>3</v>
      </c>
      <c r="AY17" s="214">
        <v>15</v>
      </c>
      <c r="AZ17" s="215">
        <f t="shared" si="13"/>
        <v>4</v>
      </c>
      <c r="CA17" s="376">
        <v>43846</v>
      </c>
      <c r="CB17" s="46" t="str">
        <f t="shared" si="3"/>
        <v>16-Jan</v>
      </c>
      <c r="CC17" s="46" t="s">
        <v>113</v>
      </c>
      <c r="CD17" s="46" t="s">
        <v>130</v>
      </c>
      <c r="CE17" s="46" t="str">
        <f t="shared" si="0"/>
        <v>Capricorn - Earth</v>
      </c>
    </row>
    <row r="18" spans="1:83" x14ac:dyDescent="0.3">
      <c r="A18" s="55" t="s">
        <v>74</v>
      </c>
      <c r="B18" s="226" t="s">
        <v>169</v>
      </c>
      <c r="D18" s="23">
        <f>D14+F17</f>
        <v>6</v>
      </c>
      <c r="E18" s="23"/>
      <c r="F18" s="137">
        <f t="shared" si="14"/>
        <v>6</v>
      </c>
      <c r="G18" s="23"/>
      <c r="H18" s="23"/>
      <c r="I18" s="23"/>
      <c r="J18" s="23"/>
      <c r="K18" s="17"/>
      <c r="L18" s="17"/>
      <c r="M18" s="17"/>
      <c r="O18" s="19"/>
      <c r="R18" s="214">
        <v>16</v>
      </c>
      <c r="S18" s="215">
        <f t="shared" si="1"/>
        <v>3</v>
      </c>
      <c r="U18" s="214">
        <v>16</v>
      </c>
      <c r="V18" s="215">
        <f t="shared" si="2"/>
        <v>4</v>
      </c>
      <c r="X18" s="214">
        <v>16</v>
      </c>
      <c r="Y18" s="215">
        <f t="shared" si="4"/>
        <v>5</v>
      </c>
      <c r="AA18" s="214">
        <v>16</v>
      </c>
      <c r="AB18" s="215">
        <f t="shared" si="5"/>
        <v>6</v>
      </c>
      <c r="AD18" s="214">
        <v>16</v>
      </c>
      <c r="AE18" s="215">
        <f t="shared" si="6"/>
        <v>7</v>
      </c>
      <c r="AG18" s="214">
        <v>16</v>
      </c>
      <c r="AH18" s="215">
        <f t="shared" si="7"/>
        <v>8</v>
      </c>
      <c r="AJ18" s="214">
        <v>16</v>
      </c>
      <c r="AK18" s="215">
        <f t="shared" si="8"/>
        <v>9</v>
      </c>
      <c r="AM18" s="214">
        <v>16</v>
      </c>
      <c r="AN18" s="215">
        <f t="shared" si="9"/>
        <v>1</v>
      </c>
      <c r="AP18" s="214">
        <v>16</v>
      </c>
      <c r="AQ18" s="215">
        <f t="shared" si="10"/>
        <v>2</v>
      </c>
      <c r="AS18" s="214">
        <v>16</v>
      </c>
      <c r="AT18" s="215">
        <f t="shared" si="11"/>
        <v>3</v>
      </c>
      <c r="AV18" s="214">
        <v>16</v>
      </c>
      <c r="AW18" s="215">
        <f t="shared" si="12"/>
        <v>4</v>
      </c>
      <c r="AY18" s="214">
        <v>16</v>
      </c>
      <c r="AZ18" s="215">
        <f t="shared" si="13"/>
        <v>5</v>
      </c>
      <c r="CA18" s="376">
        <v>43847</v>
      </c>
      <c r="CB18" s="46" t="str">
        <f t="shared" si="3"/>
        <v>17-Jan</v>
      </c>
      <c r="CC18" s="46" t="s">
        <v>113</v>
      </c>
      <c r="CD18" s="46" t="s">
        <v>130</v>
      </c>
      <c r="CE18" s="46" t="str">
        <f t="shared" si="0"/>
        <v>Capricorn - Earth</v>
      </c>
    </row>
    <row r="19" spans="1:83" x14ac:dyDescent="0.3">
      <c r="A19" s="44"/>
      <c r="B19" s="17"/>
      <c r="C19" s="23"/>
      <c r="D19" s="23"/>
      <c r="E19" s="23"/>
      <c r="F19" s="23"/>
      <c r="G19" s="23"/>
      <c r="H19" s="23"/>
      <c r="I19" s="23"/>
      <c r="J19" s="23"/>
      <c r="K19" s="23"/>
      <c r="L19" s="23"/>
      <c r="M19" s="17"/>
      <c r="N19" s="17"/>
      <c r="O19" s="227"/>
      <c r="R19" s="214">
        <v>17</v>
      </c>
      <c r="S19" s="215">
        <f t="shared" si="1"/>
        <v>4</v>
      </c>
      <c r="U19" s="214">
        <v>17</v>
      </c>
      <c r="V19" s="215">
        <f t="shared" si="2"/>
        <v>5</v>
      </c>
      <c r="X19" s="214">
        <v>17</v>
      </c>
      <c r="Y19" s="215">
        <f t="shared" si="4"/>
        <v>6</v>
      </c>
      <c r="AA19" s="214">
        <v>17</v>
      </c>
      <c r="AB19" s="215">
        <f t="shared" si="5"/>
        <v>7</v>
      </c>
      <c r="AD19" s="214">
        <v>17</v>
      </c>
      <c r="AE19" s="215">
        <f t="shared" si="6"/>
        <v>8</v>
      </c>
      <c r="AG19" s="214">
        <v>17</v>
      </c>
      <c r="AH19" s="215">
        <f t="shared" si="7"/>
        <v>9</v>
      </c>
      <c r="AJ19" s="214">
        <v>17</v>
      </c>
      <c r="AK19" s="215">
        <f t="shared" si="8"/>
        <v>1</v>
      </c>
      <c r="AM19" s="214">
        <v>17</v>
      </c>
      <c r="AN19" s="215">
        <f t="shared" si="9"/>
        <v>2</v>
      </c>
      <c r="AP19" s="214">
        <v>17</v>
      </c>
      <c r="AQ19" s="215">
        <f t="shared" si="10"/>
        <v>3</v>
      </c>
      <c r="AS19" s="214">
        <v>17</v>
      </c>
      <c r="AT19" s="215">
        <f t="shared" si="11"/>
        <v>4</v>
      </c>
      <c r="AV19" s="214">
        <v>17</v>
      </c>
      <c r="AW19" s="215">
        <f t="shared" si="12"/>
        <v>5</v>
      </c>
      <c r="AY19" s="214">
        <v>17</v>
      </c>
      <c r="AZ19" s="215">
        <f t="shared" si="13"/>
        <v>6</v>
      </c>
      <c r="CA19" s="376">
        <v>43848</v>
      </c>
      <c r="CB19" s="46" t="str">
        <f t="shared" si="3"/>
        <v>18-Jan</v>
      </c>
      <c r="CC19" s="46" t="s">
        <v>113</v>
      </c>
      <c r="CD19" s="46" t="s">
        <v>130</v>
      </c>
      <c r="CE19" s="46" t="str">
        <f t="shared" si="0"/>
        <v>Capricorn - Earth</v>
      </c>
    </row>
    <row r="20" spans="1:83" ht="18.600000000000001" thickBot="1" x14ac:dyDescent="0.35">
      <c r="A20" s="179"/>
      <c r="B20" s="180"/>
      <c r="C20" s="228"/>
      <c r="D20" s="38"/>
      <c r="E20" s="38"/>
      <c r="F20" s="38"/>
      <c r="G20" s="38"/>
      <c r="H20" s="38"/>
      <c r="I20" s="38"/>
      <c r="J20" s="38"/>
      <c r="K20" s="38"/>
      <c r="L20" s="38"/>
      <c r="M20" s="180"/>
      <c r="N20" s="180"/>
      <c r="O20" s="229"/>
      <c r="R20" s="214">
        <v>18</v>
      </c>
      <c r="S20" s="215">
        <f t="shared" si="1"/>
        <v>5</v>
      </c>
      <c r="U20" s="214">
        <v>18</v>
      </c>
      <c r="V20" s="215">
        <f t="shared" si="2"/>
        <v>6</v>
      </c>
      <c r="X20" s="214">
        <v>18</v>
      </c>
      <c r="Y20" s="215">
        <f t="shared" si="4"/>
        <v>7</v>
      </c>
      <c r="AA20" s="214">
        <v>18</v>
      </c>
      <c r="AB20" s="215">
        <f t="shared" si="5"/>
        <v>8</v>
      </c>
      <c r="AD20" s="214">
        <v>18</v>
      </c>
      <c r="AE20" s="215">
        <f t="shared" si="6"/>
        <v>9</v>
      </c>
      <c r="AG20" s="214">
        <v>18</v>
      </c>
      <c r="AH20" s="215">
        <f t="shared" si="7"/>
        <v>1</v>
      </c>
      <c r="AJ20" s="214">
        <v>18</v>
      </c>
      <c r="AK20" s="215">
        <f t="shared" si="8"/>
        <v>2</v>
      </c>
      <c r="AM20" s="214">
        <v>18</v>
      </c>
      <c r="AN20" s="215">
        <f t="shared" si="9"/>
        <v>3</v>
      </c>
      <c r="AP20" s="214">
        <v>18</v>
      </c>
      <c r="AQ20" s="215">
        <f t="shared" si="10"/>
        <v>4</v>
      </c>
      <c r="AS20" s="214">
        <v>18</v>
      </c>
      <c r="AT20" s="215">
        <f t="shared" si="11"/>
        <v>5</v>
      </c>
      <c r="AV20" s="214">
        <v>18</v>
      </c>
      <c r="AW20" s="215">
        <f t="shared" si="12"/>
        <v>6</v>
      </c>
      <c r="AY20" s="214">
        <v>18</v>
      </c>
      <c r="AZ20" s="215">
        <f t="shared" si="13"/>
        <v>7</v>
      </c>
      <c r="CA20" s="376">
        <v>43849</v>
      </c>
      <c r="CB20" s="46" t="str">
        <f t="shared" si="3"/>
        <v>19-Jan</v>
      </c>
      <c r="CC20" s="46" t="s">
        <v>113</v>
      </c>
      <c r="CD20" s="46" t="s">
        <v>130</v>
      </c>
      <c r="CE20" s="46" t="str">
        <f t="shared" si="0"/>
        <v>Capricorn - Earth</v>
      </c>
    </row>
    <row r="21" spans="1:83" s="18" customFormat="1" x14ac:dyDescent="0.3">
      <c r="A21" s="230"/>
      <c r="B21" s="231"/>
      <c r="C21" s="35"/>
      <c r="D21" s="35"/>
      <c r="E21" s="35"/>
      <c r="F21" s="35"/>
      <c r="G21" s="35"/>
      <c r="H21" s="35"/>
      <c r="I21" s="35"/>
      <c r="J21" s="35"/>
      <c r="K21" s="231"/>
      <c r="L21" s="231"/>
      <c r="M21" s="231"/>
      <c r="R21" s="214">
        <v>19</v>
      </c>
      <c r="S21" s="215">
        <f t="shared" si="1"/>
        <v>6</v>
      </c>
      <c r="T21" s="216"/>
      <c r="U21" s="214">
        <v>19</v>
      </c>
      <c r="V21" s="215">
        <f t="shared" si="2"/>
        <v>7</v>
      </c>
      <c r="W21" s="216"/>
      <c r="X21" s="214">
        <v>19</v>
      </c>
      <c r="Y21" s="215">
        <f t="shared" si="4"/>
        <v>8</v>
      </c>
      <c r="Z21" s="216"/>
      <c r="AA21" s="214">
        <v>19</v>
      </c>
      <c r="AB21" s="215">
        <f t="shared" si="5"/>
        <v>9</v>
      </c>
      <c r="AC21" s="216"/>
      <c r="AD21" s="214">
        <v>19</v>
      </c>
      <c r="AE21" s="215">
        <f t="shared" si="6"/>
        <v>1</v>
      </c>
      <c r="AF21" s="216"/>
      <c r="AG21" s="214">
        <v>19</v>
      </c>
      <c r="AH21" s="215">
        <f t="shared" si="7"/>
        <v>2</v>
      </c>
      <c r="AI21" s="216"/>
      <c r="AJ21" s="214">
        <v>19</v>
      </c>
      <c r="AK21" s="215">
        <f t="shared" si="8"/>
        <v>3</v>
      </c>
      <c r="AL21" s="216"/>
      <c r="AM21" s="214">
        <v>19</v>
      </c>
      <c r="AN21" s="215">
        <f t="shared" si="9"/>
        <v>4</v>
      </c>
      <c r="AO21" s="216"/>
      <c r="AP21" s="214">
        <v>19</v>
      </c>
      <c r="AQ21" s="215">
        <f t="shared" si="10"/>
        <v>5</v>
      </c>
      <c r="AR21" s="216"/>
      <c r="AS21" s="214">
        <v>19</v>
      </c>
      <c r="AT21" s="215">
        <f t="shared" si="11"/>
        <v>6</v>
      </c>
      <c r="AU21" s="216"/>
      <c r="AV21" s="214">
        <v>19</v>
      </c>
      <c r="AW21" s="215">
        <f t="shared" si="12"/>
        <v>7</v>
      </c>
      <c r="AX21" s="216"/>
      <c r="AY21" s="214">
        <v>19</v>
      </c>
      <c r="AZ21" s="215">
        <f t="shared" si="13"/>
        <v>8</v>
      </c>
      <c r="CA21" s="376">
        <v>43850</v>
      </c>
      <c r="CB21" s="46" t="str">
        <f t="shared" si="3"/>
        <v>20-Jan</v>
      </c>
      <c r="CC21" s="46" t="s">
        <v>114</v>
      </c>
      <c r="CD21" s="46" t="s">
        <v>132</v>
      </c>
      <c r="CE21" s="46" t="str">
        <f t="shared" si="0"/>
        <v>Aquarius - Air</v>
      </c>
    </row>
    <row r="22" spans="1:83" x14ac:dyDescent="0.3">
      <c r="A22" s="232"/>
      <c r="B22" s="17"/>
      <c r="C22" s="23" t="s">
        <v>170</v>
      </c>
      <c r="D22" s="528"/>
      <c r="E22" s="23"/>
      <c r="F22" s="23"/>
      <c r="G22" s="23"/>
      <c r="H22" s="23"/>
      <c r="I22" s="23"/>
      <c r="J22" s="23"/>
      <c r="K22" s="17"/>
      <c r="L22" s="17"/>
      <c r="M22" s="17"/>
      <c r="R22" s="214">
        <v>20</v>
      </c>
      <c r="S22" s="215">
        <f t="shared" si="1"/>
        <v>7</v>
      </c>
      <c r="U22" s="214">
        <v>20</v>
      </c>
      <c r="V22" s="215">
        <f t="shared" si="2"/>
        <v>8</v>
      </c>
      <c r="X22" s="214">
        <v>20</v>
      </c>
      <c r="Y22" s="215">
        <f t="shared" si="4"/>
        <v>9</v>
      </c>
      <c r="AA22" s="214">
        <v>20</v>
      </c>
      <c r="AB22" s="215">
        <f t="shared" si="5"/>
        <v>1</v>
      </c>
      <c r="AD22" s="214">
        <v>20</v>
      </c>
      <c r="AE22" s="215">
        <f t="shared" si="6"/>
        <v>2</v>
      </c>
      <c r="AG22" s="214">
        <v>20</v>
      </c>
      <c r="AH22" s="215">
        <f t="shared" si="7"/>
        <v>3</v>
      </c>
      <c r="AJ22" s="214">
        <v>20</v>
      </c>
      <c r="AK22" s="215">
        <f t="shared" si="8"/>
        <v>4</v>
      </c>
      <c r="AM22" s="214">
        <v>20</v>
      </c>
      <c r="AN22" s="215">
        <f t="shared" si="9"/>
        <v>5</v>
      </c>
      <c r="AP22" s="214">
        <v>20</v>
      </c>
      <c r="AQ22" s="215">
        <f t="shared" si="10"/>
        <v>6</v>
      </c>
      <c r="AS22" s="214">
        <v>20</v>
      </c>
      <c r="AT22" s="215">
        <f t="shared" si="11"/>
        <v>7</v>
      </c>
      <c r="AV22" s="214">
        <v>20</v>
      </c>
      <c r="AW22" s="215">
        <f t="shared" si="12"/>
        <v>8</v>
      </c>
      <c r="AY22" s="214">
        <v>20</v>
      </c>
      <c r="AZ22" s="215">
        <f t="shared" si="13"/>
        <v>9</v>
      </c>
      <c r="CA22" s="376">
        <v>43851</v>
      </c>
      <c r="CB22" s="46" t="str">
        <f t="shared" si="3"/>
        <v>21-Jan</v>
      </c>
      <c r="CC22" s="46" t="s">
        <v>114</v>
      </c>
      <c r="CD22" s="46" t="s">
        <v>132</v>
      </c>
      <c r="CE22" s="46" t="str">
        <f t="shared" si="0"/>
        <v>Aquarius - Air</v>
      </c>
    </row>
    <row r="23" spans="1:83" x14ac:dyDescent="0.3">
      <c r="A23" s="53"/>
      <c r="B23" s="17"/>
      <c r="C23" s="23" t="s">
        <v>253</v>
      </c>
      <c r="D23" s="529"/>
      <c r="E23" s="52"/>
      <c r="F23" s="23"/>
      <c r="G23" s="52"/>
      <c r="H23" s="52"/>
      <c r="I23" s="23"/>
      <c r="J23" s="23"/>
      <c r="K23" s="23"/>
      <c r="L23" s="23"/>
      <c r="M23" s="23"/>
      <c r="R23" s="214">
        <v>21</v>
      </c>
      <c r="S23" s="215">
        <f t="shared" si="1"/>
        <v>8</v>
      </c>
      <c r="U23" s="214">
        <v>21</v>
      </c>
      <c r="V23" s="215">
        <f t="shared" si="2"/>
        <v>9</v>
      </c>
      <c r="X23" s="214">
        <v>21</v>
      </c>
      <c r="Y23" s="215">
        <f t="shared" si="4"/>
        <v>1</v>
      </c>
      <c r="AA23" s="214">
        <v>21</v>
      </c>
      <c r="AB23" s="215">
        <f t="shared" si="5"/>
        <v>2</v>
      </c>
      <c r="AD23" s="214">
        <v>21</v>
      </c>
      <c r="AE23" s="215">
        <f t="shared" si="6"/>
        <v>3</v>
      </c>
      <c r="AG23" s="214">
        <v>21</v>
      </c>
      <c r="AH23" s="215">
        <f t="shared" si="7"/>
        <v>4</v>
      </c>
      <c r="AJ23" s="214">
        <v>21</v>
      </c>
      <c r="AK23" s="215">
        <f t="shared" si="8"/>
        <v>5</v>
      </c>
      <c r="AM23" s="214">
        <v>21</v>
      </c>
      <c r="AN23" s="215">
        <f t="shared" si="9"/>
        <v>6</v>
      </c>
      <c r="AP23" s="214">
        <v>21</v>
      </c>
      <c r="AQ23" s="215">
        <f t="shared" si="10"/>
        <v>7</v>
      </c>
      <c r="AS23" s="214">
        <v>21</v>
      </c>
      <c r="AT23" s="215">
        <f t="shared" si="11"/>
        <v>8</v>
      </c>
      <c r="AV23" s="214">
        <v>21</v>
      </c>
      <c r="AW23" s="215">
        <f t="shared" si="12"/>
        <v>9</v>
      </c>
      <c r="AY23" s="214">
        <v>21</v>
      </c>
      <c r="AZ23" s="215">
        <f t="shared" si="13"/>
        <v>1</v>
      </c>
      <c r="CA23" s="376">
        <v>43852</v>
      </c>
      <c r="CB23" s="46" t="str">
        <f t="shared" si="3"/>
        <v>22-Jan</v>
      </c>
      <c r="CC23" s="46" t="s">
        <v>114</v>
      </c>
      <c r="CD23" s="46" t="s">
        <v>132</v>
      </c>
      <c r="CE23" s="46" t="str">
        <f t="shared" si="0"/>
        <v>Aquarius - Air</v>
      </c>
    </row>
    <row r="24" spans="1:83" x14ac:dyDescent="0.3">
      <c r="A24" s="53"/>
      <c r="B24" s="17"/>
      <c r="C24" s="23"/>
      <c r="D24" s="52"/>
      <c r="E24" s="23"/>
      <c r="F24" s="23"/>
      <c r="G24" s="52"/>
      <c r="H24" s="23"/>
      <c r="I24" s="23"/>
      <c r="J24" s="52"/>
      <c r="K24" s="17"/>
      <c r="L24" s="17"/>
      <c r="M24" s="17"/>
      <c r="R24" s="214">
        <v>22</v>
      </c>
      <c r="S24" s="215">
        <f t="shared" si="1"/>
        <v>9</v>
      </c>
      <c r="U24" s="214">
        <v>22</v>
      </c>
      <c r="V24" s="215">
        <f t="shared" si="2"/>
        <v>1</v>
      </c>
      <c r="X24" s="214">
        <v>22</v>
      </c>
      <c r="Y24" s="215">
        <f t="shared" si="4"/>
        <v>2</v>
      </c>
      <c r="AA24" s="214">
        <v>22</v>
      </c>
      <c r="AB24" s="215">
        <f t="shared" si="5"/>
        <v>3</v>
      </c>
      <c r="AD24" s="214">
        <v>22</v>
      </c>
      <c r="AE24" s="215">
        <f t="shared" si="6"/>
        <v>4</v>
      </c>
      <c r="AG24" s="214">
        <v>22</v>
      </c>
      <c r="AH24" s="215">
        <f t="shared" si="7"/>
        <v>5</v>
      </c>
      <c r="AJ24" s="214">
        <v>22</v>
      </c>
      <c r="AK24" s="215">
        <f t="shared" si="8"/>
        <v>6</v>
      </c>
      <c r="AM24" s="214">
        <v>22</v>
      </c>
      <c r="AN24" s="215">
        <f t="shared" si="9"/>
        <v>7</v>
      </c>
      <c r="AP24" s="214">
        <v>22</v>
      </c>
      <c r="AQ24" s="215">
        <f t="shared" si="10"/>
        <v>8</v>
      </c>
      <c r="AS24" s="214">
        <v>22</v>
      </c>
      <c r="AT24" s="215">
        <f t="shared" si="11"/>
        <v>9</v>
      </c>
      <c r="AV24" s="214">
        <v>22</v>
      </c>
      <c r="AW24" s="215">
        <f t="shared" si="12"/>
        <v>1</v>
      </c>
      <c r="AY24" s="214">
        <v>22</v>
      </c>
      <c r="AZ24" s="215">
        <f t="shared" si="13"/>
        <v>2</v>
      </c>
      <c r="CA24" s="376">
        <v>43853</v>
      </c>
      <c r="CB24" s="46" t="str">
        <f t="shared" si="3"/>
        <v>23-Jan</v>
      </c>
      <c r="CC24" s="46" t="s">
        <v>114</v>
      </c>
      <c r="CD24" s="46" t="s">
        <v>132</v>
      </c>
      <c r="CE24" s="46" t="str">
        <f t="shared" si="0"/>
        <v>Aquarius - Air</v>
      </c>
    </row>
    <row r="25" spans="1:83" x14ac:dyDescent="0.3">
      <c r="B25" s="530" t="s">
        <v>256</v>
      </c>
      <c r="C25" s="530" t="s">
        <v>257</v>
      </c>
      <c r="D25" s="23"/>
      <c r="E25" s="23"/>
      <c r="F25" s="23"/>
      <c r="G25" s="23"/>
      <c r="H25" s="23"/>
      <c r="I25" s="23"/>
      <c r="J25" s="23"/>
      <c r="K25" s="17"/>
      <c r="L25" s="17"/>
      <c r="M25" s="17"/>
      <c r="R25" s="214">
        <v>23</v>
      </c>
      <c r="S25" s="215">
        <f t="shared" si="1"/>
        <v>1</v>
      </c>
      <c r="U25" s="214">
        <v>23</v>
      </c>
      <c r="V25" s="215">
        <f t="shared" si="2"/>
        <v>2</v>
      </c>
      <c r="X25" s="214">
        <v>23</v>
      </c>
      <c r="Y25" s="215">
        <f t="shared" si="4"/>
        <v>3</v>
      </c>
      <c r="AA25" s="214">
        <v>23</v>
      </c>
      <c r="AB25" s="215">
        <f t="shared" si="5"/>
        <v>4</v>
      </c>
      <c r="AD25" s="214">
        <v>23</v>
      </c>
      <c r="AE25" s="215">
        <f t="shared" si="6"/>
        <v>5</v>
      </c>
      <c r="AG25" s="214">
        <v>23</v>
      </c>
      <c r="AH25" s="215">
        <f t="shared" si="7"/>
        <v>6</v>
      </c>
      <c r="AJ25" s="214">
        <v>23</v>
      </c>
      <c r="AK25" s="215">
        <f t="shared" si="8"/>
        <v>7</v>
      </c>
      <c r="AM25" s="214">
        <v>23</v>
      </c>
      <c r="AN25" s="215">
        <f t="shared" si="9"/>
        <v>8</v>
      </c>
      <c r="AP25" s="214">
        <v>23</v>
      </c>
      <c r="AQ25" s="215">
        <f t="shared" si="10"/>
        <v>9</v>
      </c>
      <c r="AS25" s="214">
        <v>23</v>
      </c>
      <c r="AT25" s="215">
        <f t="shared" si="11"/>
        <v>1</v>
      </c>
      <c r="AV25" s="214">
        <v>23</v>
      </c>
      <c r="AW25" s="215">
        <f t="shared" si="12"/>
        <v>2</v>
      </c>
      <c r="AY25" s="214">
        <v>23</v>
      </c>
      <c r="AZ25" s="215">
        <f t="shared" si="13"/>
        <v>3</v>
      </c>
      <c r="CA25" s="376">
        <v>43854</v>
      </c>
      <c r="CB25" s="46" t="str">
        <f t="shared" si="3"/>
        <v>24-Jan</v>
      </c>
      <c r="CC25" s="46" t="s">
        <v>114</v>
      </c>
      <c r="CD25" s="46" t="s">
        <v>132</v>
      </c>
      <c r="CE25" s="46" t="str">
        <f t="shared" si="0"/>
        <v>Aquarius - Air</v>
      </c>
    </row>
    <row r="26" spans="1:83" x14ac:dyDescent="0.3">
      <c r="A26" s="531">
        <f>MOD(B26-1,9)+1</f>
        <v>8</v>
      </c>
      <c r="B26" s="43">
        <v>2015</v>
      </c>
      <c r="C26" s="43">
        <f>MOD($D$7+$G$7+A26-1,9)+1</f>
        <v>8</v>
      </c>
      <c r="D26" s="23"/>
      <c r="E26" s="23"/>
      <c r="F26" s="23"/>
      <c r="G26" s="23"/>
      <c r="H26" s="23"/>
      <c r="I26" s="23"/>
      <c r="J26" s="23"/>
      <c r="K26" s="17"/>
      <c r="L26" s="17"/>
      <c r="M26" s="17"/>
      <c r="R26" s="214">
        <v>24</v>
      </c>
      <c r="S26" s="215">
        <f t="shared" si="1"/>
        <v>2</v>
      </c>
      <c r="U26" s="214">
        <v>24</v>
      </c>
      <c r="V26" s="215">
        <f t="shared" si="2"/>
        <v>3</v>
      </c>
      <c r="X26" s="214">
        <v>24</v>
      </c>
      <c r="Y26" s="215">
        <f t="shared" si="4"/>
        <v>4</v>
      </c>
      <c r="AA26" s="214">
        <v>24</v>
      </c>
      <c r="AB26" s="215">
        <f t="shared" si="5"/>
        <v>5</v>
      </c>
      <c r="AD26" s="214">
        <v>24</v>
      </c>
      <c r="AE26" s="215">
        <f t="shared" si="6"/>
        <v>6</v>
      </c>
      <c r="AG26" s="214">
        <v>24</v>
      </c>
      <c r="AH26" s="215">
        <f t="shared" si="7"/>
        <v>7</v>
      </c>
      <c r="AJ26" s="214">
        <v>24</v>
      </c>
      <c r="AK26" s="215">
        <f t="shared" si="8"/>
        <v>8</v>
      </c>
      <c r="AM26" s="214">
        <v>24</v>
      </c>
      <c r="AN26" s="215">
        <f t="shared" si="9"/>
        <v>9</v>
      </c>
      <c r="AP26" s="214">
        <v>24</v>
      </c>
      <c r="AQ26" s="215">
        <f t="shared" si="10"/>
        <v>1</v>
      </c>
      <c r="AS26" s="214">
        <v>24</v>
      </c>
      <c r="AT26" s="215">
        <f t="shared" si="11"/>
        <v>2</v>
      </c>
      <c r="AV26" s="214">
        <v>24</v>
      </c>
      <c r="AW26" s="215">
        <f t="shared" si="12"/>
        <v>3</v>
      </c>
      <c r="AY26" s="214">
        <v>24</v>
      </c>
      <c r="AZ26" s="215">
        <f t="shared" si="13"/>
        <v>4</v>
      </c>
      <c r="CA26" s="376">
        <v>43855</v>
      </c>
      <c r="CB26" s="46" t="str">
        <f t="shared" si="3"/>
        <v>25-Jan</v>
      </c>
      <c r="CC26" s="46" t="s">
        <v>114</v>
      </c>
      <c r="CD26" s="46" t="s">
        <v>132</v>
      </c>
      <c r="CE26" s="46" t="str">
        <f t="shared" si="0"/>
        <v>Aquarius - Air</v>
      </c>
    </row>
    <row r="27" spans="1:83" x14ac:dyDescent="0.3">
      <c r="A27" s="531">
        <f t="shared" ref="A27:A40" si="15">MOD(B27-1,9)+1</f>
        <v>9</v>
      </c>
      <c r="B27" s="43">
        <v>2016</v>
      </c>
      <c r="C27" s="43">
        <f t="shared" ref="C27:C40" si="16">MOD($D$7+$G$7+A27-1,9)+1</f>
        <v>9</v>
      </c>
      <c r="D27" s="23"/>
      <c r="E27" s="23"/>
      <c r="F27" s="23"/>
      <c r="G27" s="23"/>
      <c r="H27" s="23"/>
      <c r="I27" s="23"/>
      <c r="J27" s="23"/>
      <c r="K27" s="17"/>
      <c r="L27" s="17"/>
      <c r="M27" s="17"/>
      <c r="R27" s="214">
        <v>25</v>
      </c>
      <c r="S27" s="215">
        <f t="shared" si="1"/>
        <v>3</v>
      </c>
      <c r="U27" s="214">
        <v>25</v>
      </c>
      <c r="V27" s="215">
        <f t="shared" si="2"/>
        <v>4</v>
      </c>
      <c r="X27" s="214">
        <v>25</v>
      </c>
      <c r="Y27" s="215">
        <f t="shared" si="4"/>
        <v>5</v>
      </c>
      <c r="AA27" s="214">
        <v>25</v>
      </c>
      <c r="AB27" s="215">
        <f t="shared" si="5"/>
        <v>6</v>
      </c>
      <c r="AD27" s="214">
        <v>25</v>
      </c>
      <c r="AE27" s="215">
        <f t="shared" si="6"/>
        <v>7</v>
      </c>
      <c r="AG27" s="214">
        <v>25</v>
      </c>
      <c r="AH27" s="215">
        <f t="shared" si="7"/>
        <v>8</v>
      </c>
      <c r="AJ27" s="214">
        <v>25</v>
      </c>
      <c r="AK27" s="215">
        <f t="shared" si="8"/>
        <v>9</v>
      </c>
      <c r="AM27" s="214">
        <v>25</v>
      </c>
      <c r="AN27" s="215">
        <f t="shared" si="9"/>
        <v>1</v>
      </c>
      <c r="AP27" s="214">
        <v>25</v>
      </c>
      <c r="AQ27" s="215">
        <f t="shared" si="10"/>
        <v>2</v>
      </c>
      <c r="AS27" s="214">
        <v>25</v>
      </c>
      <c r="AT27" s="215">
        <f t="shared" si="11"/>
        <v>3</v>
      </c>
      <c r="AV27" s="214">
        <v>25</v>
      </c>
      <c r="AW27" s="215">
        <f t="shared" si="12"/>
        <v>4</v>
      </c>
      <c r="AY27" s="214">
        <v>25</v>
      </c>
      <c r="AZ27" s="215">
        <f t="shared" si="13"/>
        <v>5</v>
      </c>
      <c r="CA27" s="376">
        <v>43856</v>
      </c>
      <c r="CB27" s="46" t="str">
        <f t="shared" si="3"/>
        <v>26-Jan</v>
      </c>
      <c r="CC27" s="46" t="s">
        <v>114</v>
      </c>
      <c r="CD27" s="46" t="s">
        <v>132</v>
      </c>
      <c r="CE27" s="46" t="str">
        <f t="shared" si="0"/>
        <v>Aquarius - Air</v>
      </c>
    </row>
    <row r="28" spans="1:83" x14ac:dyDescent="0.3">
      <c r="A28" s="531">
        <f t="shared" si="15"/>
        <v>1</v>
      </c>
      <c r="B28" s="43">
        <v>2017</v>
      </c>
      <c r="C28" s="43">
        <f t="shared" si="16"/>
        <v>1</v>
      </c>
      <c r="D28" s="23"/>
      <c r="E28" s="23"/>
      <c r="F28" s="23"/>
      <c r="G28" s="23"/>
      <c r="H28" s="23"/>
      <c r="I28" s="23"/>
      <c r="J28" s="23"/>
      <c r="K28" s="17"/>
      <c r="L28" s="17"/>
      <c r="M28" s="17"/>
      <c r="R28" s="214">
        <v>26</v>
      </c>
      <c r="S28" s="215">
        <f t="shared" si="1"/>
        <v>4</v>
      </c>
      <c r="U28" s="214">
        <v>26</v>
      </c>
      <c r="V28" s="215">
        <f t="shared" si="2"/>
        <v>5</v>
      </c>
      <c r="X28" s="214">
        <v>26</v>
      </c>
      <c r="Y28" s="215">
        <f t="shared" si="4"/>
        <v>6</v>
      </c>
      <c r="AA28" s="214">
        <v>26</v>
      </c>
      <c r="AB28" s="215">
        <f t="shared" si="5"/>
        <v>7</v>
      </c>
      <c r="AD28" s="214">
        <v>26</v>
      </c>
      <c r="AE28" s="215">
        <f t="shared" si="6"/>
        <v>8</v>
      </c>
      <c r="AG28" s="214">
        <v>26</v>
      </c>
      <c r="AH28" s="215">
        <f t="shared" si="7"/>
        <v>9</v>
      </c>
      <c r="AJ28" s="214">
        <v>26</v>
      </c>
      <c r="AK28" s="215">
        <f t="shared" si="8"/>
        <v>1</v>
      </c>
      <c r="AM28" s="214">
        <v>26</v>
      </c>
      <c r="AN28" s="215">
        <f t="shared" si="9"/>
        <v>2</v>
      </c>
      <c r="AP28" s="214">
        <v>26</v>
      </c>
      <c r="AQ28" s="215">
        <f t="shared" si="10"/>
        <v>3</v>
      </c>
      <c r="AS28" s="214">
        <v>26</v>
      </c>
      <c r="AT28" s="215">
        <f t="shared" si="11"/>
        <v>4</v>
      </c>
      <c r="AV28" s="214">
        <v>26</v>
      </c>
      <c r="AW28" s="215">
        <f t="shared" si="12"/>
        <v>5</v>
      </c>
      <c r="AY28" s="214">
        <v>26</v>
      </c>
      <c r="AZ28" s="215">
        <f t="shared" si="13"/>
        <v>6</v>
      </c>
      <c r="CA28" s="376">
        <v>43857</v>
      </c>
      <c r="CB28" s="46" t="str">
        <f t="shared" si="3"/>
        <v>27-Jan</v>
      </c>
      <c r="CC28" s="46" t="s">
        <v>114</v>
      </c>
      <c r="CD28" s="46" t="s">
        <v>132</v>
      </c>
      <c r="CE28" s="46" t="str">
        <f t="shared" si="0"/>
        <v>Aquarius - Air</v>
      </c>
    </row>
    <row r="29" spans="1:83" x14ac:dyDescent="0.3">
      <c r="A29" s="531">
        <f t="shared" si="15"/>
        <v>2</v>
      </c>
      <c r="B29" s="43">
        <v>2018</v>
      </c>
      <c r="C29" s="43">
        <f t="shared" si="16"/>
        <v>2</v>
      </c>
      <c r="F29" s="43"/>
      <c r="G29" s="43"/>
      <c r="H29" s="43"/>
      <c r="R29" s="214">
        <v>27</v>
      </c>
      <c r="S29" s="215">
        <f t="shared" si="1"/>
        <v>5</v>
      </c>
      <c r="U29" s="214">
        <v>27</v>
      </c>
      <c r="V29" s="215">
        <f t="shared" si="2"/>
        <v>6</v>
      </c>
      <c r="X29" s="214">
        <v>27</v>
      </c>
      <c r="Y29" s="215">
        <f t="shared" si="4"/>
        <v>7</v>
      </c>
      <c r="AA29" s="214">
        <v>27</v>
      </c>
      <c r="AB29" s="215">
        <f t="shared" si="5"/>
        <v>8</v>
      </c>
      <c r="AD29" s="214">
        <v>27</v>
      </c>
      <c r="AE29" s="215">
        <f t="shared" si="6"/>
        <v>9</v>
      </c>
      <c r="AG29" s="214">
        <v>27</v>
      </c>
      <c r="AH29" s="215">
        <f t="shared" si="7"/>
        <v>1</v>
      </c>
      <c r="AJ29" s="214">
        <v>27</v>
      </c>
      <c r="AK29" s="215">
        <f t="shared" si="8"/>
        <v>2</v>
      </c>
      <c r="AM29" s="214">
        <v>27</v>
      </c>
      <c r="AN29" s="215">
        <f t="shared" si="9"/>
        <v>3</v>
      </c>
      <c r="AP29" s="214">
        <v>27</v>
      </c>
      <c r="AQ29" s="215">
        <f t="shared" si="10"/>
        <v>4</v>
      </c>
      <c r="AS29" s="214">
        <v>27</v>
      </c>
      <c r="AT29" s="215">
        <f t="shared" si="11"/>
        <v>5</v>
      </c>
      <c r="AV29" s="214">
        <v>27</v>
      </c>
      <c r="AW29" s="215">
        <f t="shared" si="12"/>
        <v>6</v>
      </c>
      <c r="AY29" s="214">
        <v>27</v>
      </c>
      <c r="AZ29" s="215">
        <f t="shared" si="13"/>
        <v>7</v>
      </c>
      <c r="CA29" s="376">
        <v>43858</v>
      </c>
      <c r="CB29" s="46" t="str">
        <f t="shared" si="3"/>
        <v>28-Jan</v>
      </c>
      <c r="CC29" s="46" t="s">
        <v>114</v>
      </c>
      <c r="CD29" s="46" t="s">
        <v>132</v>
      </c>
      <c r="CE29" s="46" t="str">
        <f t="shared" si="0"/>
        <v>Aquarius - Air</v>
      </c>
    </row>
    <row r="30" spans="1:83" x14ac:dyDescent="0.3">
      <c r="A30" s="531">
        <f t="shared" si="15"/>
        <v>3</v>
      </c>
      <c r="B30" s="43">
        <v>2019</v>
      </c>
      <c r="C30" s="43">
        <f t="shared" si="16"/>
        <v>3</v>
      </c>
      <c r="F30" s="43"/>
      <c r="G30" s="43"/>
      <c r="H30" s="43"/>
      <c r="R30" s="214">
        <v>28</v>
      </c>
      <c r="S30" s="215">
        <f t="shared" si="1"/>
        <v>6</v>
      </c>
      <c r="U30" s="214">
        <v>28</v>
      </c>
      <c r="V30" s="215">
        <f t="shared" si="2"/>
        <v>7</v>
      </c>
      <c r="X30" s="214">
        <v>28</v>
      </c>
      <c r="Y30" s="215">
        <f t="shared" si="4"/>
        <v>8</v>
      </c>
      <c r="AA30" s="214">
        <v>28</v>
      </c>
      <c r="AB30" s="215">
        <f t="shared" si="5"/>
        <v>9</v>
      </c>
      <c r="AD30" s="214">
        <v>28</v>
      </c>
      <c r="AE30" s="215">
        <f t="shared" si="6"/>
        <v>1</v>
      </c>
      <c r="AG30" s="214">
        <v>28</v>
      </c>
      <c r="AH30" s="215">
        <f t="shared" si="7"/>
        <v>2</v>
      </c>
      <c r="AJ30" s="214">
        <v>28</v>
      </c>
      <c r="AK30" s="215">
        <f t="shared" si="8"/>
        <v>3</v>
      </c>
      <c r="AM30" s="214">
        <v>28</v>
      </c>
      <c r="AN30" s="215">
        <f t="shared" si="9"/>
        <v>4</v>
      </c>
      <c r="AP30" s="214">
        <v>28</v>
      </c>
      <c r="AQ30" s="215">
        <f t="shared" si="10"/>
        <v>5</v>
      </c>
      <c r="AS30" s="214">
        <v>28</v>
      </c>
      <c r="AT30" s="215">
        <f t="shared" si="11"/>
        <v>6</v>
      </c>
      <c r="AV30" s="214">
        <v>28</v>
      </c>
      <c r="AW30" s="215">
        <f t="shared" si="12"/>
        <v>7</v>
      </c>
      <c r="AY30" s="214">
        <v>28</v>
      </c>
      <c r="AZ30" s="215">
        <f t="shared" si="13"/>
        <v>8</v>
      </c>
      <c r="CA30" s="376">
        <v>43859</v>
      </c>
      <c r="CB30" s="46" t="str">
        <f t="shared" si="3"/>
        <v>29-Jan</v>
      </c>
      <c r="CC30" s="46" t="s">
        <v>114</v>
      </c>
      <c r="CD30" s="46" t="s">
        <v>132</v>
      </c>
      <c r="CE30" s="46" t="str">
        <f t="shared" si="0"/>
        <v>Aquarius - Air</v>
      </c>
    </row>
    <row r="31" spans="1:83" ht="15" thickBot="1" x14ac:dyDescent="0.35">
      <c r="A31" s="531">
        <f t="shared" si="15"/>
        <v>4</v>
      </c>
      <c r="B31" s="43">
        <v>2020</v>
      </c>
      <c r="C31" s="43">
        <f t="shared" si="16"/>
        <v>4</v>
      </c>
      <c r="F31" s="43"/>
      <c r="G31" s="43"/>
      <c r="H31" s="43"/>
      <c r="R31" s="214">
        <v>29</v>
      </c>
      <c r="S31" s="215">
        <f t="shared" si="1"/>
        <v>7</v>
      </c>
      <c r="U31" s="234">
        <v>29</v>
      </c>
      <c r="V31" s="215">
        <f t="shared" si="2"/>
        <v>8</v>
      </c>
      <c r="X31" s="214">
        <v>29</v>
      </c>
      <c r="Y31" s="215">
        <f t="shared" si="4"/>
        <v>9</v>
      </c>
      <c r="AA31" s="214">
        <v>29</v>
      </c>
      <c r="AB31" s="215">
        <f t="shared" si="5"/>
        <v>1</v>
      </c>
      <c r="AD31" s="214">
        <v>29</v>
      </c>
      <c r="AE31" s="215">
        <f t="shared" si="6"/>
        <v>2</v>
      </c>
      <c r="AG31" s="214">
        <v>29</v>
      </c>
      <c r="AH31" s="215">
        <f t="shared" si="7"/>
        <v>3</v>
      </c>
      <c r="AJ31" s="214">
        <v>29</v>
      </c>
      <c r="AK31" s="215">
        <f t="shared" si="8"/>
        <v>4</v>
      </c>
      <c r="AM31" s="214">
        <v>29</v>
      </c>
      <c r="AN31" s="215">
        <f t="shared" si="9"/>
        <v>5</v>
      </c>
      <c r="AP31" s="214">
        <v>29</v>
      </c>
      <c r="AQ31" s="215">
        <f t="shared" si="10"/>
        <v>6</v>
      </c>
      <c r="AS31" s="214">
        <v>29</v>
      </c>
      <c r="AT31" s="215">
        <f t="shared" si="11"/>
        <v>7</v>
      </c>
      <c r="AV31" s="214">
        <v>29</v>
      </c>
      <c r="AW31" s="215">
        <f t="shared" si="12"/>
        <v>8</v>
      </c>
      <c r="AY31" s="214">
        <v>29</v>
      </c>
      <c r="AZ31" s="215">
        <f t="shared" si="13"/>
        <v>9</v>
      </c>
      <c r="CA31" s="376">
        <v>43860</v>
      </c>
      <c r="CB31" s="46" t="str">
        <f t="shared" si="3"/>
        <v>30-Jan</v>
      </c>
      <c r="CC31" s="46" t="s">
        <v>114</v>
      </c>
      <c r="CD31" s="46" t="s">
        <v>132</v>
      </c>
      <c r="CE31" s="46" t="str">
        <f t="shared" si="0"/>
        <v>Aquarius - Air</v>
      </c>
    </row>
    <row r="32" spans="1:83" ht="15" thickBot="1" x14ac:dyDescent="0.35">
      <c r="A32" s="531">
        <f t="shared" si="15"/>
        <v>5</v>
      </c>
      <c r="B32" s="43">
        <v>2021</v>
      </c>
      <c r="C32" s="43">
        <f t="shared" si="16"/>
        <v>5</v>
      </c>
      <c r="F32" s="43"/>
      <c r="G32" s="43"/>
      <c r="H32" s="43"/>
      <c r="R32" s="214">
        <v>30</v>
      </c>
      <c r="S32" s="215">
        <f t="shared" si="1"/>
        <v>8</v>
      </c>
      <c r="X32" s="214">
        <v>30</v>
      </c>
      <c r="Y32" s="215">
        <f t="shared" si="4"/>
        <v>1</v>
      </c>
      <c r="AA32" s="234">
        <v>30</v>
      </c>
      <c r="AB32" s="235">
        <f t="shared" si="5"/>
        <v>2</v>
      </c>
      <c r="AD32" s="214">
        <v>30</v>
      </c>
      <c r="AE32" s="215">
        <f t="shared" si="6"/>
        <v>3</v>
      </c>
      <c r="AG32" s="234">
        <v>30</v>
      </c>
      <c r="AH32" s="235">
        <f t="shared" si="7"/>
        <v>4</v>
      </c>
      <c r="AJ32" s="214">
        <v>30</v>
      </c>
      <c r="AK32" s="215">
        <f t="shared" si="8"/>
        <v>5</v>
      </c>
      <c r="AM32" s="214">
        <v>30</v>
      </c>
      <c r="AN32" s="215">
        <f t="shared" si="9"/>
        <v>6</v>
      </c>
      <c r="AP32" s="234">
        <v>30</v>
      </c>
      <c r="AQ32" s="235">
        <f t="shared" si="10"/>
        <v>7</v>
      </c>
      <c r="AS32" s="214">
        <v>30</v>
      </c>
      <c r="AT32" s="215">
        <f t="shared" si="11"/>
        <v>8</v>
      </c>
      <c r="AV32" s="234">
        <v>30</v>
      </c>
      <c r="AW32" s="235">
        <f t="shared" si="12"/>
        <v>9</v>
      </c>
      <c r="AY32" s="214">
        <v>30</v>
      </c>
      <c r="AZ32" s="215">
        <f t="shared" si="13"/>
        <v>1</v>
      </c>
      <c r="CA32" s="376">
        <v>43861</v>
      </c>
      <c r="CB32" s="46" t="str">
        <f t="shared" si="3"/>
        <v>31-Jan</v>
      </c>
      <c r="CC32" s="46" t="s">
        <v>114</v>
      </c>
      <c r="CD32" s="46" t="s">
        <v>132</v>
      </c>
      <c r="CE32" s="46" t="str">
        <f t="shared" si="0"/>
        <v>Aquarius - Air</v>
      </c>
    </row>
    <row r="33" spans="1:83" ht="15" thickBot="1" x14ac:dyDescent="0.35">
      <c r="A33" s="531">
        <f t="shared" si="15"/>
        <v>6</v>
      </c>
      <c r="B33" s="43">
        <v>2022</v>
      </c>
      <c r="C33" s="43">
        <f t="shared" si="16"/>
        <v>6</v>
      </c>
      <c r="F33" s="43"/>
      <c r="G33" s="43"/>
      <c r="H33" s="43"/>
      <c r="R33" s="234">
        <v>31</v>
      </c>
      <c r="S33" s="235">
        <f t="shared" si="1"/>
        <v>9</v>
      </c>
      <c r="X33" s="234">
        <v>31</v>
      </c>
      <c r="Y33" s="235">
        <f t="shared" si="4"/>
        <v>2</v>
      </c>
      <c r="AD33" s="234">
        <v>31</v>
      </c>
      <c r="AE33" s="235">
        <f t="shared" si="6"/>
        <v>4</v>
      </c>
      <c r="AJ33" s="234">
        <v>31</v>
      </c>
      <c r="AK33" s="235">
        <f t="shared" si="8"/>
        <v>6</v>
      </c>
      <c r="AL33" s="236"/>
      <c r="AM33" s="234">
        <v>31</v>
      </c>
      <c r="AN33" s="235">
        <f t="shared" si="9"/>
        <v>7</v>
      </c>
      <c r="AS33" s="234">
        <v>31</v>
      </c>
      <c r="AT33" s="235">
        <f t="shared" si="11"/>
        <v>9</v>
      </c>
      <c r="AY33" s="234">
        <v>31</v>
      </c>
      <c r="AZ33" s="235">
        <f t="shared" si="13"/>
        <v>2</v>
      </c>
      <c r="CA33" s="376">
        <v>43862</v>
      </c>
      <c r="CB33" s="46" t="str">
        <f t="shared" si="3"/>
        <v>01-Feb</v>
      </c>
      <c r="CC33" s="46" t="s">
        <v>114</v>
      </c>
      <c r="CD33" s="46" t="s">
        <v>132</v>
      </c>
      <c r="CE33" s="46" t="str">
        <f t="shared" si="0"/>
        <v>Aquarius - Air</v>
      </c>
    </row>
    <row r="34" spans="1:83" x14ac:dyDescent="0.3">
      <c r="A34" s="531">
        <f t="shared" si="15"/>
        <v>7</v>
      </c>
      <c r="B34" s="43">
        <v>2023</v>
      </c>
      <c r="C34" s="43">
        <f t="shared" si="16"/>
        <v>7</v>
      </c>
      <c r="F34" s="43"/>
      <c r="G34" s="43"/>
      <c r="H34" s="43"/>
      <c r="CA34" s="376">
        <v>43863</v>
      </c>
      <c r="CB34" s="46" t="str">
        <f t="shared" si="3"/>
        <v>02-Feb</v>
      </c>
      <c r="CC34" s="46" t="s">
        <v>114</v>
      </c>
      <c r="CD34" s="46" t="s">
        <v>132</v>
      </c>
      <c r="CE34" s="46" t="str">
        <f t="shared" si="0"/>
        <v>Aquarius - Air</v>
      </c>
    </row>
    <row r="35" spans="1:83" x14ac:dyDescent="0.3">
      <c r="A35" s="531">
        <f t="shared" si="15"/>
        <v>8</v>
      </c>
      <c r="B35" s="43">
        <v>2024</v>
      </c>
      <c r="C35" s="43">
        <f t="shared" si="16"/>
        <v>8</v>
      </c>
      <c r="F35" s="43"/>
      <c r="G35" s="43"/>
      <c r="H35" s="43"/>
      <c r="CA35" s="376">
        <v>43864</v>
      </c>
      <c r="CB35" s="46" t="str">
        <f t="shared" si="3"/>
        <v>03-Feb</v>
      </c>
      <c r="CC35" s="46" t="s">
        <v>114</v>
      </c>
      <c r="CD35" s="46" t="s">
        <v>132</v>
      </c>
      <c r="CE35" s="46" t="str">
        <f t="shared" si="0"/>
        <v>Aquarius - Air</v>
      </c>
    </row>
    <row r="36" spans="1:83" x14ac:dyDescent="0.3">
      <c r="A36" s="531">
        <f t="shared" si="15"/>
        <v>9</v>
      </c>
      <c r="B36" s="43">
        <v>2025</v>
      </c>
      <c r="C36" s="43">
        <f t="shared" si="16"/>
        <v>9</v>
      </c>
      <c r="CA36" s="376">
        <v>43865</v>
      </c>
      <c r="CB36" s="46" t="str">
        <f t="shared" si="3"/>
        <v>04-Feb</v>
      </c>
      <c r="CC36" s="46" t="s">
        <v>114</v>
      </c>
      <c r="CD36" s="46" t="s">
        <v>132</v>
      </c>
      <c r="CE36" s="46" t="str">
        <f t="shared" si="0"/>
        <v>Aquarius - Air</v>
      </c>
    </row>
    <row r="37" spans="1:83" x14ac:dyDescent="0.3">
      <c r="A37" s="531">
        <f t="shared" si="15"/>
        <v>1</v>
      </c>
      <c r="B37" s="43">
        <v>2026</v>
      </c>
      <c r="C37" s="43">
        <f t="shared" si="16"/>
        <v>1</v>
      </c>
      <c r="CA37" s="376">
        <v>43866</v>
      </c>
      <c r="CB37" s="46" t="str">
        <f t="shared" si="3"/>
        <v>05-Feb</v>
      </c>
      <c r="CC37" s="46" t="s">
        <v>114</v>
      </c>
      <c r="CD37" s="46" t="s">
        <v>132</v>
      </c>
      <c r="CE37" s="46" t="str">
        <f t="shared" si="0"/>
        <v>Aquarius - Air</v>
      </c>
    </row>
    <row r="38" spans="1:83" x14ac:dyDescent="0.3">
      <c r="A38" s="531">
        <f t="shared" si="15"/>
        <v>2</v>
      </c>
      <c r="B38" s="43">
        <v>2027</v>
      </c>
      <c r="C38" s="43">
        <f t="shared" si="16"/>
        <v>2</v>
      </c>
      <c r="CA38" s="376">
        <v>43867</v>
      </c>
      <c r="CB38" s="46" t="str">
        <f t="shared" si="3"/>
        <v>06-Feb</v>
      </c>
      <c r="CC38" s="46" t="s">
        <v>114</v>
      </c>
      <c r="CD38" s="46" t="s">
        <v>132</v>
      </c>
      <c r="CE38" s="46" t="str">
        <f t="shared" si="0"/>
        <v>Aquarius - Air</v>
      </c>
    </row>
    <row r="39" spans="1:83" x14ac:dyDescent="0.3">
      <c r="A39" s="531">
        <f t="shared" si="15"/>
        <v>3</v>
      </c>
      <c r="B39" s="43">
        <v>2028</v>
      </c>
      <c r="C39" s="43">
        <f t="shared" si="16"/>
        <v>3</v>
      </c>
      <c r="CA39" s="376">
        <v>43868</v>
      </c>
      <c r="CB39" s="46" t="str">
        <f t="shared" si="3"/>
        <v>07-Feb</v>
      </c>
      <c r="CC39" s="46" t="s">
        <v>114</v>
      </c>
      <c r="CD39" s="46" t="s">
        <v>132</v>
      </c>
      <c r="CE39" s="46" t="str">
        <f t="shared" si="0"/>
        <v>Aquarius - Air</v>
      </c>
    </row>
    <row r="40" spans="1:83" x14ac:dyDescent="0.3">
      <c r="A40" s="531">
        <f t="shared" si="15"/>
        <v>4</v>
      </c>
      <c r="B40" s="43">
        <v>2029</v>
      </c>
      <c r="C40" s="43">
        <f t="shared" si="16"/>
        <v>4</v>
      </c>
      <c r="CA40" s="376">
        <v>43869</v>
      </c>
      <c r="CB40" s="46" t="str">
        <f t="shared" si="3"/>
        <v>08-Feb</v>
      </c>
      <c r="CC40" s="46" t="s">
        <v>114</v>
      </c>
      <c r="CD40" s="46" t="s">
        <v>132</v>
      </c>
      <c r="CE40" s="46" t="str">
        <f t="shared" si="0"/>
        <v>Aquarius - Air</v>
      </c>
    </row>
    <row r="41" spans="1:83" x14ac:dyDescent="0.3">
      <c r="CA41" s="376">
        <v>43870</v>
      </c>
      <c r="CB41" s="46" t="str">
        <f t="shared" si="3"/>
        <v>09-Feb</v>
      </c>
      <c r="CC41" s="46" t="s">
        <v>114</v>
      </c>
      <c r="CD41" s="46" t="s">
        <v>132</v>
      </c>
      <c r="CE41" s="46" t="str">
        <f t="shared" si="0"/>
        <v>Aquarius - Air</v>
      </c>
    </row>
    <row r="42" spans="1:83" x14ac:dyDescent="0.3">
      <c r="CA42" s="376">
        <v>43871</v>
      </c>
      <c r="CB42" s="46" t="str">
        <f t="shared" si="3"/>
        <v>10-Feb</v>
      </c>
      <c r="CC42" s="46" t="s">
        <v>114</v>
      </c>
      <c r="CD42" s="46" t="s">
        <v>132</v>
      </c>
      <c r="CE42" s="46" t="str">
        <f t="shared" si="0"/>
        <v>Aquarius - Air</v>
      </c>
    </row>
    <row r="43" spans="1:83" x14ac:dyDescent="0.3">
      <c r="CA43" s="376">
        <v>43872</v>
      </c>
      <c r="CB43" s="46" t="str">
        <f t="shared" si="3"/>
        <v>11-Feb</v>
      </c>
      <c r="CC43" s="46" t="s">
        <v>114</v>
      </c>
      <c r="CD43" s="46" t="s">
        <v>132</v>
      </c>
      <c r="CE43" s="46" t="str">
        <f t="shared" si="0"/>
        <v>Aquarius - Air</v>
      </c>
    </row>
    <row r="44" spans="1:83" x14ac:dyDescent="0.3">
      <c r="CA44" s="376">
        <v>43873</v>
      </c>
      <c r="CB44" s="46" t="str">
        <f t="shared" si="3"/>
        <v>12-Feb</v>
      </c>
      <c r="CC44" s="46" t="s">
        <v>114</v>
      </c>
      <c r="CD44" s="46" t="s">
        <v>132</v>
      </c>
      <c r="CE44" s="46" t="str">
        <f t="shared" si="0"/>
        <v>Aquarius - Air</v>
      </c>
    </row>
    <row r="45" spans="1:83" x14ac:dyDescent="0.3">
      <c r="CA45" s="376">
        <v>43874</v>
      </c>
      <c r="CB45" s="46" t="str">
        <f t="shared" si="3"/>
        <v>13-Feb</v>
      </c>
      <c r="CC45" s="46" t="s">
        <v>114</v>
      </c>
      <c r="CD45" s="46" t="s">
        <v>132</v>
      </c>
      <c r="CE45" s="46" t="str">
        <f t="shared" si="0"/>
        <v>Aquarius - Air</v>
      </c>
    </row>
    <row r="46" spans="1:83" x14ac:dyDescent="0.3">
      <c r="CA46" s="376">
        <v>43875</v>
      </c>
      <c r="CB46" s="46" t="str">
        <f t="shared" si="3"/>
        <v>14-Feb</v>
      </c>
      <c r="CC46" s="46" t="s">
        <v>114</v>
      </c>
      <c r="CD46" s="46" t="s">
        <v>132</v>
      </c>
      <c r="CE46" s="46" t="str">
        <f t="shared" si="0"/>
        <v>Aquarius - Air</v>
      </c>
    </row>
    <row r="47" spans="1:83" x14ac:dyDescent="0.3">
      <c r="CA47" s="376">
        <v>43876</v>
      </c>
      <c r="CB47" s="46" t="str">
        <f t="shared" si="3"/>
        <v>15-Feb</v>
      </c>
      <c r="CC47" s="46" t="s">
        <v>114</v>
      </c>
      <c r="CD47" s="46" t="s">
        <v>132</v>
      </c>
      <c r="CE47" s="46" t="str">
        <f t="shared" si="0"/>
        <v>Aquarius - Air</v>
      </c>
    </row>
    <row r="48" spans="1:83" x14ac:dyDescent="0.3">
      <c r="CA48" s="376">
        <v>43877</v>
      </c>
      <c r="CB48" s="46" t="str">
        <f t="shared" si="3"/>
        <v>16-Feb</v>
      </c>
      <c r="CC48" s="46" t="s">
        <v>114</v>
      </c>
      <c r="CD48" s="46" t="s">
        <v>132</v>
      </c>
      <c r="CE48" s="46" t="str">
        <f t="shared" si="0"/>
        <v>Aquarius - Air</v>
      </c>
    </row>
    <row r="49" spans="79:83" x14ac:dyDescent="0.3">
      <c r="CA49" s="376">
        <v>43878</v>
      </c>
      <c r="CB49" s="46" t="str">
        <f t="shared" si="3"/>
        <v>17-Feb</v>
      </c>
      <c r="CC49" s="46" t="s">
        <v>114</v>
      </c>
      <c r="CD49" s="46" t="s">
        <v>132</v>
      </c>
      <c r="CE49" s="46" t="str">
        <f t="shared" si="0"/>
        <v>Aquarius - Air</v>
      </c>
    </row>
    <row r="50" spans="79:83" x14ac:dyDescent="0.3">
      <c r="CA50" s="376">
        <v>43879</v>
      </c>
      <c r="CB50" s="46" t="str">
        <f t="shared" si="3"/>
        <v>18-Feb</v>
      </c>
      <c r="CC50" s="46" t="s">
        <v>114</v>
      </c>
      <c r="CD50" s="46" t="s">
        <v>132</v>
      </c>
      <c r="CE50" s="46" t="str">
        <f t="shared" si="0"/>
        <v>Aquarius - Air</v>
      </c>
    </row>
    <row r="51" spans="79:83" x14ac:dyDescent="0.3">
      <c r="CA51" s="376">
        <v>43880</v>
      </c>
      <c r="CB51" s="46" t="str">
        <f t="shared" si="3"/>
        <v>19-Feb</v>
      </c>
      <c r="CC51" s="46" t="s">
        <v>115</v>
      </c>
      <c r="CD51" s="46" t="s">
        <v>131</v>
      </c>
      <c r="CE51" s="46" t="str">
        <f t="shared" si="0"/>
        <v>Pisces - Water</v>
      </c>
    </row>
    <row r="52" spans="79:83" x14ac:dyDescent="0.3">
      <c r="CA52" s="376">
        <v>43881</v>
      </c>
      <c r="CB52" s="46" t="str">
        <f t="shared" si="3"/>
        <v>20-Feb</v>
      </c>
      <c r="CC52" s="46" t="s">
        <v>115</v>
      </c>
      <c r="CD52" s="46" t="s">
        <v>131</v>
      </c>
      <c r="CE52" s="46" t="str">
        <f t="shared" si="0"/>
        <v>Pisces - Water</v>
      </c>
    </row>
    <row r="53" spans="79:83" x14ac:dyDescent="0.3">
      <c r="CA53" s="376">
        <v>43882</v>
      </c>
      <c r="CB53" s="46" t="str">
        <f t="shared" si="3"/>
        <v>21-Feb</v>
      </c>
      <c r="CC53" s="46" t="s">
        <v>115</v>
      </c>
      <c r="CD53" s="46" t="s">
        <v>131</v>
      </c>
      <c r="CE53" s="46" t="str">
        <f t="shared" si="0"/>
        <v>Pisces - Water</v>
      </c>
    </row>
    <row r="54" spans="79:83" x14ac:dyDescent="0.3">
      <c r="CA54" s="376">
        <v>43883</v>
      </c>
      <c r="CB54" s="46" t="str">
        <f t="shared" si="3"/>
        <v>22-Feb</v>
      </c>
      <c r="CC54" s="46" t="s">
        <v>115</v>
      </c>
      <c r="CD54" s="46" t="s">
        <v>131</v>
      </c>
      <c r="CE54" s="46" t="str">
        <f t="shared" si="0"/>
        <v>Pisces - Water</v>
      </c>
    </row>
    <row r="55" spans="79:83" x14ac:dyDescent="0.3">
      <c r="CA55" s="376">
        <v>43884</v>
      </c>
      <c r="CB55" s="46" t="str">
        <f t="shared" si="3"/>
        <v>23-Feb</v>
      </c>
      <c r="CC55" s="46" t="s">
        <v>115</v>
      </c>
      <c r="CD55" s="46" t="s">
        <v>131</v>
      </c>
      <c r="CE55" s="46" t="str">
        <f t="shared" si="0"/>
        <v>Pisces - Water</v>
      </c>
    </row>
    <row r="56" spans="79:83" x14ac:dyDescent="0.3">
      <c r="CA56" s="376">
        <v>43885</v>
      </c>
      <c r="CB56" s="46" t="str">
        <f t="shared" si="3"/>
        <v>24-Feb</v>
      </c>
      <c r="CC56" s="46" t="s">
        <v>115</v>
      </c>
      <c r="CD56" s="46" t="s">
        <v>131</v>
      </c>
      <c r="CE56" s="46" t="str">
        <f t="shared" si="0"/>
        <v>Pisces - Water</v>
      </c>
    </row>
    <row r="57" spans="79:83" x14ac:dyDescent="0.3">
      <c r="CA57" s="376">
        <v>43886</v>
      </c>
      <c r="CB57" s="46" t="str">
        <f t="shared" si="3"/>
        <v>25-Feb</v>
      </c>
      <c r="CC57" s="46" t="s">
        <v>115</v>
      </c>
      <c r="CD57" s="46" t="s">
        <v>131</v>
      </c>
      <c r="CE57" s="46" t="str">
        <f t="shared" si="0"/>
        <v>Pisces - Water</v>
      </c>
    </row>
    <row r="58" spans="79:83" x14ac:dyDescent="0.3">
      <c r="CA58" s="376">
        <v>43887</v>
      </c>
      <c r="CB58" s="46" t="str">
        <f t="shared" si="3"/>
        <v>26-Feb</v>
      </c>
      <c r="CC58" s="46" t="s">
        <v>115</v>
      </c>
      <c r="CD58" s="46" t="s">
        <v>131</v>
      </c>
      <c r="CE58" s="46" t="str">
        <f t="shared" si="0"/>
        <v>Pisces - Water</v>
      </c>
    </row>
    <row r="59" spans="79:83" x14ac:dyDescent="0.3">
      <c r="CA59" s="376">
        <v>43888</v>
      </c>
      <c r="CB59" s="46" t="str">
        <f t="shared" si="3"/>
        <v>27-Feb</v>
      </c>
      <c r="CC59" s="46" t="s">
        <v>115</v>
      </c>
      <c r="CD59" s="46" t="s">
        <v>131</v>
      </c>
      <c r="CE59" s="46" t="str">
        <f t="shared" si="0"/>
        <v>Pisces - Water</v>
      </c>
    </row>
    <row r="60" spans="79:83" x14ac:dyDescent="0.3">
      <c r="CA60" s="376">
        <v>43889</v>
      </c>
      <c r="CB60" s="46" t="str">
        <f t="shared" si="3"/>
        <v>28-Feb</v>
      </c>
      <c r="CC60" s="46" t="s">
        <v>115</v>
      </c>
      <c r="CD60" s="46" t="s">
        <v>131</v>
      </c>
      <c r="CE60" s="46" t="str">
        <f t="shared" si="0"/>
        <v>Pisces - Water</v>
      </c>
    </row>
    <row r="61" spans="79:83" x14ac:dyDescent="0.3">
      <c r="CA61" s="376">
        <v>43890</v>
      </c>
      <c r="CB61" s="46" t="str">
        <f t="shared" si="3"/>
        <v>29-Feb</v>
      </c>
      <c r="CC61" s="46" t="s">
        <v>115</v>
      </c>
      <c r="CD61" s="46" t="s">
        <v>131</v>
      </c>
      <c r="CE61" s="46" t="str">
        <f t="shared" si="0"/>
        <v>Pisces - Water</v>
      </c>
    </row>
    <row r="62" spans="79:83" x14ac:dyDescent="0.3">
      <c r="CA62" s="376">
        <v>43891</v>
      </c>
      <c r="CB62" s="46" t="str">
        <f t="shared" si="3"/>
        <v>01-Mar</v>
      </c>
      <c r="CC62" s="46" t="s">
        <v>115</v>
      </c>
      <c r="CD62" s="46" t="s">
        <v>131</v>
      </c>
      <c r="CE62" s="46" t="str">
        <f t="shared" si="0"/>
        <v>Pisces - Water</v>
      </c>
    </row>
    <row r="63" spans="79:83" x14ac:dyDescent="0.3">
      <c r="CA63" s="376">
        <v>43892</v>
      </c>
      <c r="CB63" s="46" t="str">
        <f t="shared" si="3"/>
        <v>02-Mar</v>
      </c>
      <c r="CC63" s="46" t="s">
        <v>115</v>
      </c>
      <c r="CD63" s="46" t="s">
        <v>131</v>
      </c>
      <c r="CE63" s="46" t="str">
        <f t="shared" si="0"/>
        <v>Pisces - Water</v>
      </c>
    </row>
    <row r="64" spans="79:83" x14ac:dyDescent="0.3">
      <c r="CA64" s="376">
        <v>43893</v>
      </c>
      <c r="CB64" s="46" t="str">
        <f t="shared" si="3"/>
        <v>03-Mar</v>
      </c>
      <c r="CC64" s="46" t="s">
        <v>115</v>
      </c>
      <c r="CD64" s="46" t="s">
        <v>131</v>
      </c>
      <c r="CE64" s="46" t="str">
        <f t="shared" si="0"/>
        <v>Pisces - Water</v>
      </c>
    </row>
    <row r="65" spans="79:83" x14ac:dyDescent="0.3">
      <c r="CA65" s="376">
        <v>43894</v>
      </c>
      <c r="CB65" s="46" t="str">
        <f t="shared" si="3"/>
        <v>04-Mar</v>
      </c>
      <c r="CC65" s="46" t="s">
        <v>115</v>
      </c>
      <c r="CD65" s="46" t="s">
        <v>131</v>
      </c>
      <c r="CE65" s="46" t="str">
        <f t="shared" ref="CE65:CE128" si="17">CC65&amp;" - "&amp;CD65</f>
        <v>Pisces - Water</v>
      </c>
    </row>
    <row r="66" spans="79:83" x14ac:dyDescent="0.3">
      <c r="CA66" s="376">
        <v>43895</v>
      </c>
      <c r="CB66" s="46" t="str">
        <f t="shared" si="3"/>
        <v>05-Mar</v>
      </c>
      <c r="CC66" s="46" t="s">
        <v>115</v>
      </c>
      <c r="CD66" s="46" t="s">
        <v>131</v>
      </c>
      <c r="CE66" s="46" t="str">
        <f t="shared" si="17"/>
        <v>Pisces - Water</v>
      </c>
    </row>
    <row r="67" spans="79:83" x14ac:dyDescent="0.3">
      <c r="CA67" s="376">
        <v>43896</v>
      </c>
      <c r="CB67" s="46" t="str">
        <f t="shared" ref="CB67:CB130" si="18">TEXT(CA67,"DD-MMM")</f>
        <v>06-Mar</v>
      </c>
      <c r="CC67" s="46" t="s">
        <v>115</v>
      </c>
      <c r="CD67" s="46" t="s">
        <v>131</v>
      </c>
      <c r="CE67" s="46" t="str">
        <f t="shared" si="17"/>
        <v>Pisces - Water</v>
      </c>
    </row>
    <row r="68" spans="79:83" x14ac:dyDescent="0.3">
      <c r="CA68" s="376">
        <v>43897</v>
      </c>
      <c r="CB68" s="46" t="str">
        <f t="shared" si="18"/>
        <v>07-Mar</v>
      </c>
      <c r="CC68" s="46" t="s">
        <v>115</v>
      </c>
      <c r="CD68" s="46" t="s">
        <v>131</v>
      </c>
      <c r="CE68" s="46" t="str">
        <f t="shared" si="17"/>
        <v>Pisces - Water</v>
      </c>
    </row>
    <row r="69" spans="79:83" x14ac:dyDescent="0.3">
      <c r="CA69" s="376">
        <v>43898</v>
      </c>
      <c r="CB69" s="46" t="str">
        <f t="shared" si="18"/>
        <v>08-Mar</v>
      </c>
      <c r="CC69" s="46" t="s">
        <v>115</v>
      </c>
      <c r="CD69" s="46" t="s">
        <v>131</v>
      </c>
      <c r="CE69" s="46" t="str">
        <f t="shared" si="17"/>
        <v>Pisces - Water</v>
      </c>
    </row>
    <row r="70" spans="79:83" x14ac:dyDescent="0.3">
      <c r="CA70" s="376">
        <v>43899</v>
      </c>
      <c r="CB70" s="46" t="str">
        <f t="shared" si="18"/>
        <v>09-Mar</v>
      </c>
      <c r="CC70" s="46" t="s">
        <v>115</v>
      </c>
      <c r="CD70" s="46" t="s">
        <v>131</v>
      </c>
      <c r="CE70" s="46" t="str">
        <f t="shared" si="17"/>
        <v>Pisces - Water</v>
      </c>
    </row>
    <row r="71" spans="79:83" x14ac:dyDescent="0.3">
      <c r="CA71" s="376">
        <v>43900</v>
      </c>
      <c r="CB71" s="46" t="str">
        <f t="shared" si="18"/>
        <v>10-Mar</v>
      </c>
      <c r="CC71" s="46" t="s">
        <v>115</v>
      </c>
      <c r="CD71" s="46" t="s">
        <v>131</v>
      </c>
      <c r="CE71" s="46" t="str">
        <f t="shared" si="17"/>
        <v>Pisces - Water</v>
      </c>
    </row>
    <row r="72" spans="79:83" x14ac:dyDescent="0.3">
      <c r="CA72" s="376">
        <v>43901</v>
      </c>
      <c r="CB72" s="46" t="str">
        <f t="shared" si="18"/>
        <v>11-Mar</v>
      </c>
      <c r="CC72" s="46" t="s">
        <v>115</v>
      </c>
      <c r="CD72" s="46" t="s">
        <v>131</v>
      </c>
      <c r="CE72" s="46" t="str">
        <f t="shared" si="17"/>
        <v>Pisces - Water</v>
      </c>
    </row>
    <row r="73" spans="79:83" x14ac:dyDescent="0.3">
      <c r="CA73" s="376">
        <v>43902</v>
      </c>
      <c r="CB73" s="46" t="str">
        <f t="shared" si="18"/>
        <v>12-Mar</v>
      </c>
      <c r="CC73" s="46" t="s">
        <v>115</v>
      </c>
      <c r="CD73" s="46" t="s">
        <v>131</v>
      </c>
      <c r="CE73" s="46" t="str">
        <f t="shared" si="17"/>
        <v>Pisces - Water</v>
      </c>
    </row>
    <row r="74" spans="79:83" x14ac:dyDescent="0.3">
      <c r="CA74" s="376">
        <v>43903</v>
      </c>
      <c r="CB74" s="46" t="str">
        <f t="shared" si="18"/>
        <v>13-Mar</v>
      </c>
      <c r="CC74" s="46" t="s">
        <v>115</v>
      </c>
      <c r="CD74" s="46" t="s">
        <v>131</v>
      </c>
      <c r="CE74" s="46" t="str">
        <f t="shared" si="17"/>
        <v>Pisces - Water</v>
      </c>
    </row>
    <row r="75" spans="79:83" x14ac:dyDescent="0.3">
      <c r="CA75" s="376">
        <v>43904</v>
      </c>
      <c r="CB75" s="46" t="str">
        <f t="shared" si="18"/>
        <v>14-Mar</v>
      </c>
      <c r="CC75" s="46" t="s">
        <v>115</v>
      </c>
      <c r="CD75" s="46" t="s">
        <v>131</v>
      </c>
      <c r="CE75" s="46" t="str">
        <f t="shared" si="17"/>
        <v>Pisces - Water</v>
      </c>
    </row>
    <row r="76" spans="79:83" x14ac:dyDescent="0.3">
      <c r="CA76" s="376">
        <v>43905</v>
      </c>
      <c r="CB76" s="46" t="str">
        <f t="shared" si="18"/>
        <v>15-Mar</v>
      </c>
      <c r="CC76" s="46" t="s">
        <v>115</v>
      </c>
      <c r="CD76" s="46" t="s">
        <v>131</v>
      </c>
      <c r="CE76" s="46" t="str">
        <f t="shared" si="17"/>
        <v>Pisces - Water</v>
      </c>
    </row>
    <row r="77" spans="79:83" x14ac:dyDescent="0.3">
      <c r="CA77" s="376">
        <v>43906</v>
      </c>
      <c r="CB77" s="46" t="str">
        <f t="shared" si="18"/>
        <v>16-Mar</v>
      </c>
      <c r="CC77" s="46" t="s">
        <v>115</v>
      </c>
      <c r="CD77" s="46" t="s">
        <v>131</v>
      </c>
      <c r="CE77" s="46" t="str">
        <f t="shared" si="17"/>
        <v>Pisces - Water</v>
      </c>
    </row>
    <row r="78" spans="79:83" x14ac:dyDescent="0.3">
      <c r="CA78" s="376">
        <v>43907</v>
      </c>
      <c r="CB78" s="46" t="str">
        <f t="shared" si="18"/>
        <v>17-Mar</v>
      </c>
      <c r="CC78" s="46" t="s">
        <v>115</v>
      </c>
      <c r="CD78" s="46" t="s">
        <v>131</v>
      </c>
      <c r="CE78" s="46" t="str">
        <f t="shared" si="17"/>
        <v>Pisces - Water</v>
      </c>
    </row>
    <row r="79" spans="79:83" x14ac:dyDescent="0.3">
      <c r="CA79" s="376">
        <v>43908</v>
      </c>
      <c r="CB79" s="46" t="str">
        <f t="shared" si="18"/>
        <v>18-Mar</v>
      </c>
      <c r="CC79" s="46" t="s">
        <v>115</v>
      </c>
      <c r="CD79" s="46" t="s">
        <v>131</v>
      </c>
      <c r="CE79" s="46" t="str">
        <f t="shared" si="17"/>
        <v>Pisces - Water</v>
      </c>
    </row>
    <row r="80" spans="79:83" x14ac:dyDescent="0.3">
      <c r="CA80" s="376">
        <v>43909</v>
      </c>
      <c r="CB80" s="46" t="str">
        <f t="shared" si="18"/>
        <v>19-Mar</v>
      </c>
      <c r="CC80" s="46" t="s">
        <v>115</v>
      </c>
      <c r="CD80" s="46" t="s">
        <v>131</v>
      </c>
      <c r="CE80" s="46" t="str">
        <f t="shared" si="17"/>
        <v>Pisces - Water</v>
      </c>
    </row>
    <row r="81" spans="79:83" x14ac:dyDescent="0.3">
      <c r="CA81" s="376">
        <v>43910</v>
      </c>
      <c r="CB81" s="46" t="str">
        <f t="shared" si="18"/>
        <v>20-Mar</v>
      </c>
      <c r="CC81" s="46" t="s">
        <v>115</v>
      </c>
      <c r="CD81" s="46" t="s">
        <v>131</v>
      </c>
      <c r="CE81" s="46" t="str">
        <f t="shared" si="17"/>
        <v>Pisces - Water</v>
      </c>
    </row>
    <row r="82" spans="79:83" x14ac:dyDescent="0.3">
      <c r="CA82" s="376">
        <v>43911</v>
      </c>
      <c r="CB82" s="46" t="str">
        <f t="shared" si="18"/>
        <v>21-Mar</v>
      </c>
      <c r="CC82" s="46" t="s">
        <v>116</v>
      </c>
      <c r="CD82" s="46" t="s">
        <v>129</v>
      </c>
      <c r="CE82" s="46" t="str">
        <f t="shared" si="17"/>
        <v>Aries - Fire</v>
      </c>
    </row>
    <row r="83" spans="79:83" x14ac:dyDescent="0.3">
      <c r="CA83" s="376">
        <v>43912</v>
      </c>
      <c r="CB83" s="46" t="str">
        <f t="shared" si="18"/>
        <v>22-Mar</v>
      </c>
      <c r="CC83" s="46" t="s">
        <v>116</v>
      </c>
      <c r="CD83" s="46" t="s">
        <v>129</v>
      </c>
      <c r="CE83" s="46" t="str">
        <f t="shared" si="17"/>
        <v>Aries - Fire</v>
      </c>
    </row>
    <row r="84" spans="79:83" x14ac:dyDescent="0.3">
      <c r="CA84" s="376">
        <v>43913</v>
      </c>
      <c r="CB84" s="46" t="str">
        <f t="shared" si="18"/>
        <v>23-Mar</v>
      </c>
      <c r="CC84" s="46" t="s">
        <v>116</v>
      </c>
      <c r="CD84" s="46" t="s">
        <v>129</v>
      </c>
      <c r="CE84" s="46" t="str">
        <f t="shared" si="17"/>
        <v>Aries - Fire</v>
      </c>
    </row>
    <row r="85" spans="79:83" x14ac:dyDescent="0.3">
      <c r="CA85" s="376">
        <v>43914</v>
      </c>
      <c r="CB85" s="46" t="str">
        <f t="shared" si="18"/>
        <v>24-Mar</v>
      </c>
      <c r="CC85" s="46" t="s">
        <v>116</v>
      </c>
      <c r="CD85" s="46" t="s">
        <v>129</v>
      </c>
      <c r="CE85" s="46" t="str">
        <f t="shared" si="17"/>
        <v>Aries - Fire</v>
      </c>
    </row>
    <row r="86" spans="79:83" x14ac:dyDescent="0.3">
      <c r="CA86" s="376">
        <v>43915</v>
      </c>
      <c r="CB86" s="46" t="str">
        <f t="shared" si="18"/>
        <v>25-Mar</v>
      </c>
      <c r="CC86" s="46" t="s">
        <v>116</v>
      </c>
      <c r="CD86" s="46" t="s">
        <v>129</v>
      </c>
      <c r="CE86" s="46" t="str">
        <f t="shared" si="17"/>
        <v>Aries - Fire</v>
      </c>
    </row>
    <row r="87" spans="79:83" x14ac:dyDescent="0.3">
      <c r="CA87" s="376">
        <v>43916</v>
      </c>
      <c r="CB87" s="46" t="str">
        <f t="shared" si="18"/>
        <v>26-Mar</v>
      </c>
      <c r="CC87" s="46" t="s">
        <v>116</v>
      </c>
      <c r="CD87" s="46" t="s">
        <v>129</v>
      </c>
      <c r="CE87" s="46" t="str">
        <f t="shared" si="17"/>
        <v>Aries - Fire</v>
      </c>
    </row>
    <row r="88" spans="79:83" x14ac:dyDescent="0.3">
      <c r="CA88" s="376">
        <v>43917</v>
      </c>
      <c r="CB88" s="46" t="str">
        <f t="shared" si="18"/>
        <v>27-Mar</v>
      </c>
      <c r="CC88" s="46" t="s">
        <v>116</v>
      </c>
      <c r="CD88" s="46" t="s">
        <v>129</v>
      </c>
      <c r="CE88" s="46" t="str">
        <f t="shared" si="17"/>
        <v>Aries - Fire</v>
      </c>
    </row>
    <row r="89" spans="79:83" x14ac:dyDescent="0.3">
      <c r="CA89" s="376">
        <v>43918</v>
      </c>
      <c r="CB89" s="46" t="str">
        <f t="shared" si="18"/>
        <v>28-Mar</v>
      </c>
      <c r="CC89" s="46" t="s">
        <v>116</v>
      </c>
      <c r="CD89" s="46" t="s">
        <v>129</v>
      </c>
      <c r="CE89" s="46" t="str">
        <f t="shared" si="17"/>
        <v>Aries - Fire</v>
      </c>
    </row>
    <row r="90" spans="79:83" x14ac:dyDescent="0.3">
      <c r="CA90" s="376">
        <v>43919</v>
      </c>
      <c r="CB90" s="46" t="str">
        <f t="shared" si="18"/>
        <v>29-Mar</v>
      </c>
      <c r="CC90" s="46" t="s">
        <v>116</v>
      </c>
      <c r="CD90" s="46" t="s">
        <v>129</v>
      </c>
      <c r="CE90" s="46" t="str">
        <f t="shared" si="17"/>
        <v>Aries - Fire</v>
      </c>
    </row>
    <row r="91" spans="79:83" x14ac:dyDescent="0.3">
      <c r="CA91" s="376">
        <v>43920</v>
      </c>
      <c r="CB91" s="46" t="str">
        <f t="shared" si="18"/>
        <v>30-Mar</v>
      </c>
      <c r="CC91" s="46" t="s">
        <v>116</v>
      </c>
      <c r="CD91" s="46" t="s">
        <v>129</v>
      </c>
      <c r="CE91" s="46" t="str">
        <f t="shared" si="17"/>
        <v>Aries - Fire</v>
      </c>
    </row>
    <row r="92" spans="79:83" x14ac:dyDescent="0.3">
      <c r="CA92" s="376">
        <v>43921</v>
      </c>
      <c r="CB92" s="46" t="str">
        <f t="shared" si="18"/>
        <v>31-Mar</v>
      </c>
      <c r="CC92" s="46" t="s">
        <v>116</v>
      </c>
      <c r="CD92" s="46" t="s">
        <v>129</v>
      </c>
      <c r="CE92" s="46" t="str">
        <f t="shared" si="17"/>
        <v>Aries - Fire</v>
      </c>
    </row>
    <row r="93" spans="79:83" x14ac:dyDescent="0.3">
      <c r="CA93" s="376">
        <v>43922</v>
      </c>
      <c r="CB93" s="46" t="str">
        <f t="shared" si="18"/>
        <v>01-Apr</v>
      </c>
      <c r="CC93" s="46" t="s">
        <v>116</v>
      </c>
      <c r="CD93" s="46" t="s">
        <v>129</v>
      </c>
      <c r="CE93" s="46" t="str">
        <f t="shared" si="17"/>
        <v>Aries - Fire</v>
      </c>
    </row>
    <row r="94" spans="79:83" x14ac:dyDescent="0.3">
      <c r="CA94" s="376">
        <v>43923</v>
      </c>
      <c r="CB94" s="46" t="str">
        <f t="shared" si="18"/>
        <v>02-Apr</v>
      </c>
      <c r="CC94" s="46" t="s">
        <v>116</v>
      </c>
      <c r="CD94" s="46" t="s">
        <v>129</v>
      </c>
      <c r="CE94" s="46" t="str">
        <f t="shared" si="17"/>
        <v>Aries - Fire</v>
      </c>
    </row>
    <row r="95" spans="79:83" x14ac:dyDescent="0.3">
      <c r="CA95" s="376">
        <v>43924</v>
      </c>
      <c r="CB95" s="46" t="str">
        <f t="shared" si="18"/>
        <v>03-Apr</v>
      </c>
      <c r="CC95" s="46" t="s">
        <v>116</v>
      </c>
      <c r="CD95" s="46" t="s">
        <v>129</v>
      </c>
      <c r="CE95" s="46" t="str">
        <f t="shared" si="17"/>
        <v>Aries - Fire</v>
      </c>
    </row>
    <row r="96" spans="79:83" x14ac:dyDescent="0.3">
      <c r="CA96" s="376">
        <v>43925</v>
      </c>
      <c r="CB96" s="46" t="str">
        <f t="shared" si="18"/>
        <v>04-Apr</v>
      </c>
      <c r="CC96" s="46" t="s">
        <v>116</v>
      </c>
      <c r="CD96" s="46" t="s">
        <v>129</v>
      </c>
      <c r="CE96" s="46" t="str">
        <f t="shared" si="17"/>
        <v>Aries - Fire</v>
      </c>
    </row>
    <row r="97" spans="79:83" x14ac:dyDescent="0.3">
      <c r="CA97" s="376">
        <v>43926</v>
      </c>
      <c r="CB97" s="46" t="str">
        <f t="shared" si="18"/>
        <v>05-Apr</v>
      </c>
      <c r="CC97" s="46" t="s">
        <v>116</v>
      </c>
      <c r="CD97" s="46" t="s">
        <v>129</v>
      </c>
      <c r="CE97" s="46" t="str">
        <f t="shared" si="17"/>
        <v>Aries - Fire</v>
      </c>
    </row>
    <row r="98" spans="79:83" x14ac:dyDescent="0.3">
      <c r="CA98" s="376">
        <v>43927</v>
      </c>
      <c r="CB98" s="46" t="str">
        <f t="shared" si="18"/>
        <v>06-Apr</v>
      </c>
      <c r="CC98" s="46" t="s">
        <v>116</v>
      </c>
      <c r="CD98" s="46" t="s">
        <v>129</v>
      </c>
      <c r="CE98" s="46" t="str">
        <f t="shared" si="17"/>
        <v>Aries - Fire</v>
      </c>
    </row>
    <row r="99" spans="79:83" x14ac:dyDescent="0.3">
      <c r="CA99" s="376">
        <v>43928</v>
      </c>
      <c r="CB99" s="46" t="str">
        <f t="shared" si="18"/>
        <v>07-Apr</v>
      </c>
      <c r="CC99" s="46" t="s">
        <v>116</v>
      </c>
      <c r="CD99" s="46" t="s">
        <v>129</v>
      </c>
      <c r="CE99" s="46" t="str">
        <f t="shared" si="17"/>
        <v>Aries - Fire</v>
      </c>
    </row>
    <row r="100" spans="79:83" x14ac:dyDescent="0.3">
      <c r="CA100" s="376">
        <v>43929</v>
      </c>
      <c r="CB100" s="46" t="str">
        <f t="shared" si="18"/>
        <v>08-Apr</v>
      </c>
      <c r="CC100" s="46" t="s">
        <v>116</v>
      </c>
      <c r="CD100" s="46" t="s">
        <v>129</v>
      </c>
      <c r="CE100" s="46" t="str">
        <f t="shared" si="17"/>
        <v>Aries - Fire</v>
      </c>
    </row>
    <row r="101" spans="79:83" x14ac:dyDescent="0.3">
      <c r="CA101" s="376">
        <v>43930</v>
      </c>
      <c r="CB101" s="46" t="str">
        <f t="shared" si="18"/>
        <v>09-Apr</v>
      </c>
      <c r="CC101" s="46" t="s">
        <v>116</v>
      </c>
      <c r="CD101" s="46" t="s">
        <v>129</v>
      </c>
      <c r="CE101" s="46" t="str">
        <f t="shared" si="17"/>
        <v>Aries - Fire</v>
      </c>
    </row>
    <row r="102" spans="79:83" x14ac:dyDescent="0.3">
      <c r="CA102" s="376">
        <v>43931</v>
      </c>
      <c r="CB102" s="46" t="str">
        <f t="shared" si="18"/>
        <v>10-Apr</v>
      </c>
      <c r="CC102" s="46" t="s">
        <v>116</v>
      </c>
      <c r="CD102" s="46" t="s">
        <v>129</v>
      </c>
      <c r="CE102" s="46" t="str">
        <f t="shared" si="17"/>
        <v>Aries - Fire</v>
      </c>
    </row>
    <row r="103" spans="79:83" x14ac:dyDescent="0.3">
      <c r="CA103" s="376">
        <v>43932</v>
      </c>
      <c r="CB103" s="46" t="str">
        <f t="shared" si="18"/>
        <v>11-Apr</v>
      </c>
      <c r="CC103" s="46" t="s">
        <v>116</v>
      </c>
      <c r="CD103" s="46" t="s">
        <v>129</v>
      </c>
      <c r="CE103" s="46" t="str">
        <f t="shared" si="17"/>
        <v>Aries - Fire</v>
      </c>
    </row>
    <row r="104" spans="79:83" x14ac:dyDescent="0.3">
      <c r="CA104" s="376">
        <v>43933</v>
      </c>
      <c r="CB104" s="46" t="str">
        <f t="shared" si="18"/>
        <v>12-Apr</v>
      </c>
      <c r="CC104" s="46" t="s">
        <v>116</v>
      </c>
      <c r="CD104" s="46" t="s">
        <v>129</v>
      </c>
      <c r="CE104" s="46" t="str">
        <f t="shared" si="17"/>
        <v>Aries - Fire</v>
      </c>
    </row>
    <row r="105" spans="79:83" x14ac:dyDescent="0.3">
      <c r="CA105" s="376">
        <v>43934</v>
      </c>
      <c r="CB105" s="46" t="str">
        <f t="shared" si="18"/>
        <v>13-Apr</v>
      </c>
      <c r="CC105" s="46" t="s">
        <v>116</v>
      </c>
      <c r="CD105" s="46" t="s">
        <v>129</v>
      </c>
      <c r="CE105" s="46" t="str">
        <f t="shared" si="17"/>
        <v>Aries - Fire</v>
      </c>
    </row>
    <row r="106" spans="79:83" x14ac:dyDescent="0.3">
      <c r="CA106" s="376">
        <v>43935</v>
      </c>
      <c r="CB106" s="46" t="str">
        <f t="shared" si="18"/>
        <v>14-Apr</v>
      </c>
      <c r="CC106" s="46" t="s">
        <v>116</v>
      </c>
      <c r="CD106" s="46" t="s">
        <v>129</v>
      </c>
      <c r="CE106" s="46" t="str">
        <f t="shared" si="17"/>
        <v>Aries - Fire</v>
      </c>
    </row>
    <row r="107" spans="79:83" x14ac:dyDescent="0.3">
      <c r="CA107" s="376">
        <v>43936</v>
      </c>
      <c r="CB107" s="46" t="str">
        <f t="shared" si="18"/>
        <v>15-Apr</v>
      </c>
      <c r="CC107" s="46" t="s">
        <v>116</v>
      </c>
      <c r="CD107" s="46" t="s">
        <v>129</v>
      </c>
      <c r="CE107" s="46" t="str">
        <f t="shared" si="17"/>
        <v>Aries - Fire</v>
      </c>
    </row>
    <row r="108" spans="79:83" x14ac:dyDescent="0.3">
      <c r="CA108" s="376">
        <v>43937</v>
      </c>
      <c r="CB108" s="46" t="str">
        <f t="shared" si="18"/>
        <v>16-Apr</v>
      </c>
      <c r="CC108" s="46" t="s">
        <v>116</v>
      </c>
      <c r="CD108" s="46" t="s">
        <v>129</v>
      </c>
      <c r="CE108" s="46" t="str">
        <f t="shared" si="17"/>
        <v>Aries - Fire</v>
      </c>
    </row>
    <row r="109" spans="79:83" x14ac:dyDescent="0.3">
      <c r="CA109" s="376">
        <v>43938</v>
      </c>
      <c r="CB109" s="46" t="str">
        <f t="shared" si="18"/>
        <v>17-Apr</v>
      </c>
      <c r="CC109" s="46" t="s">
        <v>116</v>
      </c>
      <c r="CD109" s="46" t="s">
        <v>129</v>
      </c>
      <c r="CE109" s="46" t="str">
        <f t="shared" si="17"/>
        <v>Aries - Fire</v>
      </c>
    </row>
    <row r="110" spans="79:83" x14ac:dyDescent="0.3">
      <c r="CA110" s="376">
        <v>43939</v>
      </c>
      <c r="CB110" s="46" t="str">
        <f t="shared" si="18"/>
        <v>18-Apr</v>
      </c>
      <c r="CC110" s="46" t="s">
        <v>116</v>
      </c>
      <c r="CD110" s="46" t="s">
        <v>129</v>
      </c>
      <c r="CE110" s="46" t="str">
        <f t="shared" si="17"/>
        <v>Aries - Fire</v>
      </c>
    </row>
    <row r="111" spans="79:83" x14ac:dyDescent="0.3">
      <c r="CA111" s="376">
        <v>43940</v>
      </c>
      <c r="CB111" s="46" t="str">
        <f t="shared" si="18"/>
        <v>19-Apr</v>
      </c>
      <c r="CC111" s="46" t="s">
        <v>116</v>
      </c>
      <c r="CD111" s="46" t="s">
        <v>129</v>
      </c>
      <c r="CE111" s="46" t="str">
        <f t="shared" si="17"/>
        <v>Aries - Fire</v>
      </c>
    </row>
    <row r="112" spans="79:83" x14ac:dyDescent="0.3">
      <c r="CA112" s="376">
        <v>43941</v>
      </c>
      <c r="CB112" s="46" t="str">
        <f t="shared" si="18"/>
        <v>20-Apr</v>
      </c>
      <c r="CC112" s="46" t="s">
        <v>117</v>
      </c>
      <c r="CD112" s="46" t="s">
        <v>130</v>
      </c>
      <c r="CE112" s="46" t="str">
        <f t="shared" si="17"/>
        <v>Taurus - Earth</v>
      </c>
    </row>
    <row r="113" spans="79:83" x14ac:dyDescent="0.3">
      <c r="CA113" s="376">
        <v>43942</v>
      </c>
      <c r="CB113" s="46" t="str">
        <f t="shared" si="18"/>
        <v>21-Apr</v>
      </c>
      <c r="CC113" s="46" t="s">
        <v>117</v>
      </c>
      <c r="CD113" s="46" t="s">
        <v>130</v>
      </c>
      <c r="CE113" s="46" t="str">
        <f t="shared" si="17"/>
        <v>Taurus - Earth</v>
      </c>
    </row>
    <row r="114" spans="79:83" x14ac:dyDescent="0.3">
      <c r="CA114" s="376">
        <v>43943</v>
      </c>
      <c r="CB114" s="46" t="str">
        <f t="shared" si="18"/>
        <v>22-Apr</v>
      </c>
      <c r="CC114" s="46" t="s">
        <v>117</v>
      </c>
      <c r="CD114" s="46" t="s">
        <v>130</v>
      </c>
      <c r="CE114" s="46" t="str">
        <f t="shared" si="17"/>
        <v>Taurus - Earth</v>
      </c>
    </row>
    <row r="115" spans="79:83" x14ac:dyDescent="0.3">
      <c r="CA115" s="376">
        <v>43944</v>
      </c>
      <c r="CB115" s="46" t="str">
        <f t="shared" si="18"/>
        <v>23-Apr</v>
      </c>
      <c r="CC115" s="46" t="s">
        <v>117</v>
      </c>
      <c r="CD115" s="46" t="s">
        <v>130</v>
      </c>
      <c r="CE115" s="46" t="str">
        <f t="shared" si="17"/>
        <v>Taurus - Earth</v>
      </c>
    </row>
    <row r="116" spans="79:83" x14ac:dyDescent="0.3">
      <c r="CA116" s="376">
        <v>43945</v>
      </c>
      <c r="CB116" s="46" t="str">
        <f t="shared" si="18"/>
        <v>24-Apr</v>
      </c>
      <c r="CC116" s="46" t="s">
        <v>117</v>
      </c>
      <c r="CD116" s="46" t="s">
        <v>130</v>
      </c>
      <c r="CE116" s="46" t="str">
        <f t="shared" si="17"/>
        <v>Taurus - Earth</v>
      </c>
    </row>
    <row r="117" spans="79:83" x14ac:dyDescent="0.3">
      <c r="CA117" s="376">
        <v>43946</v>
      </c>
      <c r="CB117" s="46" t="str">
        <f t="shared" si="18"/>
        <v>25-Apr</v>
      </c>
      <c r="CC117" s="46" t="s">
        <v>117</v>
      </c>
      <c r="CD117" s="46" t="s">
        <v>130</v>
      </c>
      <c r="CE117" s="46" t="str">
        <f t="shared" si="17"/>
        <v>Taurus - Earth</v>
      </c>
    </row>
    <row r="118" spans="79:83" x14ac:dyDescent="0.3">
      <c r="CA118" s="376">
        <v>43947</v>
      </c>
      <c r="CB118" s="46" t="str">
        <f t="shared" si="18"/>
        <v>26-Apr</v>
      </c>
      <c r="CC118" s="46" t="s">
        <v>117</v>
      </c>
      <c r="CD118" s="46" t="s">
        <v>130</v>
      </c>
      <c r="CE118" s="46" t="str">
        <f t="shared" si="17"/>
        <v>Taurus - Earth</v>
      </c>
    </row>
    <row r="119" spans="79:83" x14ac:dyDescent="0.3">
      <c r="CA119" s="376">
        <v>43948</v>
      </c>
      <c r="CB119" s="46" t="str">
        <f t="shared" si="18"/>
        <v>27-Apr</v>
      </c>
      <c r="CC119" s="46" t="s">
        <v>117</v>
      </c>
      <c r="CD119" s="46" t="s">
        <v>130</v>
      </c>
      <c r="CE119" s="46" t="str">
        <f t="shared" si="17"/>
        <v>Taurus - Earth</v>
      </c>
    </row>
    <row r="120" spans="79:83" x14ac:dyDescent="0.3">
      <c r="CA120" s="376">
        <v>43949</v>
      </c>
      <c r="CB120" s="46" t="str">
        <f t="shared" si="18"/>
        <v>28-Apr</v>
      </c>
      <c r="CC120" s="46" t="s">
        <v>117</v>
      </c>
      <c r="CD120" s="46" t="s">
        <v>130</v>
      </c>
      <c r="CE120" s="46" t="str">
        <f t="shared" si="17"/>
        <v>Taurus - Earth</v>
      </c>
    </row>
    <row r="121" spans="79:83" x14ac:dyDescent="0.3">
      <c r="CA121" s="376">
        <v>43950</v>
      </c>
      <c r="CB121" s="46" t="str">
        <f t="shared" si="18"/>
        <v>29-Apr</v>
      </c>
      <c r="CC121" s="46" t="s">
        <v>117</v>
      </c>
      <c r="CD121" s="46" t="s">
        <v>130</v>
      </c>
      <c r="CE121" s="46" t="str">
        <f t="shared" si="17"/>
        <v>Taurus - Earth</v>
      </c>
    </row>
    <row r="122" spans="79:83" x14ac:dyDescent="0.3">
      <c r="CA122" s="376">
        <v>43951</v>
      </c>
      <c r="CB122" s="46" t="str">
        <f t="shared" si="18"/>
        <v>30-Apr</v>
      </c>
      <c r="CC122" s="46" t="s">
        <v>117</v>
      </c>
      <c r="CD122" s="46" t="s">
        <v>130</v>
      </c>
      <c r="CE122" s="46" t="str">
        <f t="shared" si="17"/>
        <v>Taurus - Earth</v>
      </c>
    </row>
    <row r="123" spans="79:83" x14ac:dyDescent="0.3">
      <c r="CA123" s="376">
        <v>43952</v>
      </c>
      <c r="CB123" s="46" t="str">
        <f t="shared" si="18"/>
        <v>01-May</v>
      </c>
      <c r="CC123" s="46" t="s">
        <v>117</v>
      </c>
      <c r="CD123" s="46" t="s">
        <v>130</v>
      </c>
      <c r="CE123" s="46" t="str">
        <f t="shared" si="17"/>
        <v>Taurus - Earth</v>
      </c>
    </row>
    <row r="124" spans="79:83" x14ac:dyDescent="0.3">
      <c r="CA124" s="376">
        <v>43953</v>
      </c>
      <c r="CB124" s="46" t="str">
        <f t="shared" si="18"/>
        <v>02-May</v>
      </c>
      <c r="CC124" s="46" t="s">
        <v>117</v>
      </c>
      <c r="CD124" s="46" t="s">
        <v>130</v>
      </c>
      <c r="CE124" s="46" t="str">
        <f t="shared" si="17"/>
        <v>Taurus - Earth</v>
      </c>
    </row>
    <row r="125" spans="79:83" x14ac:dyDescent="0.3">
      <c r="CA125" s="376">
        <v>43954</v>
      </c>
      <c r="CB125" s="46" t="str">
        <f t="shared" si="18"/>
        <v>03-May</v>
      </c>
      <c r="CC125" s="46" t="s">
        <v>117</v>
      </c>
      <c r="CD125" s="46" t="s">
        <v>130</v>
      </c>
      <c r="CE125" s="46" t="str">
        <f t="shared" si="17"/>
        <v>Taurus - Earth</v>
      </c>
    </row>
    <row r="126" spans="79:83" x14ac:dyDescent="0.3">
      <c r="CA126" s="376">
        <v>43955</v>
      </c>
      <c r="CB126" s="46" t="str">
        <f t="shared" si="18"/>
        <v>04-May</v>
      </c>
      <c r="CC126" s="46" t="s">
        <v>117</v>
      </c>
      <c r="CD126" s="46" t="s">
        <v>130</v>
      </c>
      <c r="CE126" s="46" t="str">
        <f t="shared" si="17"/>
        <v>Taurus - Earth</v>
      </c>
    </row>
    <row r="127" spans="79:83" x14ac:dyDescent="0.3">
      <c r="CA127" s="376">
        <v>43956</v>
      </c>
      <c r="CB127" s="46" t="str">
        <f t="shared" si="18"/>
        <v>05-May</v>
      </c>
      <c r="CC127" s="46" t="s">
        <v>117</v>
      </c>
      <c r="CD127" s="46" t="s">
        <v>130</v>
      </c>
      <c r="CE127" s="46" t="str">
        <f t="shared" si="17"/>
        <v>Taurus - Earth</v>
      </c>
    </row>
    <row r="128" spans="79:83" x14ac:dyDescent="0.3">
      <c r="CA128" s="376">
        <v>43957</v>
      </c>
      <c r="CB128" s="46" t="str">
        <f t="shared" si="18"/>
        <v>06-May</v>
      </c>
      <c r="CC128" s="46" t="s">
        <v>117</v>
      </c>
      <c r="CD128" s="46" t="s">
        <v>130</v>
      </c>
      <c r="CE128" s="46" t="str">
        <f t="shared" si="17"/>
        <v>Taurus - Earth</v>
      </c>
    </row>
    <row r="129" spans="79:83" x14ac:dyDescent="0.3">
      <c r="CA129" s="376">
        <v>43958</v>
      </c>
      <c r="CB129" s="46" t="str">
        <f t="shared" si="18"/>
        <v>07-May</v>
      </c>
      <c r="CC129" s="46" t="s">
        <v>117</v>
      </c>
      <c r="CD129" s="46" t="s">
        <v>130</v>
      </c>
      <c r="CE129" s="46" t="str">
        <f t="shared" ref="CE129:CE192" si="19">CC129&amp;" - "&amp;CD129</f>
        <v>Taurus - Earth</v>
      </c>
    </row>
    <row r="130" spans="79:83" x14ac:dyDescent="0.3">
      <c r="CA130" s="376">
        <v>43959</v>
      </c>
      <c r="CB130" s="46" t="str">
        <f t="shared" si="18"/>
        <v>08-May</v>
      </c>
      <c r="CC130" s="46" t="s">
        <v>117</v>
      </c>
      <c r="CD130" s="46" t="s">
        <v>130</v>
      </c>
      <c r="CE130" s="46" t="str">
        <f t="shared" si="19"/>
        <v>Taurus - Earth</v>
      </c>
    </row>
    <row r="131" spans="79:83" x14ac:dyDescent="0.3">
      <c r="CA131" s="376">
        <v>43960</v>
      </c>
      <c r="CB131" s="46" t="str">
        <f t="shared" ref="CB131:CB194" si="20">TEXT(CA131,"DD-MMM")</f>
        <v>09-May</v>
      </c>
      <c r="CC131" s="46" t="s">
        <v>117</v>
      </c>
      <c r="CD131" s="46" t="s">
        <v>130</v>
      </c>
      <c r="CE131" s="46" t="str">
        <f t="shared" si="19"/>
        <v>Taurus - Earth</v>
      </c>
    </row>
    <row r="132" spans="79:83" x14ac:dyDescent="0.3">
      <c r="CA132" s="376">
        <v>43961</v>
      </c>
      <c r="CB132" s="46" t="str">
        <f t="shared" si="20"/>
        <v>10-May</v>
      </c>
      <c r="CC132" s="46" t="s">
        <v>117</v>
      </c>
      <c r="CD132" s="46" t="s">
        <v>130</v>
      </c>
      <c r="CE132" s="46" t="str">
        <f t="shared" si="19"/>
        <v>Taurus - Earth</v>
      </c>
    </row>
    <row r="133" spans="79:83" x14ac:dyDescent="0.3">
      <c r="CA133" s="376">
        <v>43962</v>
      </c>
      <c r="CB133" s="46" t="str">
        <f t="shared" si="20"/>
        <v>11-May</v>
      </c>
      <c r="CC133" s="46" t="s">
        <v>117</v>
      </c>
      <c r="CD133" s="46" t="s">
        <v>130</v>
      </c>
      <c r="CE133" s="46" t="str">
        <f t="shared" si="19"/>
        <v>Taurus - Earth</v>
      </c>
    </row>
    <row r="134" spans="79:83" x14ac:dyDescent="0.3">
      <c r="CA134" s="376">
        <v>43963</v>
      </c>
      <c r="CB134" s="46" t="str">
        <f t="shared" si="20"/>
        <v>12-May</v>
      </c>
      <c r="CC134" s="46" t="s">
        <v>117</v>
      </c>
      <c r="CD134" s="46" t="s">
        <v>130</v>
      </c>
      <c r="CE134" s="46" t="str">
        <f t="shared" si="19"/>
        <v>Taurus - Earth</v>
      </c>
    </row>
    <row r="135" spans="79:83" x14ac:dyDescent="0.3">
      <c r="CA135" s="376">
        <v>43964</v>
      </c>
      <c r="CB135" s="46" t="str">
        <f t="shared" si="20"/>
        <v>13-May</v>
      </c>
      <c r="CC135" s="46" t="s">
        <v>117</v>
      </c>
      <c r="CD135" s="46" t="s">
        <v>130</v>
      </c>
      <c r="CE135" s="46" t="str">
        <f t="shared" si="19"/>
        <v>Taurus - Earth</v>
      </c>
    </row>
    <row r="136" spans="79:83" x14ac:dyDescent="0.3">
      <c r="CA136" s="376">
        <v>43965</v>
      </c>
      <c r="CB136" s="46" t="str">
        <f t="shared" si="20"/>
        <v>14-May</v>
      </c>
      <c r="CC136" s="46" t="s">
        <v>117</v>
      </c>
      <c r="CD136" s="46" t="s">
        <v>130</v>
      </c>
      <c r="CE136" s="46" t="str">
        <f t="shared" si="19"/>
        <v>Taurus - Earth</v>
      </c>
    </row>
    <row r="137" spans="79:83" x14ac:dyDescent="0.3">
      <c r="CA137" s="376">
        <v>43966</v>
      </c>
      <c r="CB137" s="46" t="str">
        <f t="shared" si="20"/>
        <v>15-May</v>
      </c>
      <c r="CC137" s="46" t="s">
        <v>117</v>
      </c>
      <c r="CD137" s="46" t="s">
        <v>130</v>
      </c>
      <c r="CE137" s="46" t="str">
        <f t="shared" si="19"/>
        <v>Taurus - Earth</v>
      </c>
    </row>
    <row r="138" spans="79:83" x14ac:dyDescent="0.3">
      <c r="CA138" s="376">
        <v>43967</v>
      </c>
      <c r="CB138" s="46" t="str">
        <f t="shared" si="20"/>
        <v>16-May</v>
      </c>
      <c r="CC138" s="46" t="s">
        <v>117</v>
      </c>
      <c r="CD138" s="46" t="s">
        <v>130</v>
      </c>
      <c r="CE138" s="46" t="str">
        <f t="shared" si="19"/>
        <v>Taurus - Earth</v>
      </c>
    </row>
    <row r="139" spans="79:83" x14ac:dyDescent="0.3">
      <c r="CA139" s="376">
        <v>43968</v>
      </c>
      <c r="CB139" s="46" t="str">
        <f t="shared" si="20"/>
        <v>17-May</v>
      </c>
      <c r="CC139" s="46" t="s">
        <v>117</v>
      </c>
      <c r="CD139" s="46" t="s">
        <v>130</v>
      </c>
      <c r="CE139" s="46" t="str">
        <f t="shared" si="19"/>
        <v>Taurus - Earth</v>
      </c>
    </row>
    <row r="140" spans="79:83" x14ac:dyDescent="0.3">
      <c r="CA140" s="376">
        <v>43969</v>
      </c>
      <c r="CB140" s="46" t="str">
        <f t="shared" si="20"/>
        <v>18-May</v>
      </c>
      <c r="CC140" s="46" t="s">
        <v>117</v>
      </c>
      <c r="CD140" s="46" t="s">
        <v>130</v>
      </c>
      <c r="CE140" s="46" t="str">
        <f t="shared" si="19"/>
        <v>Taurus - Earth</v>
      </c>
    </row>
    <row r="141" spans="79:83" x14ac:dyDescent="0.3">
      <c r="CA141" s="376">
        <v>43970</v>
      </c>
      <c r="CB141" s="46" t="str">
        <f t="shared" si="20"/>
        <v>19-May</v>
      </c>
      <c r="CC141" s="46" t="s">
        <v>117</v>
      </c>
      <c r="CD141" s="46" t="s">
        <v>130</v>
      </c>
      <c r="CE141" s="46" t="str">
        <f t="shared" si="19"/>
        <v>Taurus - Earth</v>
      </c>
    </row>
    <row r="142" spans="79:83" x14ac:dyDescent="0.3">
      <c r="CA142" s="376">
        <v>43971</v>
      </c>
      <c r="CB142" s="46" t="str">
        <f t="shared" si="20"/>
        <v>20-May</v>
      </c>
      <c r="CC142" s="46" t="s">
        <v>117</v>
      </c>
      <c r="CD142" s="46" t="s">
        <v>130</v>
      </c>
      <c r="CE142" s="46" t="str">
        <f t="shared" si="19"/>
        <v>Taurus - Earth</v>
      </c>
    </row>
    <row r="143" spans="79:83" x14ac:dyDescent="0.3">
      <c r="CA143" s="376">
        <v>43972</v>
      </c>
      <c r="CB143" s="46" t="str">
        <f t="shared" si="20"/>
        <v>21-May</v>
      </c>
      <c r="CC143" s="46" t="s">
        <v>118</v>
      </c>
      <c r="CD143" s="46" t="s">
        <v>132</v>
      </c>
      <c r="CE143" s="46" t="str">
        <f t="shared" si="19"/>
        <v>Gemini - Air</v>
      </c>
    </row>
    <row r="144" spans="79:83" x14ac:dyDescent="0.3">
      <c r="CA144" s="376">
        <v>43973</v>
      </c>
      <c r="CB144" s="46" t="str">
        <f t="shared" si="20"/>
        <v>22-May</v>
      </c>
      <c r="CC144" s="46" t="s">
        <v>118</v>
      </c>
      <c r="CD144" s="46" t="s">
        <v>132</v>
      </c>
      <c r="CE144" s="46" t="str">
        <f t="shared" si="19"/>
        <v>Gemini - Air</v>
      </c>
    </row>
    <row r="145" spans="79:83" x14ac:dyDescent="0.3">
      <c r="CA145" s="376">
        <v>43974</v>
      </c>
      <c r="CB145" s="46" t="str">
        <f t="shared" si="20"/>
        <v>23-May</v>
      </c>
      <c r="CC145" s="46" t="s">
        <v>118</v>
      </c>
      <c r="CD145" s="46" t="s">
        <v>132</v>
      </c>
      <c r="CE145" s="46" t="str">
        <f t="shared" si="19"/>
        <v>Gemini - Air</v>
      </c>
    </row>
    <row r="146" spans="79:83" x14ac:dyDescent="0.3">
      <c r="CA146" s="376">
        <v>43975</v>
      </c>
      <c r="CB146" s="46" t="str">
        <f t="shared" si="20"/>
        <v>24-May</v>
      </c>
      <c r="CC146" s="46" t="s">
        <v>118</v>
      </c>
      <c r="CD146" s="46" t="s">
        <v>132</v>
      </c>
      <c r="CE146" s="46" t="str">
        <f t="shared" si="19"/>
        <v>Gemini - Air</v>
      </c>
    </row>
    <row r="147" spans="79:83" x14ac:dyDescent="0.3">
      <c r="CA147" s="376">
        <v>43976</v>
      </c>
      <c r="CB147" s="46" t="str">
        <f t="shared" si="20"/>
        <v>25-May</v>
      </c>
      <c r="CC147" s="46" t="s">
        <v>118</v>
      </c>
      <c r="CD147" s="46" t="s">
        <v>132</v>
      </c>
      <c r="CE147" s="46" t="str">
        <f t="shared" si="19"/>
        <v>Gemini - Air</v>
      </c>
    </row>
    <row r="148" spans="79:83" x14ac:dyDescent="0.3">
      <c r="CA148" s="376">
        <v>43977</v>
      </c>
      <c r="CB148" s="46" t="str">
        <f t="shared" si="20"/>
        <v>26-May</v>
      </c>
      <c r="CC148" s="46" t="s">
        <v>118</v>
      </c>
      <c r="CD148" s="46" t="s">
        <v>132</v>
      </c>
      <c r="CE148" s="46" t="str">
        <f t="shared" si="19"/>
        <v>Gemini - Air</v>
      </c>
    </row>
    <row r="149" spans="79:83" x14ac:dyDescent="0.3">
      <c r="CA149" s="376">
        <v>43978</v>
      </c>
      <c r="CB149" s="46" t="str">
        <f t="shared" si="20"/>
        <v>27-May</v>
      </c>
      <c r="CC149" s="46" t="s">
        <v>118</v>
      </c>
      <c r="CD149" s="46" t="s">
        <v>132</v>
      </c>
      <c r="CE149" s="46" t="str">
        <f t="shared" si="19"/>
        <v>Gemini - Air</v>
      </c>
    </row>
    <row r="150" spans="79:83" x14ac:dyDescent="0.3">
      <c r="CA150" s="376">
        <v>43979</v>
      </c>
      <c r="CB150" s="46" t="str">
        <f t="shared" si="20"/>
        <v>28-May</v>
      </c>
      <c r="CC150" s="46" t="s">
        <v>118</v>
      </c>
      <c r="CD150" s="46" t="s">
        <v>132</v>
      </c>
      <c r="CE150" s="46" t="str">
        <f t="shared" si="19"/>
        <v>Gemini - Air</v>
      </c>
    </row>
    <row r="151" spans="79:83" x14ac:dyDescent="0.3">
      <c r="CA151" s="376">
        <v>43980</v>
      </c>
      <c r="CB151" s="46" t="str">
        <f t="shared" si="20"/>
        <v>29-May</v>
      </c>
      <c r="CC151" s="46" t="s">
        <v>118</v>
      </c>
      <c r="CD151" s="46" t="s">
        <v>132</v>
      </c>
      <c r="CE151" s="46" t="str">
        <f t="shared" si="19"/>
        <v>Gemini - Air</v>
      </c>
    </row>
    <row r="152" spans="79:83" x14ac:dyDescent="0.3">
      <c r="CA152" s="376">
        <v>43981</v>
      </c>
      <c r="CB152" s="46" t="str">
        <f t="shared" si="20"/>
        <v>30-May</v>
      </c>
      <c r="CC152" s="46" t="s">
        <v>118</v>
      </c>
      <c r="CD152" s="46" t="s">
        <v>132</v>
      </c>
      <c r="CE152" s="46" t="str">
        <f t="shared" si="19"/>
        <v>Gemini - Air</v>
      </c>
    </row>
    <row r="153" spans="79:83" x14ac:dyDescent="0.3">
      <c r="CA153" s="376">
        <v>43982</v>
      </c>
      <c r="CB153" s="46" t="str">
        <f t="shared" si="20"/>
        <v>31-May</v>
      </c>
      <c r="CC153" s="46" t="s">
        <v>118</v>
      </c>
      <c r="CD153" s="46" t="s">
        <v>132</v>
      </c>
      <c r="CE153" s="46" t="str">
        <f t="shared" si="19"/>
        <v>Gemini - Air</v>
      </c>
    </row>
    <row r="154" spans="79:83" x14ac:dyDescent="0.3">
      <c r="CA154" s="376">
        <v>43983</v>
      </c>
      <c r="CB154" s="46" t="str">
        <f t="shared" si="20"/>
        <v>01-Jun</v>
      </c>
      <c r="CC154" s="46" t="s">
        <v>118</v>
      </c>
      <c r="CD154" s="46" t="s">
        <v>132</v>
      </c>
      <c r="CE154" s="46" t="str">
        <f t="shared" si="19"/>
        <v>Gemini - Air</v>
      </c>
    </row>
    <row r="155" spans="79:83" x14ac:dyDescent="0.3">
      <c r="CA155" s="376">
        <v>43984</v>
      </c>
      <c r="CB155" s="46" t="str">
        <f t="shared" si="20"/>
        <v>02-Jun</v>
      </c>
      <c r="CC155" s="46" t="s">
        <v>118</v>
      </c>
      <c r="CD155" s="46" t="s">
        <v>132</v>
      </c>
      <c r="CE155" s="46" t="str">
        <f t="shared" si="19"/>
        <v>Gemini - Air</v>
      </c>
    </row>
    <row r="156" spans="79:83" x14ac:dyDescent="0.3">
      <c r="CA156" s="376">
        <v>43985</v>
      </c>
      <c r="CB156" s="46" t="str">
        <f t="shared" si="20"/>
        <v>03-Jun</v>
      </c>
      <c r="CC156" s="46" t="s">
        <v>118</v>
      </c>
      <c r="CD156" s="46" t="s">
        <v>132</v>
      </c>
      <c r="CE156" s="46" t="str">
        <f t="shared" si="19"/>
        <v>Gemini - Air</v>
      </c>
    </row>
    <row r="157" spans="79:83" x14ac:dyDescent="0.3">
      <c r="CA157" s="376">
        <v>43986</v>
      </c>
      <c r="CB157" s="46" t="str">
        <f t="shared" si="20"/>
        <v>04-Jun</v>
      </c>
      <c r="CC157" s="46" t="s">
        <v>118</v>
      </c>
      <c r="CD157" s="46" t="s">
        <v>132</v>
      </c>
      <c r="CE157" s="46" t="str">
        <f t="shared" si="19"/>
        <v>Gemini - Air</v>
      </c>
    </row>
    <row r="158" spans="79:83" x14ac:dyDescent="0.3">
      <c r="CA158" s="376">
        <v>43987</v>
      </c>
      <c r="CB158" s="46" t="str">
        <f t="shared" si="20"/>
        <v>05-Jun</v>
      </c>
      <c r="CC158" s="46" t="s">
        <v>118</v>
      </c>
      <c r="CD158" s="46" t="s">
        <v>132</v>
      </c>
      <c r="CE158" s="46" t="str">
        <f t="shared" si="19"/>
        <v>Gemini - Air</v>
      </c>
    </row>
    <row r="159" spans="79:83" x14ac:dyDescent="0.3">
      <c r="CA159" s="376">
        <v>43988</v>
      </c>
      <c r="CB159" s="46" t="str">
        <f t="shared" si="20"/>
        <v>06-Jun</v>
      </c>
      <c r="CC159" s="46" t="s">
        <v>118</v>
      </c>
      <c r="CD159" s="46" t="s">
        <v>132</v>
      </c>
      <c r="CE159" s="46" t="str">
        <f t="shared" si="19"/>
        <v>Gemini - Air</v>
      </c>
    </row>
    <row r="160" spans="79:83" x14ac:dyDescent="0.3">
      <c r="CA160" s="376">
        <v>43989</v>
      </c>
      <c r="CB160" s="46" t="str">
        <f t="shared" si="20"/>
        <v>07-Jun</v>
      </c>
      <c r="CC160" s="46" t="s">
        <v>118</v>
      </c>
      <c r="CD160" s="46" t="s">
        <v>132</v>
      </c>
      <c r="CE160" s="46" t="str">
        <f t="shared" si="19"/>
        <v>Gemini - Air</v>
      </c>
    </row>
    <row r="161" spans="79:83" x14ac:dyDescent="0.3">
      <c r="CA161" s="376">
        <v>43990</v>
      </c>
      <c r="CB161" s="46" t="str">
        <f t="shared" si="20"/>
        <v>08-Jun</v>
      </c>
      <c r="CC161" s="46" t="s">
        <v>118</v>
      </c>
      <c r="CD161" s="46" t="s">
        <v>132</v>
      </c>
      <c r="CE161" s="46" t="str">
        <f t="shared" si="19"/>
        <v>Gemini - Air</v>
      </c>
    </row>
    <row r="162" spans="79:83" x14ac:dyDescent="0.3">
      <c r="CA162" s="376">
        <v>43991</v>
      </c>
      <c r="CB162" s="46" t="str">
        <f t="shared" si="20"/>
        <v>09-Jun</v>
      </c>
      <c r="CC162" s="46" t="s">
        <v>118</v>
      </c>
      <c r="CD162" s="46" t="s">
        <v>132</v>
      </c>
      <c r="CE162" s="46" t="str">
        <f t="shared" si="19"/>
        <v>Gemini - Air</v>
      </c>
    </row>
    <row r="163" spans="79:83" x14ac:dyDescent="0.3">
      <c r="CA163" s="376">
        <v>43992</v>
      </c>
      <c r="CB163" s="46" t="str">
        <f t="shared" si="20"/>
        <v>10-Jun</v>
      </c>
      <c r="CC163" s="46" t="s">
        <v>118</v>
      </c>
      <c r="CD163" s="46" t="s">
        <v>132</v>
      </c>
      <c r="CE163" s="46" t="str">
        <f t="shared" si="19"/>
        <v>Gemini - Air</v>
      </c>
    </row>
    <row r="164" spans="79:83" x14ac:dyDescent="0.3">
      <c r="CA164" s="376">
        <v>43993</v>
      </c>
      <c r="CB164" s="46" t="str">
        <f t="shared" si="20"/>
        <v>11-Jun</v>
      </c>
      <c r="CC164" s="46" t="s">
        <v>118</v>
      </c>
      <c r="CD164" s="46" t="s">
        <v>132</v>
      </c>
      <c r="CE164" s="46" t="str">
        <f t="shared" si="19"/>
        <v>Gemini - Air</v>
      </c>
    </row>
    <row r="165" spans="79:83" x14ac:dyDescent="0.3">
      <c r="CA165" s="376">
        <v>43994</v>
      </c>
      <c r="CB165" s="46" t="str">
        <f t="shared" si="20"/>
        <v>12-Jun</v>
      </c>
      <c r="CC165" s="46" t="s">
        <v>118</v>
      </c>
      <c r="CD165" s="46" t="s">
        <v>132</v>
      </c>
      <c r="CE165" s="46" t="str">
        <f t="shared" si="19"/>
        <v>Gemini - Air</v>
      </c>
    </row>
    <row r="166" spans="79:83" x14ac:dyDescent="0.3">
      <c r="CA166" s="376">
        <v>43995</v>
      </c>
      <c r="CB166" s="46" t="str">
        <f t="shared" si="20"/>
        <v>13-Jun</v>
      </c>
      <c r="CC166" s="46" t="s">
        <v>118</v>
      </c>
      <c r="CD166" s="46" t="s">
        <v>132</v>
      </c>
      <c r="CE166" s="46" t="str">
        <f t="shared" si="19"/>
        <v>Gemini - Air</v>
      </c>
    </row>
    <row r="167" spans="79:83" x14ac:dyDescent="0.3">
      <c r="CA167" s="376">
        <v>43996</v>
      </c>
      <c r="CB167" s="46" t="str">
        <f t="shared" si="20"/>
        <v>14-Jun</v>
      </c>
      <c r="CC167" s="46" t="s">
        <v>118</v>
      </c>
      <c r="CD167" s="46" t="s">
        <v>132</v>
      </c>
      <c r="CE167" s="46" t="str">
        <f t="shared" si="19"/>
        <v>Gemini - Air</v>
      </c>
    </row>
    <row r="168" spans="79:83" x14ac:dyDescent="0.3">
      <c r="CA168" s="376">
        <v>43997</v>
      </c>
      <c r="CB168" s="46" t="str">
        <f t="shared" si="20"/>
        <v>15-Jun</v>
      </c>
      <c r="CC168" s="46" t="s">
        <v>118</v>
      </c>
      <c r="CD168" s="46" t="s">
        <v>132</v>
      </c>
      <c r="CE168" s="46" t="str">
        <f t="shared" si="19"/>
        <v>Gemini - Air</v>
      </c>
    </row>
    <row r="169" spans="79:83" x14ac:dyDescent="0.3">
      <c r="CA169" s="376">
        <v>43998</v>
      </c>
      <c r="CB169" s="46" t="str">
        <f t="shared" si="20"/>
        <v>16-Jun</v>
      </c>
      <c r="CC169" s="46" t="s">
        <v>118</v>
      </c>
      <c r="CD169" s="46" t="s">
        <v>132</v>
      </c>
      <c r="CE169" s="46" t="str">
        <f t="shared" si="19"/>
        <v>Gemini - Air</v>
      </c>
    </row>
    <row r="170" spans="79:83" x14ac:dyDescent="0.3">
      <c r="CA170" s="376">
        <v>43999</v>
      </c>
      <c r="CB170" s="46" t="str">
        <f t="shared" si="20"/>
        <v>17-Jun</v>
      </c>
      <c r="CC170" s="46" t="s">
        <v>118</v>
      </c>
      <c r="CD170" s="46" t="s">
        <v>132</v>
      </c>
      <c r="CE170" s="46" t="str">
        <f t="shared" si="19"/>
        <v>Gemini - Air</v>
      </c>
    </row>
    <row r="171" spans="79:83" x14ac:dyDescent="0.3">
      <c r="CA171" s="376">
        <v>44000</v>
      </c>
      <c r="CB171" s="46" t="str">
        <f t="shared" si="20"/>
        <v>18-Jun</v>
      </c>
      <c r="CC171" s="46" t="s">
        <v>118</v>
      </c>
      <c r="CD171" s="46" t="s">
        <v>132</v>
      </c>
      <c r="CE171" s="46" t="str">
        <f t="shared" si="19"/>
        <v>Gemini - Air</v>
      </c>
    </row>
    <row r="172" spans="79:83" x14ac:dyDescent="0.3">
      <c r="CA172" s="376">
        <v>44001</v>
      </c>
      <c r="CB172" s="46" t="str">
        <f t="shared" si="20"/>
        <v>19-Jun</v>
      </c>
      <c r="CC172" s="46" t="s">
        <v>118</v>
      </c>
      <c r="CD172" s="46" t="s">
        <v>132</v>
      </c>
      <c r="CE172" s="46" t="str">
        <f t="shared" si="19"/>
        <v>Gemini - Air</v>
      </c>
    </row>
    <row r="173" spans="79:83" x14ac:dyDescent="0.3">
      <c r="CA173" s="376">
        <v>44002</v>
      </c>
      <c r="CB173" s="46" t="str">
        <f t="shared" si="20"/>
        <v>20-Jun</v>
      </c>
      <c r="CC173" s="46" t="s">
        <v>118</v>
      </c>
      <c r="CD173" s="46" t="s">
        <v>132</v>
      </c>
      <c r="CE173" s="46" t="str">
        <f t="shared" si="19"/>
        <v>Gemini - Air</v>
      </c>
    </row>
    <row r="174" spans="79:83" x14ac:dyDescent="0.3">
      <c r="CA174" s="376">
        <v>44003</v>
      </c>
      <c r="CB174" s="46" t="str">
        <f t="shared" si="20"/>
        <v>21-Jun</v>
      </c>
      <c r="CC174" s="46" t="s">
        <v>119</v>
      </c>
      <c r="CD174" s="46" t="s">
        <v>131</v>
      </c>
      <c r="CE174" s="46" t="str">
        <f t="shared" si="19"/>
        <v>Cancer - Water</v>
      </c>
    </row>
    <row r="175" spans="79:83" x14ac:dyDescent="0.3">
      <c r="CA175" s="376">
        <v>44004</v>
      </c>
      <c r="CB175" s="46" t="str">
        <f t="shared" si="20"/>
        <v>22-Jun</v>
      </c>
      <c r="CC175" s="46" t="s">
        <v>119</v>
      </c>
      <c r="CD175" s="46" t="s">
        <v>131</v>
      </c>
      <c r="CE175" s="46" t="str">
        <f t="shared" si="19"/>
        <v>Cancer - Water</v>
      </c>
    </row>
    <row r="176" spans="79:83" x14ac:dyDescent="0.3">
      <c r="CA176" s="376">
        <v>44005</v>
      </c>
      <c r="CB176" s="46" t="str">
        <f t="shared" si="20"/>
        <v>23-Jun</v>
      </c>
      <c r="CC176" s="46" t="s">
        <v>119</v>
      </c>
      <c r="CD176" s="46" t="s">
        <v>131</v>
      </c>
      <c r="CE176" s="46" t="str">
        <f t="shared" si="19"/>
        <v>Cancer - Water</v>
      </c>
    </row>
    <row r="177" spans="79:83" x14ac:dyDescent="0.3">
      <c r="CA177" s="376">
        <v>44006</v>
      </c>
      <c r="CB177" s="46" t="str">
        <f t="shared" si="20"/>
        <v>24-Jun</v>
      </c>
      <c r="CC177" s="46" t="s">
        <v>119</v>
      </c>
      <c r="CD177" s="46" t="s">
        <v>131</v>
      </c>
      <c r="CE177" s="46" t="str">
        <f t="shared" si="19"/>
        <v>Cancer - Water</v>
      </c>
    </row>
    <row r="178" spans="79:83" x14ac:dyDescent="0.3">
      <c r="CA178" s="376">
        <v>44007</v>
      </c>
      <c r="CB178" s="46" t="str">
        <f t="shared" si="20"/>
        <v>25-Jun</v>
      </c>
      <c r="CC178" s="46" t="s">
        <v>119</v>
      </c>
      <c r="CD178" s="46" t="s">
        <v>131</v>
      </c>
      <c r="CE178" s="46" t="str">
        <f t="shared" si="19"/>
        <v>Cancer - Water</v>
      </c>
    </row>
    <row r="179" spans="79:83" x14ac:dyDescent="0.3">
      <c r="CA179" s="376">
        <v>44008</v>
      </c>
      <c r="CB179" s="46" t="str">
        <f t="shared" si="20"/>
        <v>26-Jun</v>
      </c>
      <c r="CC179" s="46" t="s">
        <v>119</v>
      </c>
      <c r="CD179" s="46" t="s">
        <v>131</v>
      </c>
      <c r="CE179" s="46" t="str">
        <f t="shared" si="19"/>
        <v>Cancer - Water</v>
      </c>
    </row>
    <row r="180" spans="79:83" x14ac:dyDescent="0.3">
      <c r="CA180" s="376">
        <v>44009</v>
      </c>
      <c r="CB180" s="46" t="str">
        <f t="shared" si="20"/>
        <v>27-Jun</v>
      </c>
      <c r="CC180" s="46" t="s">
        <v>119</v>
      </c>
      <c r="CD180" s="46" t="s">
        <v>131</v>
      </c>
      <c r="CE180" s="46" t="str">
        <f t="shared" si="19"/>
        <v>Cancer - Water</v>
      </c>
    </row>
    <row r="181" spans="79:83" x14ac:dyDescent="0.3">
      <c r="CA181" s="376">
        <v>44010</v>
      </c>
      <c r="CB181" s="46" t="str">
        <f t="shared" si="20"/>
        <v>28-Jun</v>
      </c>
      <c r="CC181" s="46" t="s">
        <v>119</v>
      </c>
      <c r="CD181" s="46" t="s">
        <v>131</v>
      </c>
      <c r="CE181" s="46" t="str">
        <f t="shared" si="19"/>
        <v>Cancer - Water</v>
      </c>
    </row>
    <row r="182" spans="79:83" x14ac:dyDescent="0.3">
      <c r="CA182" s="376">
        <v>44011</v>
      </c>
      <c r="CB182" s="46" t="str">
        <f t="shared" si="20"/>
        <v>29-Jun</v>
      </c>
      <c r="CC182" s="46" t="s">
        <v>119</v>
      </c>
      <c r="CD182" s="46" t="s">
        <v>131</v>
      </c>
      <c r="CE182" s="46" t="str">
        <f t="shared" si="19"/>
        <v>Cancer - Water</v>
      </c>
    </row>
    <row r="183" spans="79:83" x14ac:dyDescent="0.3">
      <c r="CA183" s="376">
        <v>44012</v>
      </c>
      <c r="CB183" s="46" t="str">
        <f t="shared" si="20"/>
        <v>30-Jun</v>
      </c>
      <c r="CC183" s="46" t="s">
        <v>119</v>
      </c>
      <c r="CD183" s="46" t="s">
        <v>131</v>
      </c>
      <c r="CE183" s="46" t="str">
        <f t="shared" si="19"/>
        <v>Cancer - Water</v>
      </c>
    </row>
    <row r="184" spans="79:83" x14ac:dyDescent="0.3">
      <c r="CA184" s="376">
        <v>44013</v>
      </c>
      <c r="CB184" s="46" t="str">
        <f t="shared" si="20"/>
        <v>01-Jul</v>
      </c>
      <c r="CC184" s="46" t="s">
        <v>119</v>
      </c>
      <c r="CD184" s="46" t="s">
        <v>131</v>
      </c>
      <c r="CE184" s="46" t="str">
        <f t="shared" si="19"/>
        <v>Cancer - Water</v>
      </c>
    </row>
    <row r="185" spans="79:83" x14ac:dyDescent="0.3">
      <c r="CA185" s="376">
        <v>44014</v>
      </c>
      <c r="CB185" s="46" t="str">
        <f t="shared" si="20"/>
        <v>02-Jul</v>
      </c>
      <c r="CC185" s="46" t="s">
        <v>119</v>
      </c>
      <c r="CD185" s="46" t="s">
        <v>131</v>
      </c>
      <c r="CE185" s="46" t="str">
        <f t="shared" si="19"/>
        <v>Cancer - Water</v>
      </c>
    </row>
    <row r="186" spans="79:83" x14ac:dyDescent="0.3">
      <c r="CA186" s="376">
        <v>44015</v>
      </c>
      <c r="CB186" s="46" t="str">
        <f t="shared" si="20"/>
        <v>03-Jul</v>
      </c>
      <c r="CC186" s="46" t="s">
        <v>119</v>
      </c>
      <c r="CD186" s="46" t="s">
        <v>131</v>
      </c>
      <c r="CE186" s="46" t="str">
        <f t="shared" si="19"/>
        <v>Cancer - Water</v>
      </c>
    </row>
    <row r="187" spans="79:83" x14ac:dyDescent="0.3">
      <c r="CA187" s="376">
        <v>44016</v>
      </c>
      <c r="CB187" s="46" t="str">
        <f t="shared" si="20"/>
        <v>04-Jul</v>
      </c>
      <c r="CC187" s="46" t="s">
        <v>119</v>
      </c>
      <c r="CD187" s="46" t="s">
        <v>131</v>
      </c>
      <c r="CE187" s="46" t="str">
        <f t="shared" si="19"/>
        <v>Cancer - Water</v>
      </c>
    </row>
    <row r="188" spans="79:83" x14ac:dyDescent="0.3">
      <c r="CA188" s="376">
        <v>44017</v>
      </c>
      <c r="CB188" s="46" t="str">
        <f t="shared" si="20"/>
        <v>05-Jul</v>
      </c>
      <c r="CC188" s="46" t="s">
        <v>119</v>
      </c>
      <c r="CD188" s="46" t="s">
        <v>131</v>
      </c>
      <c r="CE188" s="46" t="str">
        <f t="shared" si="19"/>
        <v>Cancer - Water</v>
      </c>
    </row>
    <row r="189" spans="79:83" x14ac:dyDescent="0.3">
      <c r="CA189" s="376">
        <v>44018</v>
      </c>
      <c r="CB189" s="46" t="str">
        <f t="shared" si="20"/>
        <v>06-Jul</v>
      </c>
      <c r="CC189" s="46" t="s">
        <v>119</v>
      </c>
      <c r="CD189" s="46" t="s">
        <v>131</v>
      </c>
      <c r="CE189" s="46" t="str">
        <f t="shared" si="19"/>
        <v>Cancer - Water</v>
      </c>
    </row>
    <row r="190" spans="79:83" x14ac:dyDescent="0.3">
      <c r="CA190" s="376">
        <v>44019</v>
      </c>
      <c r="CB190" s="46" t="str">
        <f t="shared" si="20"/>
        <v>07-Jul</v>
      </c>
      <c r="CC190" s="46" t="s">
        <v>119</v>
      </c>
      <c r="CD190" s="46" t="s">
        <v>131</v>
      </c>
      <c r="CE190" s="46" t="str">
        <f t="shared" si="19"/>
        <v>Cancer - Water</v>
      </c>
    </row>
    <row r="191" spans="79:83" x14ac:dyDescent="0.3">
      <c r="CA191" s="376">
        <v>44020</v>
      </c>
      <c r="CB191" s="46" t="str">
        <f t="shared" si="20"/>
        <v>08-Jul</v>
      </c>
      <c r="CC191" s="46" t="s">
        <v>119</v>
      </c>
      <c r="CD191" s="46" t="s">
        <v>131</v>
      </c>
      <c r="CE191" s="46" t="str">
        <f t="shared" si="19"/>
        <v>Cancer - Water</v>
      </c>
    </row>
    <row r="192" spans="79:83" x14ac:dyDescent="0.3">
      <c r="CA192" s="376">
        <v>44021</v>
      </c>
      <c r="CB192" s="46" t="str">
        <f t="shared" si="20"/>
        <v>09-Jul</v>
      </c>
      <c r="CC192" s="46" t="s">
        <v>119</v>
      </c>
      <c r="CD192" s="46" t="s">
        <v>131</v>
      </c>
      <c r="CE192" s="46" t="str">
        <f t="shared" si="19"/>
        <v>Cancer - Water</v>
      </c>
    </row>
    <row r="193" spans="79:83" x14ac:dyDescent="0.3">
      <c r="CA193" s="376">
        <v>44022</v>
      </c>
      <c r="CB193" s="46" t="str">
        <f t="shared" si="20"/>
        <v>10-Jul</v>
      </c>
      <c r="CC193" s="46" t="s">
        <v>119</v>
      </c>
      <c r="CD193" s="46" t="s">
        <v>131</v>
      </c>
      <c r="CE193" s="46" t="str">
        <f t="shared" ref="CE193:CE256" si="21">CC193&amp;" - "&amp;CD193</f>
        <v>Cancer - Water</v>
      </c>
    </row>
    <row r="194" spans="79:83" x14ac:dyDescent="0.3">
      <c r="CA194" s="376">
        <v>44023</v>
      </c>
      <c r="CB194" s="46" t="str">
        <f t="shared" si="20"/>
        <v>11-Jul</v>
      </c>
      <c r="CC194" s="46" t="s">
        <v>119</v>
      </c>
      <c r="CD194" s="46" t="s">
        <v>131</v>
      </c>
      <c r="CE194" s="46" t="str">
        <f t="shared" si="21"/>
        <v>Cancer - Water</v>
      </c>
    </row>
    <row r="195" spans="79:83" x14ac:dyDescent="0.3">
      <c r="CA195" s="376">
        <v>44024</v>
      </c>
      <c r="CB195" s="46" t="str">
        <f t="shared" ref="CB195:CB258" si="22">TEXT(CA195,"DD-MMM")</f>
        <v>12-Jul</v>
      </c>
      <c r="CC195" s="46" t="s">
        <v>119</v>
      </c>
      <c r="CD195" s="46" t="s">
        <v>131</v>
      </c>
      <c r="CE195" s="46" t="str">
        <f t="shared" si="21"/>
        <v>Cancer - Water</v>
      </c>
    </row>
    <row r="196" spans="79:83" x14ac:dyDescent="0.3">
      <c r="CA196" s="376">
        <v>44025</v>
      </c>
      <c r="CB196" s="46" t="str">
        <f t="shared" si="22"/>
        <v>13-Jul</v>
      </c>
      <c r="CC196" s="46" t="s">
        <v>119</v>
      </c>
      <c r="CD196" s="46" t="s">
        <v>131</v>
      </c>
      <c r="CE196" s="46" t="str">
        <f t="shared" si="21"/>
        <v>Cancer - Water</v>
      </c>
    </row>
    <row r="197" spans="79:83" x14ac:dyDescent="0.3">
      <c r="CA197" s="376">
        <v>44026</v>
      </c>
      <c r="CB197" s="46" t="str">
        <f t="shared" si="22"/>
        <v>14-Jul</v>
      </c>
      <c r="CC197" s="46" t="s">
        <v>119</v>
      </c>
      <c r="CD197" s="46" t="s">
        <v>131</v>
      </c>
      <c r="CE197" s="46" t="str">
        <f t="shared" si="21"/>
        <v>Cancer - Water</v>
      </c>
    </row>
    <row r="198" spans="79:83" x14ac:dyDescent="0.3">
      <c r="CA198" s="376">
        <v>44027</v>
      </c>
      <c r="CB198" s="46" t="str">
        <f t="shared" si="22"/>
        <v>15-Jul</v>
      </c>
      <c r="CC198" s="46" t="s">
        <v>119</v>
      </c>
      <c r="CD198" s="46" t="s">
        <v>131</v>
      </c>
      <c r="CE198" s="46" t="str">
        <f t="shared" si="21"/>
        <v>Cancer - Water</v>
      </c>
    </row>
    <row r="199" spans="79:83" x14ac:dyDescent="0.3">
      <c r="CA199" s="376">
        <v>44028</v>
      </c>
      <c r="CB199" s="46" t="str">
        <f t="shared" si="22"/>
        <v>16-Jul</v>
      </c>
      <c r="CC199" s="46" t="s">
        <v>119</v>
      </c>
      <c r="CD199" s="46" t="s">
        <v>131</v>
      </c>
      <c r="CE199" s="46" t="str">
        <f t="shared" si="21"/>
        <v>Cancer - Water</v>
      </c>
    </row>
    <row r="200" spans="79:83" x14ac:dyDescent="0.3">
      <c r="CA200" s="376">
        <v>44029</v>
      </c>
      <c r="CB200" s="46" t="str">
        <f t="shared" si="22"/>
        <v>17-Jul</v>
      </c>
      <c r="CC200" s="46" t="s">
        <v>119</v>
      </c>
      <c r="CD200" s="46" t="s">
        <v>131</v>
      </c>
      <c r="CE200" s="46" t="str">
        <f t="shared" si="21"/>
        <v>Cancer - Water</v>
      </c>
    </row>
    <row r="201" spans="79:83" x14ac:dyDescent="0.3">
      <c r="CA201" s="376">
        <v>44030</v>
      </c>
      <c r="CB201" s="46" t="str">
        <f t="shared" si="22"/>
        <v>18-Jul</v>
      </c>
      <c r="CC201" s="46" t="s">
        <v>119</v>
      </c>
      <c r="CD201" s="46" t="s">
        <v>131</v>
      </c>
      <c r="CE201" s="46" t="str">
        <f t="shared" si="21"/>
        <v>Cancer - Water</v>
      </c>
    </row>
    <row r="202" spans="79:83" x14ac:dyDescent="0.3">
      <c r="CA202" s="376">
        <v>44031</v>
      </c>
      <c r="CB202" s="46" t="str">
        <f t="shared" si="22"/>
        <v>19-Jul</v>
      </c>
      <c r="CC202" s="46" t="s">
        <v>119</v>
      </c>
      <c r="CD202" s="46" t="s">
        <v>131</v>
      </c>
      <c r="CE202" s="46" t="str">
        <f t="shared" si="21"/>
        <v>Cancer - Water</v>
      </c>
    </row>
    <row r="203" spans="79:83" x14ac:dyDescent="0.3">
      <c r="CA203" s="376">
        <v>44032</v>
      </c>
      <c r="CB203" s="46" t="str">
        <f t="shared" si="22"/>
        <v>20-Jul</v>
      </c>
      <c r="CC203" s="46" t="s">
        <v>119</v>
      </c>
      <c r="CD203" s="46" t="s">
        <v>131</v>
      </c>
      <c r="CE203" s="46" t="str">
        <f t="shared" si="21"/>
        <v>Cancer - Water</v>
      </c>
    </row>
    <row r="204" spans="79:83" x14ac:dyDescent="0.3">
      <c r="CA204" s="376">
        <v>44033</v>
      </c>
      <c r="CB204" s="46" t="str">
        <f t="shared" si="22"/>
        <v>21-Jul</v>
      </c>
      <c r="CC204" s="46" t="s">
        <v>119</v>
      </c>
      <c r="CD204" s="46" t="s">
        <v>131</v>
      </c>
      <c r="CE204" s="46" t="str">
        <f t="shared" si="21"/>
        <v>Cancer - Water</v>
      </c>
    </row>
    <row r="205" spans="79:83" x14ac:dyDescent="0.3">
      <c r="CA205" s="376">
        <v>44034</v>
      </c>
      <c r="CB205" s="46" t="str">
        <f t="shared" si="22"/>
        <v>22-Jul</v>
      </c>
      <c r="CC205" s="46" t="s">
        <v>119</v>
      </c>
      <c r="CD205" s="46" t="s">
        <v>131</v>
      </c>
      <c r="CE205" s="46" t="str">
        <f t="shared" si="21"/>
        <v>Cancer - Water</v>
      </c>
    </row>
    <row r="206" spans="79:83" x14ac:dyDescent="0.3">
      <c r="CA206" s="376">
        <v>44035</v>
      </c>
      <c r="CB206" s="46" t="str">
        <f t="shared" si="22"/>
        <v>23-Jul</v>
      </c>
      <c r="CC206" s="46" t="s">
        <v>120</v>
      </c>
      <c r="CD206" s="46" t="s">
        <v>129</v>
      </c>
      <c r="CE206" s="46" t="str">
        <f t="shared" si="21"/>
        <v>Leo - Fire</v>
      </c>
    </row>
    <row r="207" spans="79:83" x14ac:dyDescent="0.3">
      <c r="CA207" s="376">
        <v>44036</v>
      </c>
      <c r="CB207" s="46" t="str">
        <f t="shared" si="22"/>
        <v>24-Jul</v>
      </c>
      <c r="CC207" s="46" t="s">
        <v>120</v>
      </c>
      <c r="CD207" s="46" t="s">
        <v>129</v>
      </c>
      <c r="CE207" s="46" t="str">
        <f t="shared" si="21"/>
        <v>Leo - Fire</v>
      </c>
    </row>
    <row r="208" spans="79:83" x14ac:dyDescent="0.3">
      <c r="CA208" s="376">
        <v>44037</v>
      </c>
      <c r="CB208" s="46" t="str">
        <f t="shared" si="22"/>
        <v>25-Jul</v>
      </c>
      <c r="CC208" s="46" t="s">
        <v>120</v>
      </c>
      <c r="CD208" s="46" t="s">
        <v>129</v>
      </c>
      <c r="CE208" s="46" t="str">
        <f t="shared" si="21"/>
        <v>Leo - Fire</v>
      </c>
    </row>
    <row r="209" spans="79:83" x14ac:dyDescent="0.3">
      <c r="CA209" s="376">
        <v>44038</v>
      </c>
      <c r="CB209" s="46" t="str">
        <f t="shared" si="22"/>
        <v>26-Jul</v>
      </c>
      <c r="CC209" s="46" t="s">
        <v>120</v>
      </c>
      <c r="CD209" s="46" t="s">
        <v>129</v>
      </c>
      <c r="CE209" s="46" t="str">
        <f t="shared" si="21"/>
        <v>Leo - Fire</v>
      </c>
    </row>
    <row r="210" spans="79:83" x14ac:dyDescent="0.3">
      <c r="CA210" s="376">
        <v>44039</v>
      </c>
      <c r="CB210" s="46" t="str">
        <f t="shared" si="22"/>
        <v>27-Jul</v>
      </c>
      <c r="CC210" s="46" t="s">
        <v>120</v>
      </c>
      <c r="CD210" s="46" t="s">
        <v>129</v>
      </c>
      <c r="CE210" s="46" t="str">
        <f t="shared" si="21"/>
        <v>Leo - Fire</v>
      </c>
    </row>
    <row r="211" spans="79:83" x14ac:dyDescent="0.3">
      <c r="CA211" s="376">
        <v>44040</v>
      </c>
      <c r="CB211" s="46" t="str">
        <f t="shared" si="22"/>
        <v>28-Jul</v>
      </c>
      <c r="CC211" s="46" t="s">
        <v>120</v>
      </c>
      <c r="CD211" s="46" t="s">
        <v>129</v>
      </c>
      <c r="CE211" s="46" t="str">
        <f t="shared" si="21"/>
        <v>Leo - Fire</v>
      </c>
    </row>
    <row r="212" spans="79:83" x14ac:dyDescent="0.3">
      <c r="CA212" s="376">
        <v>44041</v>
      </c>
      <c r="CB212" s="46" t="str">
        <f t="shared" si="22"/>
        <v>29-Jul</v>
      </c>
      <c r="CC212" s="46" t="s">
        <v>120</v>
      </c>
      <c r="CD212" s="46" t="s">
        <v>129</v>
      </c>
      <c r="CE212" s="46" t="str">
        <f t="shared" si="21"/>
        <v>Leo - Fire</v>
      </c>
    </row>
    <row r="213" spans="79:83" x14ac:dyDescent="0.3">
      <c r="CA213" s="376">
        <v>44042</v>
      </c>
      <c r="CB213" s="46" t="str">
        <f t="shared" si="22"/>
        <v>30-Jul</v>
      </c>
      <c r="CC213" s="46" t="s">
        <v>120</v>
      </c>
      <c r="CD213" s="46" t="s">
        <v>129</v>
      </c>
      <c r="CE213" s="46" t="str">
        <f t="shared" si="21"/>
        <v>Leo - Fire</v>
      </c>
    </row>
    <row r="214" spans="79:83" x14ac:dyDescent="0.3">
      <c r="CA214" s="376">
        <v>44043</v>
      </c>
      <c r="CB214" s="46" t="str">
        <f t="shared" si="22"/>
        <v>31-Jul</v>
      </c>
      <c r="CC214" s="46" t="s">
        <v>120</v>
      </c>
      <c r="CD214" s="46" t="s">
        <v>129</v>
      </c>
      <c r="CE214" s="46" t="str">
        <f t="shared" si="21"/>
        <v>Leo - Fire</v>
      </c>
    </row>
    <row r="215" spans="79:83" x14ac:dyDescent="0.3">
      <c r="CA215" s="376">
        <v>44044</v>
      </c>
      <c r="CB215" s="46" t="str">
        <f t="shared" si="22"/>
        <v>01-Aug</v>
      </c>
      <c r="CC215" s="46" t="s">
        <v>120</v>
      </c>
      <c r="CD215" s="46" t="s">
        <v>129</v>
      </c>
      <c r="CE215" s="46" t="str">
        <f t="shared" si="21"/>
        <v>Leo - Fire</v>
      </c>
    </row>
    <row r="216" spans="79:83" x14ac:dyDescent="0.3">
      <c r="CA216" s="376">
        <v>44045</v>
      </c>
      <c r="CB216" s="46" t="str">
        <f t="shared" si="22"/>
        <v>02-Aug</v>
      </c>
      <c r="CC216" s="46" t="s">
        <v>120</v>
      </c>
      <c r="CD216" s="46" t="s">
        <v>129</v>
      </c>
      <c r="CE216" s="46" t="str">
        <f t="shared" si="21"/>
        <v>Leo - Fire</v>
      </c>
    </row>
    <row r="217" spans="79:83" x14ac:dyDescent="0.3">
      <c r="CA217" s="376">
        <v>44046</v>
      </c>
      <c r="CB217" s="46" t="str">
        <f t="shared" si="22"/>
        <v>03-Aug</v>
      </c>
      <c r="CC217" s="46" t="s">
        <v>120</v>
      </c>
      <c r="CD217" s="46" t="s">
        <v>129</v>
      </c>
      <c r="CE217" s="46" t="str">
        <f t="shared" si="21"/>
        <v>Leo - Fire</v>
      </c>
    </row>
    <row r="218" spans="79:83" x14ac:dyDescent="0.3">
      <c r="CA218" s="376">
        <v>44047</v>
      </c>
      <c r="CB218" s="46" t="str">
        <f t="shared" si="22"/>
        <v>04-Aug</v>
      </c>
      <c r="CC218" s="46" t="s">
        <v>120</v>
      </c>
      <c r="CD218" s="46" t="s">
        <v>129</v>
      </c>
      <c r="CE218" s="46" t="str">
        <f t="shared" si="21"/>
        <v>Leo - Fire</v>
      </c>
    </row>
    <row r="219" spans="79:83" x14ac:dyDescent="0.3">
      <c r="CA219" s="376">
        <v>44048</v>
      </c>
      <c r="CB219" s="46" t="str">
        <f t="shared" si="22"/>
        <v>05-Aug</v>
      </c>
      <c r="CC219" s="46" t="s">
        <v>120</v>
      </c>
      <c r="CD219" s="46" t="s">
        <v>129</v>
      </c>
      <c r="CE219" s="46" t="str">
        <f t="shared" si="21"/>
        <v>Leo - Fire</v>
      </c>
    </row>
    <row r="220" spans="79:83" x14ac:dyDescent="0.3">
      <c r="CA220" s="376">
        <v>44049</v>
      </c>
      <c r="CB220" s="46" t="str">
        <f t="shared" si="22"/>
        <v>06-Aug</v>
      </c>
      <c r="CC220" s="46" t="s">
        <v>120</v>
      </c>
      <c r="CD220" s="46" t="s">
        <v>129</v>
      </c>
      <c r="CE220" s="46" t="str">
        <f t="shared" si="21"/>
        <v>Leo - Fire</v>
      </c>
    </row>
    <row r="221" spans="79:83" x14ac:dyDescent="0.3">
      <c r="CA221" s="376">
        <v>44050</v>
      </c>
      <c r="CB221" s="46" t="str">
        <f t="shared" si="22"/>
        <v>07-Aug</v>
      </c>
      <c r="CC221" s="46" t="s">
        <v>120</v>
      </c>
      <c r="CD221" s="46" t="s">
        <v>129</v>
      </c>
      <c r="CE221" s="46" t="str">
        <f t="shared" si="21"/>
        <v>Leo - Fire</v>
      </c>
    </row>
    <row r="222" spans="79:83" x14ac:dyDescent="0.3">
      <c r="CA222" s="376">
        <v>44051</v>
      </c>
      <c r="CB222" s="46" t="str">
        <f t="shared" si="22"/>
        <v>08-Aug</v>
      </c>
      <c r="CC222" s="46" t="s">
        <v>120</v>
      </c>
      <c r="CD222" s="46" t="s">
        <v>129</v>
      </c>
      <c r="CE222" s="46" t="str">
        <f t="shared" si="21"/>
        <v>Leo - Fire</v>
      </c>
    </row>
    <row r="223" spans="79:83" x14ac:dyDescent="0.3">
      <c r="CA223" s="376">
        <v>44052</v>
      </c>
      <c r="CB223" s="46" t="str">
        <f t="shared" si="22"/>
        <v>09-Aug</v>
      </c>
      <c r="CC223" s="46" t="s">
        <v>120</v>
      </c>
      <c r="CD223" s="46" t="s">
        <v>129</v>
      </c>
      <c r="CE223" s="46" t="str">
        <f t="shared" si="21"/>
        <v>Leo - Fire</v>
      </c>
    </row>
    <row r="224" spans="79:83" x14ac:dyDescent="0.3">
      <c r="CA224" s="376">
        <v>44053</v>
      </c>
      <c r="CB224" s="46" t="str">
        <f t="shared" si="22"/>
        <v>10-Aug</v>
      </c>
      <c r="CC224" s="46" t="s">
        <v>120</v>
      </c>
      <c r="CD224" s="46" t="s">
        <v>129</v>
      </c>
      <c r="CE224" s="46" t="str">
        <f t="shared" si="21"/>
        <v>Leo - Fire</v>
      </c>
    </row>
    <row r="225" spans="79:83" x14ac:dyDescent="0.3">
      <c r="CA225" s="376">
        <v>44054</v>
      </c>
      <c r="CB225" s="46" t="str">
        <f t="shared" si="22"/>
        <v>11-Aug</v>
      </c>
      <c r="CC225" s="46" t="s">
        <v>120</v>
      </c>
      <c r="CD225" s="46" t="s">
        <v>129</v>
      </c>
      <c r="CE225" s="46" t="str">
        <f t="shared" si="21"/>
        <v>Leo - Fire</v>
      </c>
    </row>
    <row r="226" spans="79:83" x14ac:dyDescent="0.3">
      <c r="CA226" s="376">
        <v>44055</v>
      </c>
      <c r="CB226" s="46" t="str">
        <f t="shared" si="22"/>
        <v>12-Aug</v>
      </c>
      <c r="CC226" s="46" t="s">
        <v>120</v>
      </c>
      <c r="CD226" s="46" t="s">
        <v>129</v>
      </c>
      <c r="CE226" s="46" t="str">
        <f t="shared" si="21"/>
        <v>Leo - Fire</v>
      </c>
    </row>
    <row r="227" spans="79:83" x14ac:dyDescent="0.3">
      <c r="CA227" s="376">
        <v>44056</v>
      </c>
      <c r="CB227" s="46" t="str">
        <f t="shared" si="22"/>
        <v>13-Aug</v>
      </c>
      <c r="CC227" s="46" t="s">
        <v>120</v>
      </c>
      <c r="CD227" s="46" t="s">
        <v>129</v>
      </c>
      <c r="CE227" s="46" t="str">
        <f t="shared" si="21"/>
        <v>Leo - Fire</v>
      </c>
    </row>
    <row r="228" spans="79:83" x14ac:dyDescent="0.3">
      <c r="CA228" s="376">
        <v>44057</v>
      </c>
      <c r="CB228" s="46" t="str">
        <f t="shared" si="22"/>
        <v>14-Aug</v>
      </c>
      <c r="CC228" s="46" t="s">
        <v>120</v>
      </c>
      <c r="CD228" s="46" t="s">
        <v>129</v>
      </c>
      <c r="CE228" s="46" t="str">
        <f t="shared" si="21"/>
        <v>Leo - Fire</v>
      </c>
    </row>
    <row r="229" spans="79:83" x14ac:dyDescent="0.3">
      <c r="CA229" s="376">
        <v>44058</v>
      </c>
      <c r="CB229" s="46" t="str">
        <f t="shared" si="22"/>
        <v>15-Aug</v>
      </c>
      <c r="CC229" s="46" t="s">
        <v>120</v>
      </c>
      <c r="CD229" s="46" t="s">
        <v>129</v>
      </c>
      <c r="CE229" s="46" t="str">
        <f t="shared" si="21"/>
        <v>Leo - Fire</v>
      </c>
    </row>
    <row r="230" spans="79:83" x14ac:dyDescent="0.3">
      <c r="CA230" s="376">
        <v>44059</v>
      </c>
      <c r="CB230" s="46" t="str">
        <f t="shared" si="22"/>
        <v>16-Aug</v>
      </c>
      <c r="CC230" s="46" t="s">
        <v>120</v>
      </c>
      <c r="CD230" s="46" t="s">
        <v>129</v>
      </c>
      <c r="CE230" s="46" t="str">
        <f t="shared" si="21"/>
        <v>Leo - Fire</v>
      </c>
    </row>
    <row r="231" spans="79:83" x14ac:dyDescent="0.3">
      <c r="CA231" s="376">
        <v>44060</v>
      </c>
      <c r="CB231" s="46" t="str">
        <f t="shared" si="22"/>
        <v>17-Aug</v>
      </c>
      <c r="CC231" s="46" t="s">
        <v>120</v>
      </c>
      <c r="CD231" s="46" t="s">
        <v>129</v>
      </c>
      <c r="CE231" s="46" t="str">
        <f t="shared" si="21"/>
        <v>Leo - Fire</v>
      </c>
    </row>
    <row r="232" spans="79:83" x14ac:dyDescent="0.3">
      <c r="CA232" s="376">
        <v>44061</v>
      </c>
      <c r="CB232" s="46" t="str">
        <f t="shared" si="22"/>
        <v>18-Aug</v>
      </c>
      <c r="CC232" s="46" t="s">
        <v>120</v>
      </c>
      <c r="CD232" s="46" t="s">
        <v>129</v>
      </c>
      <c r="CE232" s="46" t="str">
        <f t="shared" si="21"/>
        <v>Leo - Fire</v>
      </c>
    </row>
    <row r="233" spans="79:83" x14ac:dyDescent="0.3">
      <c r="CA233" s="376">
        <v>44062</v>
      </c>
      <c r="CB233" s="46" t="str">
        <f t="shared" si="22"/>
        <v>19-Aug</v>
      </c>
      <c r="CC233" s="46" t="s">
        <v>120</v>
      </c>
      <c r="CD233" s="46" t="s">
        <v>129</v>
      </c>
      <c r="CE233" s="46" t="str">
        <f t="shared" si="21"/>
        <v>Leo - Fire</v>
      </c>
    </row>
    <row r="234" spans="79:83" x14ac:dyDescent="0.3">
      <c r="CA234" s="376">
        <v>44063</v>
      </c>
      <c r="CB234" s="46" t="str">
        <f t="shared" si="22"/>
        <v>20-Aug</v>
      </c>
      <c r="CC234" s="46" t="s">
        <v>120</v>
      </c>
      <c r="CD234" s="46" t="s">
        <v>129</v>
      </c>
      <c r="CE234" s="46" t="str">
        <f t="shared" si="21"/>
        <v>Leo - Fire</v>
      </c>
    </row>
    <row r="235" spans="79:83" x14ac:dyDescent="0.3">
      <c r="CA235" s="376">
        <v>44064</v>
      </c>
      <c r="CB235" s="46" t="str">
        <f t="shared" si="22"/>
        <v>21-Aug</v>
      </c>
      <c r="CC235" s="46" t="s">
        <v>120</v>
      </c>
      <c r="CD235" s="46" t="s">
        <v>129</v>
      </c>
      <c r="CE235" s="46" t="str">
        <f t="shared" si="21"/>
        <v>Leo - Fire</v>
      </c>
    </row>
    <row r="236" spans="79:83" x14ac:dyDescent="0.3">
      <c r="CA236" s="376">
        <v>44065</v>
      </c>
      <c r="CB236" s="46" t="str">
        <f t="shared" si="22"/>
        <v>22-Aug</v>
      </c>
      <c r="CC236" s="46" t="s">
        <v>120</v>
      </c>
      <c r="CD236" s="46" t="s">
        <v>129</v>
      </c>
      <c r="CE236" s="46" t="str">
        <f t="shared" si="21"/>
        <v>Leo - Fire</v>
      </c>
    </row>
    <row r="237" spans="79:83" x14ac:dyDescent="0.3">
      <c r="CA237" s="376">
        <v>44066</v>
      </c>
      <c r="CB237" s="46" t="str">
        <f t="shared" si="22"/>
        <v>23-Aug</v>
      </c>
      <c r="CC237" s="46" t="s">
        <v>121</v>
      </c>
      <c r="CD237" s="46" t="s">
        <v>130</v>
      </c>
      <c r="CE237" s="46" t="str">
        <f t="shared" si="21"/>
        <v>Virgo - Earth</v>
      </c>
    </row>
    <row r="238" spans="79:83" x14ac:dyDescent="0.3">
      <c r="CA238" s="376">
        <v>44067</v>
      </c>
      <c r="CB238" s="46" t="str">
        <f t="shared" si="22"/>
        <v>24-Aug</v>
      </c>
      <c r="CC238" s="46" t="s">
        <v>121</v>
      </c>
      <c r="CD238" s="46" t="s">
        <v>130</v>
      </c>
      <c r="CE238" s="46" t="str">
        <f t="shared" si="21"/>
        <v>Virgo - Earth</v>
      </c>
    </row>
    <row r="239" spans="79:83" x14ac:dyDescent="0.3">
      <c r="CA239" s="376">
        <v>44068</v>
      </c>
      <c r="CB239" s="46" t="str">
        <f t="shared" si="22"/>
        <v>25-Aug</v>
      </c>
      <c r="CC239" s="46" t="s">
        <v>121</v>
      </c>
      <c r="CD239" s="46" t="s">
        <v>130</v>
      </c>
      <c r="CE239" s="46" t="str">
        <f t="shared" si="21"/>
        <v>Virgo - Earth</v>
      </c>
    </row>
    <row r="240" spans="79:83" x14ac:dyDescent="0.3">
      <c r="CA240" s="376">
        <v>44069</v>
      </c>
      <c r="CB240" s="46" t="str">
        <f t="shared" si="22"/>
        <v>26-Aug</v>
      </c>
      <c r="CC240" s="46" t="s">
        <v>121</v>
      </c>
      <c r="CD240" s="46" t="s">
        <v>130</v>
      </c>
      <c r="CE240" s="46" t="str">
        <f t="shared" si="21"/>
        <v>Virgo - Earth</v>
      </c>
    </row>
    <row r="241" spans="79:83" x14ac:dyDescent="0.3">
      <c r="CA241" s="376">
        <v>44070</v>
      </c>
      <c r="CB241" s="46" t="str">
        <f t="shared" si="22"/>
        <v>27-Aug</v>
      </c>
      <c r="CC241" s="46" t="s">
        <v>121</v>
      </c>
      <c r="CD241" s="46" t="s">
        <v>130</v>
      </c>
      <c r="CE241" s="46" t="str">
        <f t="shared" si="21"/>
        <v>Virgo - Earth</v>
      </c>
    </row>
    <row r="242" spans="79:83" x14ac:dyDescent="0.3">
      <c r="CA242" s="376">
        <v>44071</v>
      </c>
      <c r="CB242" s="46" t="str">
        <f t="shared" si="22"/>
        <v>28-Aug</v>
      </c>
      <c r="CC242" s="46" t="s">
        <v>121</v>
      </c>
      <c r="CD242" s="46" t="s">
        <v>130</v>
      </c>
      <c r="CE242" s="46" t="str">
        <f t="shared" si="21"/>
        <v>Virgo - Earth</v>
      </c>
    </row>
    <row r="243" spans="79:83" x14ac:dyDescent="0.3">
      <c r="CA243" s="376">
        <v>44072</v>
      </c>
      <c r="CB243" s="46" t="str">
        <f t="shared" si="22"/>
        <v>29-Aug</v>
      </c>
      <c r="CC243" s="46" t="s">
        <v>121</v>
      </c>
      <c r="CD243" s="46" t="s">
        <v>130</v>
      </c>
      <c r="CE243" s="46" t="str">
        <f t="shared" si="21"/>
        <v>Virgo - Earth</v>
      </c>
    </row>
    <row r="244" spans="79:83" x14ac:dyDescent="0.3">
      <c r="CA244" s="376">
        <v>44073</v>
      </c>
      <c r="CB244" s="46" t="str">
        <f t="shared" si="22"/>
        <v>30-Aug</v>
      </c>
      <c r="CC244" s="46" t="s">
        <v>121</v>
      </c>
      <c r="CD244" s="46" t="s">
        <v>130</v>
      </c>
      <c r="CE244" s="46" t="str">
        <f t="shared" si="21"/>
        <v>Virgo - Earth</v>
      </c>
    </row>
    <row r="245" spans="79:83" x14ac:dyDescent="0.3">
      <c r="CA245" s="376">
        <v>44074</v>
      </c>
      <c r="CB245" s="46" t="str">
        <f t="shared" si="22"/>
        <v>31-Aug</v>
      </c>
      <c r="CC245" s="46" t="s">
        <v>121</v>
      </c>
      <c r="CD245" s="46" t="s">
        <v>130</v>
      </c>
      <c r="CE245" s="46" t="str">
        <f t="shared" si="21"/>
        <v>Virgo - Earth</v>
      </c>
    </row>
    <row r="246" spans="79:83" x14ac:dyDescent="0.3">
      <c r="CA246" s="376">
        <v>44075</v>
      </c>
      <c r="CB246" s="46" t="str">
        <f t="shared" si="22"/>
        <v>01-Sep</v>
      </c>
      <c r="CC246" s="46" t="s">
        <v>121</v>
      </c>
      <c r="CD246" s="46" t="s">
        <v>130</v>
      </c>
      <c r="CE246" s="46" t="str">
        <f t="shared" si="21"/>
        <v>Virgo - Earth</v>
      </c>
    </row>
    <row r="247" spans="79:83" x14ac:dyDescent="0.3">
      <c r="CA247" s="376">
        <v>44076</v>
      </c>
      <c r="CB247" s="46" t="str">
        <f t="shared" si="22"/>
        <v>02-Sep</v>
      </c>
      <c r="CC247" s="46" t="s">
        <v>121</v>
      </c>
      <c r="CD247" s="46" t="s">
        <v>130</v>
      </c>
      <c r="CE247" s="46" t="str">
        <f t="shared" si="21"/>
        <v>Virgo - Earth</v>
      </c>
    </row>
    <row r="248" spans="79:83" x14ac:dyDescent="0.3">
      <c r="CA248" s="376">
        <v>44077</v>
      </c>
      <c r="CB248" s="46" t="str">
        <f t="shared" si="22"/>
        <v>03-Sep</v>
      </c>
      <c r="CC248" s="46" t="s">
        <v>121</v>
      </c>
      <c r="CD248" s="46" t="s">
        <v>130</v>
      </c>
      <c r="CE248" s="46" t="str">
        <f t="shared" si="21"/>
        <v>Virgo - Earth</v>
      </c>
    </row>
    <row r="249" spans="79:83" x14ac:dyDescent="0.3">
      <c r="CA249" s="376">
        <v>44078</v>
      </c>
      <c r="CB249" s="46" t="str">
        <f t="shared" si="22"/>
        <v>04-Sep</v>
      </c>
      <c r="CC249" s="46" t="s">
        <v>121</v>
      </c>
      <c r="CD249" s="46" t="s">
        <v>130</v>
      </c>
      <c r="CE249" s="46" t="str">
        <f t="shared" si="21"/>
        <v>Virgo - Earth</v>
      </c>
    </row>
    <row r="250" spans="79:83" x14ac:dyDescent="0.3">
      <c r="CA250" s="376">
        <v>44079</v>
      </c>
      <c r="CB250" s="46" t="str">
        <f t="shared" si="22"/>
        <v>05-Sep</v>
      </c>
      <c r="CC250" s="46" t="s">
        <v>121</v>
      </c>
      <c r="CD250" s="46" t="s">
        <v>130</v>
      </c>
      <c r="CE250" s="46" t="str">
        <f t="shared" si="21"/>
        <v>Virgo - Earth</v>
      </c>
    </row>
    <row r="251" spans="79:83" x14ac:dyDescent="0.3">
      <c r="CA251" s="376">
        <v>44080</v>
      </c>
      <c r="CB251" s="46" t="str">
        <f t="shared" si="22"/>
        <v>06-Sep</v>
      </c>
      <c r="CC251" s="46" t="s">
        <v>121</v>
      </c>
      <c r="CD251" s="46" t="s">
        <v>130</v>
      </c>
      <c r="CE251" s="46" t="str">
        <f t="shared" si="21"/>
        <v>Virgo - Earth</v>
      </c>
    </row>
    <row r="252" spans="79:83" x14ac:dyDescent="0.3">
      <c r="CA252" s="376">
        <v>44081</v>
      </c>
      <c r="CB252" s="46" t="str">
        <f t="shared" si="22"/>
        <v>07-Sep</v>
      </c>
      <c r="CC252" s="46" t="s">
        <v>121</v>
      </c>
      <c r="CD252" s="46" t="s">
        <v>130</v>
      </c>
      <c r="CE252" s="46" t="str">
        <f t="shared" si="21"/>
        <v>Virgo - Earth</v>
      </c>
    </row>
    <row r="253" spans="79:83" x14ac:dyDescent="0.3">
      <c r="CA253" s="376">
        <v>44082</v>
      </c>
      <c r="CB253" s="46" t="str">
        <f t="shared" si="22"/>
        <v>08-Sep</v>
      </c>
      <c r="CC253" s="46" t="s">
        <v>121</v>
      </c>
      <c r="CD253" s="46" t="s">
        <v>130</v>
      </c>
      <c r="CE253" s="46" t="str">
        <f t="shared" si="21"/>
        <v>Virgo - Earth</v>
      </c>
    </row>
    <row r="254" spans="79:83" x14ac:dyDescent="0.3">
      <c r="CA254" s="376">
        <v>44083</v>
      </c>
      <c r="CB254" s="46" t="str">
        <f t="shared" si="22"/>
        <v>09-Sep</v>
      </c>
      <c r="CC254" s="46" t="s">
        <v>121</v>
      </c>
      <c r="CD254" s="46" t="s">
        <v>130</v>
      </c>
      <c r="CE254" s="46" t="str">
        <f t="shared" si="21"/>
        <v>Virgo - Earth</v>
      </c>
    </row>
    <row r="255" spans="79:83" x14ac:dyDescent="0.3">
      <c r="CA255" s="376">
        <v>44084</v>
      </c>
      <c r="CB255" s="46" t="str">
        <f t="shared" si="22"/>
        <v>10-Sep</v>
      </c>
      <c r="CC255" s="46" t="s">
        <v>121</v>
      </c>
      <c r="CD255" s="46" t="s">
        <v>130</v>
      </c>
      <c r="CE255" s="46" t="str">
        <f t="shared" si="21"/>
        <v>Virgo - Earth</v>
      </c>
    </row>
    <row r="256" spans="79:83" x14ac:dyDescent="0.3">
      <c r="CA256" s="376">
        <v>44085</v>
      </c>
      <c r="CB256" s="46" t="str">
        <f t="shared" si="22"/>
        <v>11-Sep</v>
      </c>
      <c r="CC256" s="46" t="s">
        <v>121</v>
      </c>
      <c r="CD256" s="46" t="s">
        <v>130</v>
      </c>
      <c r="CE256" s="46" t="str">
        <f t="shared" si="21"/>
        <v>Virgo - Earth</v>
      </c>
    </row>
    <row r="257" spans="79:83" x14ac:dyDescent="0.3">
      <c r="CA257" s="376">
        <v>44086</v>
      </c>
      <c r="CB257" s="46" t="str">
        <f t="shared" si="22"/>
        <v>12-Sep</v>
      </c>
      <c r="CC257" s="46" t="s">
        <v>121</v>
      </c>
      <c r="CD257" s="46" t="s">
        <v>130</v>
      </c>
      <c r="CE257" s="46" t="str">
        <f t="shared" ref="CE257:CE320" si="23">CC257&amp;" - "&amp;CD257</f>
        <v>Virgo - Earth</v>
      </c>
    </row>
    <row r="258" spans="79:83" x14ac:dyDescent="0.3">
      <c r="CA258" s="376">
        <v>44087</v>
      </c>
      <c r="CB258" s="46" t="str">
        <f t="shared" si="22"/>
        <v>13-Sep</v>
      </c>
      <c r="CC258" s="46" t="s">
        <v>121</v>
      </c>
      <c r="CD258" s="46" t="s">
        <v>130</v>
      </c>
      <c r="CE258" s="46" t="str">
        <f t="shared" si="23"/>
        <v>Virgo - Earth</v>
      </c>
    </row>
    <row r="259" spans="79:83" x14ac:dyDescent="0.3">
      <c r="CA259" s="376">
        <v>44088</v>
      </c>
      <c r="CB259" s="46" t="str">
        <f t="shared" ref="CB259:CB322" si="24">TEXT(CA259,"DD-MMM")</f>
        <v>14-Sep</v>
      </c>
      <c r="CC259" s="46" t="s">
        <v>121</v>
      </c>
      <c r="CD259" s="46" t="s">
        <v>130</v>
      </c>
      <c r="CE259" s="46" t="str">
        <f t="shared" si="23"/>
        <v>Virgo - Earth</v>
      </c>
    </row>
    <row r="260" spans="79:83" x14ac:dyDescent="0.3">
      <c r="CA260" s="376">
        <v>44089</v>
      </c>
      <c r="CB260" s="46" t="str">
        <f t="shared" si="24"/>
        <v>15-Sep</v>
      </c>
      <c r="CC260" s="46" t="s">
        <v>121</v>
      </c>
      <c r="CD260" s="46" t="s">
        <v>130</v>
      </c>
      <c r="CE260" s="46" t="str">
        <f t="shared" si="23"/>
        <v>Virgo - Earth</v>
      </c>
    </row>
    <row r="261" spans="79:83" x14ac:dyDescent="0.3">
      <c r="CA261" s="376">
        <v>44090</v>
      </c>
      <c r="CB261" s="46" t="str">
        <f t="shared" si="24"/>
        <v>16-Sep</v>
      </c>
      <c r="CC261" s="46" t="s">
        <v>121</v>
      </c>
      <c r="CD261" s="46" t="s">
        <v>130</v>
      </c>
      <c r="CE261" s="46" t="str">
        <f t="shared" si="23"/>
        <v>Virgo - Earth</v>
      </c>
    </row>
    <row r="262" spans="79:83" x14ac:dyDescent="0.3">
      <c r="CA262" s="376">
        <v>44091</v>
      </c>
      <c r="CB262" s="46" t="str">
        <f t="shared" si="24"/>
        <v>17-Sep</v>
      </c>
      <c r="CC262" s="46" t="s">
        <v>121</v>
      </c>
      <c r="CD262" s="46" t="s">
        <v>130</v>
      </c>
      <c r="CE262" s="46" t="str">
        <f t="shared" si="23"/>
        <v>Virgo - Earth</v>
      </c>
    </row>
    <row r="263" spans="79:83" x14ac:dyDescent="0.3">
      <c r="CA263" s="376">
        <v>44092</v>
      </c>
      <c r="CB263" s="46" t="str">
        <f t="shared" si="24"/>
        <v>18-Sep</v>
      </c>
      <c r="CC263" s="46" t="s">
        <v>121</v>
      </c>
      <c r="CD263" s="46" t="s">
        <v>130</v>
      </c>
      <c r="CE263" s="46" t="str">
        <f t="shared" si="23"/>
        <v>Virgo - Earth</v>
      </c>
    </row>
    <row r="264" spans="79:83" x14ac:dyDescent="0.3">
      <c r="CA264" s="376">
        <v>44093</v>
      </c>
      <c r="CB264" s="46" t="str">
        <f t="shared" si="24"/>
        <v>19-Sep</v>
      </c>
      <c r="CC264" s="46" t="s">
        <v>121</v>
      </c>
      <c r="CD264" s="46" t="s">
        <v>130</v>
      </c>
      <c r="CE264" s="46" t="str">
        <f t="shared" si="23"/>
        <v>Virgo - Earth</v>
      </c>
    </row>
    <row r="265" spans="79:83" x14ac:dyDescent="0.3">
      <c r="CA265" s="376">
        <v>44094</v>
      </c>
      <c r="CB265" s="46" t="str">
        <f t="shared" si="24"/>
        <v>20-Sep</v>
      </c>
      <c r="CC265" s="46" t="s">
        <v>121</v>
      </c>
      <c r="CD265" s="46" t="s">
        <v>130</v>
      </c>
      <c r="CE265" s="46" t="str">
        <f t="shared" si="23"/>
        <v>Virgo - Earth</v>
      </c>
    </row>
    <row r="266" spans="79:83" x14ac:dyDescent="0.3">
      <c r="CA266" s="376">
        <v>44095</v>
      </c>
      <c r="CB266" s="46" t="str">
        <f t="shared" si="24"/>
        <v>21-Sep</v>
      </c>
      <c r="CC266" s="46" t="s">
        <v>121</v>
      </c>
      <c r="CD266" s="46" t="s">
        <v>130</v>
      </c>
      <c r="CE266" s="46" t="str">
        <f t="shared" si="23"/>
        <v>Virgo - Earth</v>
      </c>
    </row>
    <row r="267" spans="79:83" x14ac:dyDescent="0.3">
      <c r="CA267" s="376">
        <v>44096</v>
      </c>
      <c r="CB267" s="46" t="str">
        <f t="shared" si="24"/>
        <v>22-Sep</v>
      </c>
      <c r="CC267" s="46" t="s">
        <v>121</v>
      </c>
      <c r="CD267" s="46" t="s">
        <v>130</v>
      </c>
      <c r="CE267" s="46" t="str">
        <f t="shared" si="23"/>
        <v>Virgo - Earth</v>
      </c>
    </row>
    <row r="268" spans="79:83" x14ac:dyDescent="0.3">
      <c r="CA268" s="376">
        <v>44097</v>
      </c>
      <c r="CB268" s="46" t="str">
        <f t="shared" si="24"/>
        <v>23-Sep</v>
      </c>
      <c r="CC268" s="46" t="s">
        <v>122</v>
      </c>
      <c r="CD268" s="46" t="s">
        <v>132</v>
      </c>
      <c r="CE268" s="46" t="str">
        <f t="shared" si="23"/>
        <v>Libra - Air</v>
      </c>
    </row>
    <row r="269" spans="79:83" x14ac:dyDescent="0.3">
      <c r="CA269" s="376">
        <v>44098</v>
      </c>
      <c r="CB269" s="46" t="str">
        <f t="shared" si="24"/>
        <v>24-Sep</v>
      </c>
      <c r="CC269" s="46" t="s">
        <v>122</v>
      </c>
      <c r="CD269" s="46" t="s">
        <v>132</v>
      </c>
      <c r="CE269" s="46" t="str">
        <f t="shared" si="23"/>
        <v>Libra - Air</v>
      </c>
    </row>
    <row r="270" spans="79:83" x14ac:dyDescent="0.3">
      <c r="CA270" s="376">
        <v>44099</v>
      </c>
      <c r="CB270" s="46" t="str">
        <f t="shared" si="24"/>
        <v>25-Sep</v>
      </c>
      <c r="CC270" s="46" t="s">
        <v>122</v>
      </c>
      <c r="CD270" s="46" t="s">
        <v>132</v>
      </c>
      <c r="CE270" s="46" t="str">
        <f t="shared" si="23"/>
        <v>Libra - Air</v>
      </c>
    </row>
    <row r="271" spans="79:83" x14ac:dyDescent="0.3">
      <c r="CA271" s="376">
        <v>44100</v>
      </c>
      <c r="CB271" s="46" t="str">
        <f t="shared" si="24"/>
        <v>26-Sep</v>
      </c>
      <c r="CC271" s="46" t="s">
        <v>122</v>
      </c>
      <c r="CD271" s="46" t="s">
        <v>132</v>
      </c>
      <c r="CE271" s="46" t="str">
        <f t="shared" si="23"/>
        <v>Libra - Air</v>
      </c>
    </row>
    <row r="272" spans="79:83" x14ac:dyDescent="0.3">
      <c r="CA272" s="376">
        <v>44101</v>
      </c>
      <c r="CB272" s="46" t="str">
        <f t="shared" si="24"/>
        <v>27-Sep</v>
      </c>
      <c r="CC272" s="46" t="s">
        <v>122</v>
      </c>
      <c r="CD272" s="46" t="s">
        <v>132</v>
      </c>
      <c r="CE272" s="46" t="str">
        <f t="shared" si="23"/>
        <v>Libra - Air</v>
      </c>
    </row>
    <row r="273" spans="79:83" x14ac:dyDescent="0.3">
      <c r="CA273" s="376">
        <v>44102</v>
      </c>
      <c r="CB273" s="46" t="str">
        <f t="shared" si="24"/>
        <v>28-Sep</v>
      </c>
      <c r="CC273" s="46" t="s">
        <v>122</v>
      </c>
      <c r="CD273" s="46" t="s">
        <v>132</v>
      </c>
      <c r="CE273" s="46" t="str">
        <f t="shared" si="23"/>
        <v>Libra - Air</v>
      </c>
    </row>
    <row r="274" spans="79:83" x14ac:dyDescent="0.3">
      <c r="CA274" s="376">
        <v>44103</v>
      </c>
      <c r="CB274" s="46" t="str">
        <f t="shared" si="24"/>
        <v>29-Sep</v>
      </c>
      <c r="CC274" s="46" t="s">
        <v>122</v>
      </c>
      <c r="CD274" s="46" t="s">
        <v>132</v>
      </c>
      <c r="CE274" s="46" t="str">
        <f t="shared" si="23"/>
        <v>Libra - Air</v>
      </c>
    </row>
    <row r="275" spans="79:83" x14ac:dyDescent="0.3">
      <c r="CA275" s="376">
        <v>44104</v>
      </c>
      <c r="CB275" s="46" t="str">
        <f t="shared" si="24"/>
        <v>30-Sep</v>
      </c>
      <c r="CC275" s="46" t="s">
        <v>122</v>
      </c>
      <c r="CD275" s="46" t="s">
        <v>132</v>
      </c>
      <c r="CE275" s="46" t="str">
        <f t="shared" si="23"/>
        <v>Libra - Air</v>
      </c>
    </row>
    <row r="276" spans="79:83" x14ac:dyDescent="0.3">
      <c r="CA276" s="376">
        <v>44105</v>
      </c>
      <c r="CB276" s="46" t="str">
        <f t="shared" si="24"/>
        <v>01-Oct</v>
      </c>
      <c r="CC276" s="46" t="s">
        <v>122</v>
      </c>
      <c r="CD276" s="46" t="s">
        <v>132</v>
      </c>
      <c r="CE276" s="46" t="str">
        <f t="shared" si="23"/>
        <v>Libra - Air</v>
      </c>
    </row>
    <row r="277" spans="79:83" x14ac:dyDescent="0.3">
      <c r="CA277" s="376">
        <v>44106</v>
      </c>
      <c r="CB277" s="46" t="str">
        <f t="shared" si="24"/>
        <v>02-Oct</v>
      </c>
      <c r="CC277" s="46" t="s">
        <v>122</v>
      </c>
      <c r="CD277" s="46" t="s">
        <v>132</v>
      </c>
      <c r="CE277" s="46" t="str">
        <f t="shared" si="23"/>
        <v>Libra - Air</v>
      </c>
    </row>
    <row r="278" spans="79:83" x14ac:dyDescent="0.3">
      <c r="CA278" s="376">
        <v>44107</v>
      </c>
      <c r="CB278" s="46" t="str">
        <f t="shared" si="24"/>
        <v>03-Oct</v>
      </c>
      <c r="CC278" s="46" t="s">
        <v>122</v>
      </c>
      <c r="CD278" s="46" t="s">
        <v>132</v>
      </c>
      <c r="CE278" s="46" t="str">
        <f t="shared" si="23"/>
        <v>Libra - Air</v>
      </c>
    </row>
    <row r="279" spans="79:83" x14ac:dyDescent="0.3">
      <c r="CA279" s="376">
        <v>44108</v>
      </c>
      <c r="CB279" s="46" t="str">
        <f t="shared" si="24"/>
        <v>04-Oct</v>
      </c>
      <c r="CC279" s="46" t="s">
        <v>122</v>
      </c>
      <c r="CD279" s="46" t="s">
        <v>132</v>
      </c>
      <c r="CE279" s="46" t="str">
        <f t="shared" si="23"/>
        <v>Libra - Air</v>
      </c>
    </row>
    <row r="280" spans="79:83" x14ac:dyDescent="0.3">
      <c r="CA280" s="376">
        <v>44109</v>
      </c>
      <c r="CB280" s="46" t="str">
        <f t="shared" si="24"/>
        <v>05-Oct</v>
      </c>
      <c r="CC280" s="46" t="s">
        <v>122</v>
      </c>
      <c r="CD280" s="46" t="s">
        <v>132</v>
      </c>
      <c r="CE280" s="46" t="str">
        <f t="shared" si="23"/>
        <v>Libra - Air</v>
      </c>
    </row>
    <row r="281" spans="79:83" x14ac:dyDescent="0.3">
      <c r="CA281" s="376">
        <v>44110</v>
      </c>
      <c r="CB281" s="46" t="str">
        <f t="shared" si="24"/>
        <v>06-Oct</v>
      </c>
      <c r="CC281" s="46" t="s">
        <v>122</v>
      </c>
      <c r="CD281" s="46" t="s">
        <v>132</v>
      </c>
      <c r="CE281" s="46" t="str">
        <f t="shared" si="23"/>
        <v>Libra - Air</v>
      </c>
    </row>
    <row r="282" spans="79:83" x14ac:dyDescent="0.3">
      <c r="CA282" s="376">
        <v>44111</v>
      </c>
      <c r="CB282" s="46" t="str">
        <f t="shared" si="24"/>
        <v>07-Oct</v>
      </c>
      <c r="CC282" s="46" t="s">
        <v>122</v>
      </c>
      <c r="CD282" s="46" t="s">
        <v>132</v>
      </c>
      <c r="CE282" s="46" t="str">
        <f t="shared" si="23"/>
        <v>Libra - Air</v>
      </c>
    </row>
    <row r="283" spans="79:83" x14ac:dyDescent="0.3">
      <c r="CA283" s="376">
        <v>44112</v>
      </c>
      <c r="CB283" s="46" t="str">
        <f t="shared" si="24"/>
        <v>08-Oct</v>
      </c>
      <c r="CC283" s="46" t="s">
        <v>122</v>
      </c>
      <c r="CD283" s="46" t="s">
        <v>132</v>
      </c>
      <c r="CE283" s="46" t="str">
        <f t="shared" si="23"/>
        <v>Libra - Air</v>
      </c>
    </row>
    <row r="284" spans="79:83" x14ac:dyDescent="0.3">
      <c r="CA284" s="376">
        <v>44113</v>
      </c>
      <c r="CB284" s="46" t="str">
        <f t="shared" si="24"/>
        <v>09-Oct</v>
      </c>
      <c r="CC284" s="46" t="s">
        <v>122</v>
      </c>
      <c r="CD284" s="46" t="s">
        <v>132</v>
      </c>
      <c r="CE284" s="46" t="str">
        <f t="shared" si="23"/>
        <v>Libra - Air</v>
      </c>
    </row>
    <row r="285" spans="79:83" x14ac:dyDescent="0.3">
      <c r="CA285" s="376">
        <v>44114</v>
      </c>
      <c r="CB285" s="46" t="str">
        <f t="shared" si="24"/>
        <v>10-Oct</v>
      </c>
      <c r="CC285" s="46" t="s">
        <v>122</v>
      </c>
      <c r="CD285" s="46" t="s">
        <v>132</v>
      </c>
      <c r="CE285" s="46" t="str">
        <f t="shared" si="23"/>
        <v>Libra - Air</v>
      </c>
    </row>
    <row r="286" spans="79:83" x14ac:dyDescent="0.3">
      <c r="CA286" s="376">
        <v>44115</v>
      </c>
      <c r="CB286" s="46" t="str">
        <f t="shared" si="24"/>
        <v>11-Oct</v>
      </c>
      <c r="CC286" s="46" t="s">
        <v>122</v>
      </c>
      <c r="CD286" s="46" t="s">
        <v>132</v>
      </c>
      <c r="CE286" s="46" t="str">
        <f t="shared" si="23"/>
        <v>Libra - Air</v>
      </c>
    </row>
    <row r="287" spans="79:83" x14ac:dyDescent="0.3">
      <c r="CA287" s="376">
        <v>44116</v>
      </c>
      <c r="CB287" s="46" t="str">
        <f t="shared" si="24"/>
        <v>12-Oct</v>
      </c>
      <c r="CC287" s="46" t="s">
        <v>122</v>
      </c>
      <c r="CD287" s="46" t="s">
        <v>132</v>
      </c>
      <c r="CE287" s="46" t="str">
        <f t="shared" si="23"/>
        <v>Libra - Air</v>
      </c>
    </row>
    <row r="288" spans="79:83" x14ac:dyDescent="0.3">
      <c r="CA288" s="376">
        <v>44117</v>
      </c>
      <c r="CB288" s="46" t="str">
        <f t="shared" si="24"/>
        <v>13-Oct</v>
      </c>
      <c r="CC288" s="46" t="s">
        <v>122</v>
      </c>
      <c r="CD288" s="46" t="s">
        <v>132</v>
      </c>
      <c r="CE288" s="46" t="str">
        <f t="shared" si="23"/>
        <v>Libra - Air</v>
      </c>
    </row>
    <row r="289" spans="79:83" x14ac:dyDescent="0.3">
      <c r="CA289" s="376">
        <v>44118</v>
      </c>
      <c r="CB289" s="46" t="str">
        <f t="shared" si="24"/>
        <v>14-Oct</v>
      </c>
      <c r="CC289" s="46" t="s">
        <v>122</v>
      </c>
      <c r="CD289" s="46" t="s">
        <v>132</v>
      </c>
      <c r="CE289" s="46" t="str">
        <f t="shared" si="23"/>
        <v>Libra - Air</v>
      </c>
    </row>
    <row r="290" spans="79:83" x14ac:dyDescent="0.3">
      <c r="CA290" s="376">
        <v>44119</v>
      </c>
      <c r="CB290" s="46" t="str">
        <f t="shared" si="24"/>
        <v>15-Oct</v>
      </c>
      <c r="CC290" s="46" t="s">
        <v>122</v>
      </c>
      <c r="CD290" s="46" t="s">
        <v>132</v>
      </c>
      <c r="CE290" s="46" t="str">
        <f t="shared" si="23"/>
        <v>Libra - Air</v>
      </c>
    </row>
    <row r="291" spans="79:83" x14ac:dyDescent="0.3">
      <c r="CA291" s="376">
        <v>44120</v>
      </c>
      <c r="CB291" s="46" t="str">
        <f t="shared" si="24"/>
        <v>16-Oct</v>
      </c>
      <c r="CC291" s="46" t="s">
        <v>122</v>
      </c>
      <c r="CD291" s="46" t="s">
        <v>132</v>
      </c>
      <c r="CE291" s="46" t="str">
        <f t="shared" si="23"/>
        <v>Libra - Air</v>
      </c>
    </row>
    <row r="292" spans="79:83" x14ac:dyDescent="0.3">
      <c r="CA292" s="376">
        <v>44121</v>
      </c>
      <c r="CB292" s="46" t="str">
        <f t="shared" si="24"/>
        <v>17-Oct</v>
      </c>
      <c r="CC292" s="46" t="s">
        <v>122</v>
      </c>
      <c r="CD292" s="46" t="s">
        <v>132</v>
      </c>
      <c r="CE292" s="46" t="str">
        <f t="shared" si="23"/>
        <v>Libra - Air</v>
      </c>
    </row>
    <row r="293" spans="79:83" x14ac:dyDescent="0.3">
      <c r="CA293" s="376">
        <v>44122</v>
      </c>
      <c r="CB293" s="46" t="str">
        <f t="shared" si="24"/>
        <v>18-Oct</v>
      </c>
      <c r="CC293" s="46" t="s">
        <v>122</v>
      </c>
      <c r="CD293" s="46" t="s">
        <v>132</v>
      </c>
      <c r="CE293" s="46" t="str">
        <f t="shared" si="23"/>
        <v>Libra - Air</v>
      </c>
    </row>
    <row r="294" spans="79:83" x14ac:dyDescent="0.3">
      <c r="CA294" s="376">
        <v>44123</v>
      </c>
      <c r="CB294" s="46" t="str">
        <f t="shared" si="24"/>
        <v>19-Oct</v>
      </c>
      <c r="CC294" s="46" t="s">
        <v>122</v>
      </c>
      <c r="CD294" s="46" t="s">
        <v>132</v>
      </c>
      <c r="CE294" s="46" t="str">
        <f t="shared" si="23"/>
        <v>Libra - Air</v>
      </c>
    </row>
    <row r="295" spans="79:83" x14ac:dyDescent="0.3">
      <c r="CA295" s="376">
        <v>44124</v>
      </c>
      <c r="CB295" s="46" t="str">
        <f t="shared" si="24"/>
        <v>20-Oct</v>
      </c>
      <c r="CC295" s="46" t="s">
        <v>122</v>
      </c>
      <c r="CD295" s="46" t="s">
        <v>132</v>
      </c>
      <c r="CE295" s="46" t="str">
        <f t="shared" si="23"/>
        <v>Libra - Air</v>
      </c>
    </row>
    <row r="296" spans="79:83" x14ac:dyDescent="0.3">
      <c r="CA296" s="376">
        <v>44125</v>
      </c>
      <c r="CB296" s="46" t="str">
        <f t="shared" si="24"/>
        <v>21-Oct</v>
      </c>
      <c r="CC296" s="46" t="s">
        <v>122</v>
      </c>
      <c r="CD296" s="46" t="s">
        <v>132</v>
      </c>
      <c r="CE296" s="46" t="str">
        <f t="shared" si="23"/>
        <v>Libra - Air</v>
      </c>
    </row>
    <row r="297" spans="79:83" x14ac:dyDescent="0.3">
      <c r="CA297" s="376">
        <v>44126</v>
      </c>
      <c r="CB297" s="46" t="str">
        <f t="shared" si="24"/>
        <v>22-Oct</v>
      </c>
      <c r="CC297" s="46" t="s">
        <v>122</v>
      </c>
      <c r="CD297" s="46" t="s">
        <v>132</v>
      </c>
      <c r="CE297" s="46" t="str">
        <f t="shared" si="23"/>
        <v>Libra - Air</v>
      </c>
    </row>
    <row r="298" spans="79:83" x14ac:dyDescent="0.3">
      <c r="CA298" s="376">
        <v>44127</v>
      </c>
      <c r="CB298" s="46" t="str">
        <f t="shared" si="24"/>
        <v>23-Oct</v>
      </c>
      <c r="CC298" s="46" t="s">
        <v>123</v>
      </c>
      <c r="CD298" s="46" t="s">
        <v>131</v>
      </c>
      <c r="CE298" s="46" t="str">
        <f t="shared" si="23"/>
        <v>Scorpio - Water</v>
      </c>
    </row>
    <row r="299" spans="79:83" x14ac:dyDescent="0.3">
      <c r="CA299" s="376">
        <v>44128</v>
      </c>
      <c r="CB299" s="46" t="str">
        <f t="shared" si="24"/>
        <v>24-Oct</v>
      </c>
      <c r="CC299" s="46" t="s">
        <v>123</v>
      </c>
      <c r="CD299" s="46" t="s">
        <v>131</v>
      </c>
      <c r="CE299" s="46" t="str">
        <f t="shared" si="23"/>
        <v>Scorpio - Water</v>
      </c>
    </row>
    <row r="300" spans="79:83" x14ac:dyDescent="0.3">
      <c r="CA300" s="376">
        <v>44129</v>
      </c>
      <c r="CB300" s="46" t="str">
        <f t="shared" si="24"/>
        <v>25-Oct</v>
      </c>
      <c r="CC300" s="46" t="s">
        <v>123</v>
      </c>
      <c r="CD300" s="46" t="s">
        <v>131</v>
      </c>
      <c r="CE300" s="46" t="str">
        <f t="shared" si="23"/>
        <v>Scorpio - Water</v>
      </c>
    </row>
    <row r="301" spans="79:83" x14ac:dyDescent="0.3">
      <c r="CA301" s="376">
        <v>44130</v>
      </c>
      <c r="CB301" s="46" t="str">
        <f t="shared" si="24"/>
        <v>26-Oct</v>
      </c>
      <c r="CC301" s="46" t="s">
        <v>123</v>
      </c>
      <c r="CD301" s="46" t="s">
        <v>131</v>
      </c>
      <c r="CE301" s="46" t="str">
        <f t="shared" si="23"/>
        <v>Scorpio - Water</v>
      </c>
    </row>
    <row r="302" spans="79:83" x14ac:dyDescent="0.3">
      <c r="CA302" s="376">
        <v>44131</v>
      </c>
      <c r="CB302" s="46" t="str">
        <f t="shared" si="24"/>
        <v>27-Oct</v>
      </c>
      <c r="CC302" s="46" t="s">
        <v>123</v>
      </c>
      <c r="CD302" s="46" t="s">
        <v>131</v>
      </c>
      <c r="CE302" s="46" t="str">
        <f t="shared" si="23"/>
        <v>Scorpio - Water</v>
      </c>
    </row>
    <row r="303" spans="79:83" x14ac:dyDescent="0.3">
      <c r="CA303" s="376">
        <v>44132</v>
      </c>
      <c r="CB303" s="46" t="str">
        <f t="shared" si="24"/>
        <v>28-Oct</v>
      </c>
      <c r="CC303" s="46" t="s">
        <v>123</v>
      </c>
      <c r="CD303" s="46" t="s">
        <v>131</v>
      </c>
      <c r="CE303" s="46" t="str">
        <f t="shared" si="23"/>
        <v>Scorpio - Water</v>
      </c>
    </row>
    <row r="304" spans="79:83" x14ac:dyDescent="0.3">
      <c r="CA304" s="376">
        <v>44133</v>
      </c>
      <c r="CB304" s="46" t="str">
        <f t="shared" si="24"/>
        <v>29-Oct</v>
      </c>
      <c r="CC304" s="46" t="s">
        <v>123</v>
      </c>
      <c r="CD304" s="46" t="s">
        <v>131</v>
      </c>
      <c r="CE304" s="46" t="str">
        <f t="shared" si="23"/>
        <v>Scorpio - Water</v>
      </c>
    </row>
    <row r="305" spans="79:83" x14ac:dyDescent="0.3">
      <c r="CA305" s="376">
        <v>44134</v>
      </c>
      <c r="CB305" s="46" t="str">
        <f t="shared" si="24"/>
        <v>30-Oct</v>
      </c>
      <c r="CC305" s="46" t="s">
        <v>123</v>
      </c>
      <c r="CD305" s="46" t="s">
        <v>131</v>
      </c>
      <c r="CE305" s="46" t="str">
        <f t="shared" si="23"/>
        <v>Scorpio - Water</v>
      </c>
    </row>
    <row r="306" spans="79:83" x14ac:dyDescent="0.3">
      <c r="CA306" s="376">
        <v>44135</v>
      </c>
      <c r="CB306" s="46" t="str">
        <f t="shared" si="24"/>
        <v>31-Oct</v>
      </c>
      <c r="CC306" s="46" t="s">
        <v>123</v>
      </c>
      <c r="CD306" s="46" t="s">
        <v>131</v>
      </c>
      <c r="CE306" s="46" t="str">
        <f t="shared" si="23"/>
        <v>Scorpio - Water</v>
      </c>
    </row>
    <row r="307" spans="79:83" x14ac:dyDescent="0.3">
      <c r="CA307" s="376">
        <v>44136</v>
      </c>
      <c r="CB307" s="46" t="str">
        <f t="shared" si="24"/>
        <v>01-Nov</v>
      </c>
      <c r="CC307" s="46" t="s">
        <v>123</v>
      </c>
      <c r="CD307" s="46" t="s">
        <v>131</v>
      </c>
      <c r="CE307" s="46" t="str">
        <f t="shared" si="23"/>
        <v>Scorpio - Water</v>
      </c>
    </row>
    <row r="308" spans="79:83" x14ac:dyDescent="0.3">
      <c r="CA308" s="376">
        <v>44137</v>
      </c>
      <c r="CB308" s="46" t="str">
        <f t="shared" si="24"/>
        <v>02-Nov</v>
      </c>
      <c r="CC308" s="46" t="s">
        <v>123</v>
      </c>
      <c r="CD308" s="46" t="s">
        <v>131</v>
      </c>
      <c r="CE308" s="46" t="str">
        <f t="shared" si="23"/>
        <v>Scorpio - Water</v>
      </c>
    </row>
    <row r="309" spans="79:83" x14ac:dyDescent="0.3">
      <c r="CA309" s="376">
        <v>44138</v>
      </c>
      <c r="CB309" s="46" t="str">
        <f t="shared" si="24"/>
        <v>03-Nov</v>
      </c>
      <c r="CC309" s="46" t="s">
        <v>123</v>
      </c>
      <c r="CD309" s="46" t="s">
        <v>131</v>
      </c>
      <c r="CE309" s="46" t="str">
        <f t="shared" si="23"/>
        <v>Scorpio - Water</v>
      </c>
    </row>
    <row r="310" spans="79:83" x14ac:dyDescent="0.3">
      <c r="CA310" s="376">
        <v>44139</v>
      </c>
      <c r="CB310" s="46" t="str">
        <f t="shared" si="24"/>
        <v>04-Nov</v>
      </c>
      <c r="CC310" s="46" t="s">
        <v>123</v>
      </c>
      <c r="CD310" s="46" t="s">
        <v>131</v>
      </c>
      <c r="CE310" s="46" t="str">
        <f t="shared" si="23"/>
        <v>Scorpio - Water</v>
      </c>
    </row>
    <row r="311" spans="79:83" x14ac:dyDescent="0.3">
      <c r="CA311" s="376">
        <v>44140</v>
      </c>
      <c r="CB311" s="46" t="str">
        <f t="shared" si="24"/>
        <v>05-Nov</v>
      </c>
      <c r="CC311" s="46" t="s">
        <v>123</v>
      </c>
      <c r="CD311" s="46" t="s">
        <v>131</v>
      </c>
      <c r="CE311" s="46" t="str">
        <f t="shared" si="23"/>
        <v>Scorpio - Water</v>
      </c>
    </row>
    <row r="312" spans="79:83" x14ac:dyDescent="0.3">
      <c r="CA312" s="376">
        <v>44141</v>
      </c>
      <c r="CB312" s="46" t="str">
        <f t="shared" si="24"/>
        <v>06-Nov</v>
      </c>
      <c r="CC312" s="46" t="s">
        <v>123</v>
      </c>
      <c r="CD312" s="46" t="s">
        <v>131</v>
      </c>
      <c r="CE312" s="46" t="str">
        <f t="shared" si="23"/>
        <v>Scorpio - Water</v>
      </c>
    </row>
    <row r="313" spans="79:83" x14ac:dyDescent="0.3">
      <c r="CA313" s="376">
        <v>44142</v>
      </c>
      <c r="CB313" s="46" t="str">
        <f t="shared" si="24"/>
        <v>07-Nov</v>
      </c>
      <c r="CC313" s="46" t="s">
        <v>123</v>
      </c>
      <c r="CD313" s="46" t="s">
        <v>131</v>
      </c>
      <c r="CE313" s="46" t="str">
        <f t="shared" si="23"/>
        <v>Scorpio - Water</v>
      </c>
    </row>
    <row r="314" spans="79:83" x14ac:dyDescent="0.3">
      <c r="CA314" s="376">
        <v>44143</v>
      </c>
      <c r="CB314" s="46" t="str">
        <f t="shared" si="24"/>
        <v>08-Nov</v>
      </c>
      <c r="CC314" s="46" t="s">
        <v>123</v>
      </c>
      <c r="CD314" s="46" t="s">
        <v>131</v>
      </c>
      <c r="CE314" s="46" t="str">
        <f t="shared" si="23"/>
        <v>Scorpio - Water</v>
      </c>
    </row>
    <row r="315" spans="79:83" x14ac:dyDescent="0.3">
      <c r="CA315" s="376">
        <v>44144</v>
      </c>
      <c r="CB315" s="46" t="str">
        <f t="shared" si="24"/>
        <v>09-Nov</v>
      </c>
      <c r="CC315" s="46" t="s">
        <v>123</v>
      </c>
      <c r="CD315" s="46" t="s">
        <v>131</v>
      </c>
      <c r="CE315" s="46" t="str">
        <f t="shared" si="23"/>
        <v>Scorpio - Water</v>
      </c>
    </row>
    <row r="316" spans="79:83" x14ac:dyDescent="0.3">
      <c r="CA316" s="376">
        <v>44145</v>
      </c>
      <c r="CB316" s="46" t="str">
        <f t="shared" si="24"/>
        <v>10-Nov</v>
      </c>
      <c r="CC316" s="46" t="s">
        <v>123</v>
      </c>
      <c r="CD316" s="46" t="s">
        <v>131</v>
      </c>
      <c r="CE316" s="46" t="str">
        <f t="shared" si="23"/>
        <v>Scorpio - Water</v>
      </c>
    </row>
    <row r="317" spans="79:83" x14ac:dyDescent="0.3">
      <c r="CA317" s="376">
        <v>44146</v>
      </c>
      <c r="CB317" s="46" t="str">
        <f t="shared" si="24"/>
        <v>11-Nov</v>
      </c>
      <c r="CC317" s="46" t="s">
        <v>123</v>
      </c>
      <c r="CD317" s="46" t="s">
        <v>131</v>
      </c>
      <c r="CE317" s="46" t="str">
        <f t="shared" si="23"/>
        <v>Scorpio - Water</v>
      </c>
    </row>
    <row r="318" spans="79:83" x14ac:dyDescent="0.3">
      <c r="CA318" s="376">
        <v>44147</v>
      </c>
      <c r="CB318" s="46" t="str">
        <f t="shared" si="24"/>
        <v>12-Nov</v>
      </c>
      <c r="CC318" s="46" t="s">
        <v>123</v>
      </c>
      <c r="CD318" s="46" t="s">
        <v>131</v>
      </c>
      <c r="CE318" s="46" t="str">
        <f t="shared" si="23"/>
        <v>Scorpio - Water</v>
      </c>
    </row>
    <row r="319" spans="79:83" x14ac:dyDescent="0.3">
      <c r="CA319" s="376">
        <v>44148</v>
      </c>
      <c r="CB319" s="46" t="str">
        <f t="shared" si="24"/>
        <v>13-Nov</v>
      </c>
      <c r="CC319" s="46" t="s">
        <v>123</v>
      </c>
      <c r="CD319" s="46" t="s">
        <v>131</v>
      </c>
      <c r="CE319" s="46" t="str">
        <f t="shared" si="23"/>
        <v>Scorpio - Water</v>
      </c>
    </row>
    <row r="320" spans="79:83" x14ac:dyDescent="0.3">
      <c r="CA320" s="376">
        <v>44149</v>
      </c>
      <c r="CB320" s="46" t="str">
        <f t="shared" si="24"/>
        <v>14-Nov</v>
      </c>
      <c r="CC320" s="46" t="s">
        <v>123</v>
      </c>
      <c r="CD320" s="46" t="s">
        <v>131</v>
      </c>
      <c r="CE320" s="46" t="str">
        <f t="shared" si="23"/>
        <v>Scorpio - Water</v>
      </c>
    </row>
    <row r="321" spans="79:83" x14ac:dyDescent="0.3">
      <c r="CA321" s="376">
        <v>44150</v>
      </c>
      <c r="CB321" s="46" t="str">
        <f t="shared" si="24"/>
        <v>15-Nov</v>
      </c>
      <c r="CC321" s="46" t="s">
        <v>123</v>
      </c>
      <c r="CD321" s="46" t="s">
        <v>131</v>
      </c>
      <c r="CE321" s="46" t="str">
        <f t="shared" ref="CE321:CE367" si="25">CC321&amp;" - "&amp;CD321</f>
        <v>Scorpio - Water</v>
      </c>
    </row>
    <row r="322" spans="79:83" x14ac:dyDescent="0.3">
      <c r="CA322" s="376">
        <v>44151</v>
      </c>
      <c r="CB322" s="46" t="str">
        <f t="shared" si="24"/>
        <v>16-Nov</v>
      </c>
      <c r="CC322" s="46" t="s">
        <v>123</v>
      </c>
      <c r="CD322" s="46" t="s">
        <v>131</v>
      </c>
      <c r="CE322" s="46" t="str">
        <f t="shared" si="25"/>
        <v>Scorpio - Water</v>
      </c>
    </row>
    <row r="323" spans="79:83" x14ac:dyDescent="0.3">
      <c r="CA323" s="376">
        <v>44152</v>
      </c>
      <c r="CB323" s="46" t="str">
        <f t="shared" ref="CB323:CB367" si="26">TEXT(CA323,"DD-MMM")</f>
        <v>17-Nov</v>
      </c>
      <c r="CC323" s="46" t="s">
        <v>123</v>
      </c>
      <c r="CD323" s="46" t="s">
        <v>131</v>
      </c>
      <c r="CE323" s="46" t="str">
        <f t="shared" si="25"/>
        <v>Scorpio - Water</v>
      </c>
    </row>
    <row r="324" spans="79:83" x14ac:dyDescent="0.3">
      <c r="CA324" s="376">
        <v>44153</v>
      </c>
      <c r="CB324" s="46" t="str">
        <f t="shared" si="26"/>
        <v>18-Nov</v>
      </c>
      <c r="CC324" s="46" t="s">
        <v>123</v>
      </c>
      <c r="CD324" s="46" t="s">
        <v>131</v>
      </c>
      <c r="CE324" s="46" t="str">
        <f t="shared" si="25"/>
        <v>Scorpio - Water</v>
      </c>
    </row>
    <row r="325" spans="79:83" x14ac:dyDescent="0.3">
      <c r="CA325" s="376">
        <v>44154</v>
      </c>
      <c r="CB325" s="46" t="str">
        <f t="shared" si="26"/>
        <v>19-Nov</v>
      </c>
      <c r="CC325" s="46" t="s">
        <v>123</v>
      </c>
      <c r="CD325" s="46" t="s">
        <v>131</v>
      </c>
      <c r="CE325" s="46" t="str">
        <f t="shared" si="25"/>
        <v>Scorpio - Water</v>
      </c>
    </row>
    <row r="326" spans="79:83" x14ac:dyDescent="0.3">
      <c r="CA326" s="376">
        <v>44155</v>
      </c>
      <c r="CB326" s="46" t="str">
        <f t="shared" si="26"/>
        <v>20-Nov</v>
      </c>
      <c r="CC326" s="46" t="s">
        <v>123</v>
      </c>
      <c r="CD326" s="46" t="s">
        <v>131</v>
      </c>
      <c r="CE326" s="46" t="str">
        <f t="shared" si="25"/>
        <v>Scorpio - Water</v>
      </c>
    </row>
    <row r="327" spans="79:83" x14ac:dyDescent="0.3">
      <c r="CA327" s="376">
        <v>44156</v>
      </c>
      <c r="CB327" s="46" t="str">
        <f t="shared" si="26"/>
        <v>21-Nov</v>
      </c>
      <c r="CC327" s="46" t="s">
        <v>123</v>
      </c>
      <c r="CD327" s="46" t="s">
        <v>131</v>
      </c>
      <c r="CE327" s="46" t="str">
        <f t="shared" si="25"/>
        <v>Scorpio - Water</v>
      </c>
    </row>
    <row r="328" spans="79:83" x14ac:dyDescent="0.3">
      <c r="CA328" s="376">
        <v>44157</v>
      </c>
      <c r="CB328" s="46" t="str">
        <f t="shared" si="26"/>
        <v>22-Nov</v>
      </c>
      <c r="CC328" s="46" t="s">
        <v>124</v>
      </c>
      <c r="CD328" s="46" t="s">
        <v>129</v>
      </c>
      <c r="CE328" s="46" t="str">
        <f t="shared" si="25"/>
        <v>Sagittarius - Fire</v>
      </c>
    </row>
    <row r="329" spans="79:83" x14ac:dyDescent="0.3">
      <c r="CA329" s="376">
        <v>44158</v>
      </c>
      <c r="CB329" s="46" t="str">
        <f t="shared" si="26"/>
        <v>23-Nov</v>
      </c>
      <c r="CC329" s="46" t="s">
        <v>124</v>
      </c>
      <c r="CD329" s="46" t="s">
        <v>129</v>
      </c>
      <c r="CE329" s="46" t="str">
        <f t="shared" si="25"/>
        <v>Sagittarius - Fire</v>
      </c>
    </row>
    <row r="330" spans="79:83" x14ac:dyDescent="0.3">
      <c r="CA330" s="376">
        <v>44159</v>
      </c>
      <c r="CB330" s="46" t="str">
        <f t="shared" si="26"/>
        <v>24-Nov</v>
      </c>
      <c r="CC330" s="46" t="s">
        <v>124</v>
      </c>
      <c r="CD330" s="46" t="s">
        <v>129</v>
      </c>
      <c r="CE330" s="46" t="str">
        <f t="shared" si="25"/>
        <v>Sagittarius - Fire</v>
      </c>
    </row>
    <row r="331" spans="79:83" x14ac:dyDescent="0.3">
      <c r="CA331" s="376">
        <v>44160</v>
      </c>
      <c r="CB331" s="46" t="str">
        <f t="shared" si="26"/>
        <v>25-Nov</v>
      </c>
      <c r="CC331" s="46" t="s">
        <v>124</v>
      </c>
      <c r="CD331" s="46" t="s">
        <v>129</v>
      </c>
      <c r="CE331" s="46" t="str">
        <f t="shared" si="25"/>
        <v>Sagittarius - Fire</v>
      </c>
    </row>
    <row r="332" spans="79:83" x14ac:dyDescent="0.3">
      <c r="CA332" s="376">
        <v>44161</v>
      </c>
      <c r="CB332" s="46" t="str">
        <f t="shared" si="26"/>
        <v>26-Nov</v>
      </c>
      <c r="CC332" s="46" t="s">
        <v>124</v>
      </c>
      <c r="CD332" s="46" t="s">
        <v>129</v>
      </c>
      <c r="CE332" s="46" t="str">
        <f t="shared" si="25"/>
        <v>Sagittarius - Fire</v>
      </c>
    </row>
    <row r="333" spans="79:83" x14ac:dyDescent="0.3">
      <c r="CA333" s="376">
        <v>44162</v>
      </c>
      <c r="CB333" s="46" t="str">
        <f t="shared" si="26"/>
        <v>27-Nov</v>
      </c>
      <c r="CC333" s="46" t="s">
        <v>124</v>
      </c>
      <c r="CD333" s="46" t="s">
        <v>129</v>
      </c>
      <c r="CE333" s="46" t="str">
        <f t="shared" si="25"/>
        <v>Sagittarius - Fire</v>
      </c>
    </row>
    <row r="334" spans="79:83" x14ac:dyDescent="0.3">
      <c r="CA334" s="376">
        <v>44163</v>
      </c>
      <c r="CB334" s="46" t="str">
        <f t="shared" si="26"/>
        <v>28-Nov</v>
      </c>
      <c r="CC334" s="46" t="s">
        <v>124</v>
      </c>
      <c r="CD334" s="46" t="s">
        <v>129</v>
      </c>
      <c r="CE334" s="46" t="str">
        <f t="shared" si="25"/>
        <v>Sagittarius - Fire</v>
      </c>
    </row>
    <row r="335" spans="79:83" x14ac:dyDescent="0.3">
      <c r="CA335" s="376">
        <v>44164</v>
      </c>
      <c r="CB335" s="46" t="str">
        <f t="shared" si="26"/>
        <v>29-Nov</v>
      </c>
      <c r="CC335" s="46" t="s">
        <v>124</v>
      </c>
      <c r="CD335" s="46" t="s">
        <v>129</v>
      </c>
      <c r="CE335" s="46" t="str">
        <f t="shared" si="25"/>
        <v>Sagittarius - Fire</v>
      </c>
    </row>
    <row r="336" spans="79:83" x14ac:dyDescent="0.3">
      <c r="CA336" s="376">
        <v>44165</v>
      </c>
      <c r="CB336" s="46" t="str">
        <f t="shared" si="26"/>
        <v>30-Nov</v>
      </c>
      <c r="CC336" s="46" t="s">
        <v>124</v>
      </c>
      <c r="CD336" s="46" t="s">
        <v>129</v>
      </c>
      <c r="CE336" s="46" t="str">
        <f t="shared" si="25"/>
        <v>Sagittarius - Fire</v>
      </c>
    </row>
    <row r="337" spans="79:83" x14ac:dyDescent="0.3">
      <c r="CA337" s="376">
        <v>44166</v>
      </c>
      <c r="CB337" s="46" t="str">
        <f t="shared" si="26"/>
        <v>01-Dec</v>
      </c>
      <c r="CC337" s="46" t="s">
        <v>124</v>
      </c>
      <c r="CD337" s="46" t="s">
        <v>129</v>
      </c>
      <c r="CE337" s="46" t="str">
        <f t="shared" si="25"/>
        <v>Sagittarius - Fire</v>
      </c>
    </row>
    <row r="338" spans="79:83" x14ac:dyDescent="0.3">
      <c r="CA338" s="376">
        <v>44167</v>
      </c>
      <c r="CB338" s="46" t="str">
        <f t="shared" si="26"/>
        <v>02-Dec</v>
      </c>
      <c r="CC338" s="46" t="s">
        <v>124</v>
      </c>
      <c r="CD338" s="46" t="s">
        <v>129</v>
      </c>
      <c r="CE338" s="46" t="str">
        <f t="shared" si="25"/>
        <v>Sagittarius - Fire</v>
      </c>
    </row>
    <row r="339" spans="79:83" x14ac:dyDescent="0.3">
      <c r="CA339" s="376">
        <v>44168</v>
      </c>
      <c r="CB339" s="46" t="str">
        <f t="shared" si="26"/>
        <v>03-Dec</v>
      </c>
      <c r="CC339" s="46" t="s">
        <v>124</v>
      </c>
      <c r="CD339" s="46" t="s">
        <v>129</v>
      </c>
      <c r="CE339" s="46" t="str">
        <f t="shared" si="25"/>
        <v>Sagittarius - Fire</v>
      </c>
    </row>
    <row r="340" spans="79:83" x14ac:dyDescent="0.3">
      <c r="CA340" s="376">
        <v>44169</v>
      </c>
      <c r="CB340" s="46" t="str">
        <f t="shared" si="26"/>
        <v>04-Dec</v>
      </c>
      <c r="CC340" s="46" t="s">
        <v>124</v>
      </c>
      <c r="CD340" s="46" t="s">
        <v>129</v>
      </c>
      <c r="CE340" s="46" t="str">
        <f t="shared" si="25"/>
        <v>Sagittarius - Fire</v>
      </c>
    </row>
    <row r="341" spans="79:83" x14ac:dyDescent="0.3">
      <c r="CA341" s="376">
        <v>44170</v>
      </c>
      <c r="CB341" s="46" t="str">
        <f t="shared" si="26"/>
        <v>05-Dec</v>
      </c>
      <c r="CC341" s="46" t="s">
        <v>124</v>
      </c>
      <c r="CD341" s="46" t="s">
        <v>129</v>
      </c>
      <c r="CE341" s="46" t="str">
        <f t="shared" si="25"/>
        <v>Sagittarius - Fire</v>
      </c>
    </row>
    <row r="342" spans="79:83" x14ac:dyDescent="0.3">
      <c r="CA342" s="376">
        <v>44171</v>
      </c>
      <c r="CB342" s="46" t="str">
        <f t="shared" si="26"/>
        <v>06-Dec</v>
      </c>
      <c r="CC342" s="46" t="s">
        <v>124</v>
      </c>
      <c r="CD342" s="46" t="s">
        <v>129</v>
      </c>
      <c r="CE342" s="46" t="str">
        <f t="shared" si="25"/>
        <v>Sagittarius - Fire</v>
      </c>
    </row>
    <row r="343" spans="79:83" x14ac:dyDescent="0.3">
      <c r="CA343" s="376">
        <v>44172</v>
      </c>
      <c r="CB343" s="46" t="str">
        <f t="shared" si="26"/>
        <v>07-Dec</v>
      </c>
      <c r="CC343" s="46" t="s">
        <v>124</v>
      </c>
      <c r="CD343" s="46" t="s">
        <v>129</v>
      </c>
      <c r="CE343" s="46" t="str">
        <f t="shared" si="25"/>
        <v>Sagittarius - Fire</v>
      </c>
    </row>
    <row r="344" spans="79:83" x14ac:dyDescent="0.3">
      <c r="CA344" s="376">
        <v>44173</v>
      </c>
      <c r="CB344" s="46" t="str">
        <f t="shared" si="26"/>
        <v>08-Dec</v>
      </c>
      <c r="CC344" s="46" t="s">
        <v>124</v>
      </c>
      <c r="CD344" s="46" t="s">
        <v>129</v>
      </c>
      <c r="CE344" s="46" t="str">
        <f t="shared" si="25"/>
        <v>Sagittarius - Fire</v>
      </c>
    </row>
    <row r="345" spans="79:83" x14ac:dyDescent="0.3">
      <c r="CA345" s="376">
        <v>44174</v>
      </c>
      <c r="CB345" s="46" t="str">
        <f t="shared" si="26"/>
        <v>09-Dec</v>
      </c>
      <c r="CC345" s="46" t="s">
        <v>124</v>
      </c>
      <c r="CD345" s="46" t="s">
        <v>129</v>
      </c>
      <c r="CE345" s="46" t="str">
        <f t="shared" si="25"/>
        <v>Sagittarius - Fire</v>
      </c>
    </row>
    <row r="346" spans="79:83" x14ac:dyDescent="0.3">
      <c r="CA346" s="376">
        <v>44175</v>
      </c>
      <c r="CB346" s="46" t="str">
        <f t="shared" si="26"/>
        <v>10-Dec</v>
      </c>
      <c r="CC346" s="46" t="s">
        <v>124</v>
      </c>
      <c r="CD346" s="46" t="s">
        <v>129</v>
      </c>
      <c r="CE346" s="46" t="str">
        <f t="shared" si="25"/>
        <v>Sagittarius - Fire</v>
      </c>
    </row>
    <row r="347" spans="79:83" x14ac:dyDescent="0.3">
      <c r="CA347" s="376">
        <v>44176</v>
      </c>
      <c r="CB347" s="46" t="str">
        <f t="shared" si="26"/>
        <v>11-Dec</v>
      </c>
      <c r="CC347" s="46" t="s">
        <v>124</v>
      </c>
      <c r="CD347" s="46" t="s">
        <v>129</v>
      </c>
      <c r="CE347" s="46" t="str">
        <f t="shared" si="25"/>
        <v>Sagittarius - Fire</v>
      </c>
    </row>
    <row r="348" spans="79:83" x14ac:dyDescent="0.3">
      <c r="CA348" s="376">
        <v>44177</v>
      </c>
      <c r="CB348" s="46" t="str">
        <f t="shared" si="26"/>
        <v>12-Dec</v>
      </c>
      <c r="CC348" s="46" t="s">
        <v>124</v>
      </c>
      <c r="CD348" s="46" t="s">
        <v>129</v>
      </c>
      <c r="CE348" s="46" t="str">
        <f t="shared" si="25"/>
        <v>Sagittarius - Fire</v>
      </c>
    </row>
    <row r="349" spans="79:83" x14ac:dyDescent="0.3">
      <c r="CA349" s="376">
        <v>44178</v>
      </c>
      <c r="CB349" s="46" t="str">
        <f t="shared" si="26"/>
        <v>13-Dec</v>
      </c>
      <c r="CC349" s="46" t="s">
        <v>124</v>
      </c>
      <c r="CD349" s="46" t="s">
        <v>129</v>
      </c>
      <c r="CE349" s="46" t="str">
        <f t="shared" si="25"/>
        <v>Sagittarius - Fire</v>
      </c>
    </row>
    <row r="350" spans="79:83" x14ac:dyDescent="0.3">
      <c r="CA350" s="376">
        <v>44179</v>
      </c>
      <c r="CB350" s="46" t="str">
        <f t="shared" si="26"/>
        <v>14-Dec</v>
      </c>
      <c r="CC350" s="46" t="s">
        <v>124</v>
      </c>
      <c r="CD350" s="46" t="s">
        <v>129</v>
      </c>
      <c r="CE350" s="46" t="str">
        <f t="shared" si="25"/>
        <v>Sagittarius - Fire</v>
      </c>
    </row>
    <row r="351" spans="79:83" x14ac:dyDescent="0.3">
      <c r="CA351" s="376">
        <v>44180</v>
      </c>
      <c r="CB351" s="46" t="str">
        <f t="shared" si="26"/>
        <v>15-Dec</v>
      </c>
      <c r="CC351" s="46" t="s">
        <v>124</v>
      </c>
      <c r="CD351" s="46" t="s">
        <v>129</v>
      </c>
      <c r="CE351" s="46" t="str">
        <f t="shared" si="25"/>
        <v>Sagittarius - Fire</v>
      </c>
    </row>
    <row r="352" spans="79:83" x14ac:dyDescent="0.3">
      <c r="CA352" s="376">
        <v>44181</v>
      </c>
      <c r="CB352" s="46" t="str">
        <f t="shared" si="26"/>
        <v>16-Dec</v>
      </c>
      <c r="CC352" s="46" t="s">
        <v>124</v>
      </c>
      <c r="CD352" s="46" t="s">
        <v>129</v>
      </c>
      <c r="CE352" s="46" t="str">
        <f t="shared" si="25"/>
        <v>Sagittarius - Fire</v>
      </c>
    </row>
    <row r="353" spans="79:83" x14ac:dyDescent="0.3">
      <c r="CA353" s="376">
        <v>44182</v>
      </c>
      <c r="CB353" s="46" t="str">
        <f t="shared" si="26"/>
        <v>17-Dec</v>
      </c>
      <c r="CC353" s="46" t="s">
        <v>124</v>
      </c>
      <c r="CD353" s="46" t="s">
        <v>129</v>
      </c>
      <c r="CE353" s="46" t="str">
        <f t="shared" si="25"/>
        <v>Sagittarius - Fire</v>
      </c>
    </row>
    <row r="354" spans="79:83" x14ac:dyDescent="0.3">
      <c r="CA354" s="376">
        <v>44183</v>
      </c>
      <c r="CB354" s="46" t="str">
        <f t="shared" si="26"/>
        <v>18-Dec</v>
      </c>
      <c r="CC354" s="46" t="s">
        <v>124</v>
      </c>
      <c r="CD354" s="46" t="s">
        <v>129</v>
      </c>
      <c r="CE354" s="46" t="str">
        <f t="shared" si="25"/>
        <v>Sagittarius - Fire</v>
      </c>
    </row>
    <row r="355" spans="79:83" x14ac:dyDescent="0.3">
      <c r="CA355" s="376">
        <v>44184</v>
      </c>
      <c r="CB355" s="46" t="str">
        <f t="shared" si="26"/>
        <v>19-Dec</v>
      </c>
      <c r="CC355" s="46" t="s">
        <v>124</v>
      </c>
      <c r="CD355" s="46" t="s">
        <v>129</v>
      </c>
      <c r="CE355" s="46" t="str">
        <f t="shared" si="25"/>
        <v>Sagittarius - Fire</v>
      </c>
    </row>
    <row r="356" spans="79:83" x14ac:dyDescent="0.3">
      <c r="CA356" s="376">
        <v>44185</v>
      </c>
      <c r="CB356" s="46" t="str">
        <f t="shared" si="26"/>
        <v>20-Dec</v>
      </c>
      <c r="CC356" s="46" t="s">
        <v>124</v>
      </c>
      <c r="CD356" s="46" t="s">
        <v>129</v>
      </c>
      <c r="CE356" s="46" t="str">
        <f t="shared" si="25"/>
        <v>Sagittarius - Fire</v>
      </c>
    </row>
    <row r="357" spans="79:83" x14ac:dyDescent="0.3">
      <c r="CA357" s="376">
        <v>44186</v>
      </c>
      <c r="CB357" s="46" t="str">
        <f t="shared" si="26"/>
        <v>21-Dec</v>
      </c>
      <c r="CC357" s="46" t="s">
        <v>124</v>
      </c>
      <c r="CD357" s="46" t="s">
        <v>129</v>
      </c>
      <c r="CE357" s="46" t="str">
        <f>CC357&amp;" - "&amp;CD357</f>
        <v>Sagittarius - Fire</v>
      </c>
    </row>
    <row r="358" spans="79:83" x14ac:dyDescent="0.3">
      <c r="CA358" s="376">
        <v>44187</v>
      </c>
      <c r="CB358" s="46" t="str">
        <f t="shared" si="26"/>
        <v>22-Dec</v>
      </c>
      <c r="CC358" s="46" t="s">
        <v>113</v>
      </c>
      <c r="CD358" s="46" t="s">
        <v>130</v>
      </c>
      <c r="CE358" s="46" t="str">
        <f t="shared" si="25"/>
        <v>Capricorn - Earth</v>
      </c>
    </row>
    <row r="359" spans="79:83" x14ac:dyDescent="0.3">
      <c r="CA359" s="376">
        <v>44188</v>
      </c>
      <c r="CB359" s="46" t="str">
        <f t="shared" si="26"/>
        <v>23-Dec</v>
      </c>
      <c r="CC359" s="46" t="s">
        <v>113</v>
      </c>
      <c r="CD359" s="46" t="s">
        <v>130</v>
      </c>
      <c r="CE359" s="46" t="str">
        <f t="shared" si="25"/>
        <v>Capricorn - Earth</v>
      </c>
    </row>
    <row r="360" spans="79:83" x14ac:dyDescent="0.3">
      <c r="CA360" s="376">
        <v>44189</v>
      </c>
      <c r="CB360" s="46" t="str">
        <f t="shared" si="26"/>
        <v>24-Dec</v>
      </c>
      <c r="CC360" s="46" t="s">
        <v>113</v>
      </c>
      <c r="CD360" s="46" t="s">
        <v>130</v>
      </c>
      <c r="CE360" s="46" t="str">
        <f t="shared" si="25"/>
        <v>Capricorn - Earth</v>
      </c>
    </row>
    <row r="361" spans="79:83" x14ac:dyDescent="0.3">
      <c r="CA361" s="376">
        <v>44190</v>
      </c>
      <c r="CB361" s="46" t="str">
        <f t="shared" si="26"/>
        <v>25-Dec</v>
      </c>
      <c r="CC361" s="46" t="s">
        <v>113</v>
      </c>
      <c r="CD361" s="46" t="s">
        <v>130</v>
      </c>
      <c r="CE361" s="46" t="str">
        <f t="shared" si="25"/>
        <v>Capricorn - Earth</v>
      </c>
    </row>
    <row r="362" spans="79:83" x14ac:dyDescent="0.3">
      <c r="CA362" s="376">
        <v>44191</v>
      </c>
      <c r="CB362" s="46" t="str">
        <f t="shared" si="26"/>
        <v>26-Dec</v>
      </c>
      <c r="CC362" s="46" t="s">
        <v>113</v>
      </c>
      <c r="CD362" s="46" t="s">
        <v>130</v>
      </c>
      <c r="CE362" s="46" t="str">
        <f t="shared" si="25"/>
        <v>Capricorn - Earth</v>
      </c>
    </row>
    <row r="363" spans="79:83" x14ac:dyDescent="0.3">
      <c r="CA363" s="376">
        <v>44192</v>
      </c>
      <c r="CB363" s="46" t="str">
        <f t="shared" si="26"/>
        <v>27-Dec</v>
      </c>
      <c r="CC363" s="46" t="s">
        <v>113</v>
      </c>
      <c r="CD363" s="46" t="s">
        <v>130</v>
      </c>
      <c r="CE363" s="46" t="str">
        <f t="shared" si="25"/>
        <v>Capricorn - Earth</v>
      </c>
    </row>
    <row r="364" spans="79:83" x14ac:dyDescent="0.3">
      <c r="CA364" s="376">
        <v>44193</v>
      </c>
      <c r="CB364" s="46" t="str">
        <f t="shared" si="26"/>
        <v>28-Dec</v>
      </c>
      <c r="CC364" s="46" t="s">
        <v>113</v>
      </c>
      <c r="CD364" s="46" t="s">
        <v>130</v>
      </c>
      <c r="CE364" s="46" t="str">
        <f t="shared" si="25"/>
        <v>Capricorn - Earth</v>
      </c>
    </row>
    <row r="365" spans="79:83" x14ac:dyDescent="0.3">
      <c r="CA365" s="376">
        <v>44194</v>
      </c>
      <c r="CB365" s="46" t="str">
        <f t="shared" si="26"/>
        <v>29-Dec</v>
      </c>
      <c r="CC365" s="46" t="s">
        <v>113</v>
      </c>
      <c r="CD365" s="46" t="s">
        <v>130</v>
      </c>
      <c r="CE365" s="46" t="str">
        <f t="shared" si="25"/>
        <v>Capricorn - Earth</v>
      </c>
    </row>
    <row r="366" spans="79:83" x14ac:dyDescent="0.3">
      <c r="CA366" s="376">
        <v>44195</v>
      </c>
      <c r="CB366" s="46" t="str">
        <f t="shared" si="26"/>
        <v>30-Dec</v>
      </c>
      <c r="CC366" s="46" t="s">
        <v>113</v>
      </c>
      <c r="CD366" s="46" t="s">
        <v>130</v>
      </c>
      <c r="CE366" s="46" t="str">
        <f t="shared" si="25"/>
        <v>Capricorn - Earth</v>
      </c>
    </row>
    <row r="367" spans="79:83" x14ac:dyDescent="0.3">
      <c r="CA367" s="376">
        <v>44196</v>
      </c>
      <c r="CB367" s="46" t="str">
        <f t="shared" si="26"/>
        <v>31-Dec</v>
      </c>
      <c r="CC367" s="46" t="s">
        <v>113</v>
      </c>
      <c r="CD367" s="46" t="s">
        <v>130</v>
      </c>
      <c r="CE367" s="46" t="str">
        <f t="shared" si="25"/>
        <v>Capricorn - Earth</v>
      </c>
    </row>
  </sheetData>
  <mergeCells count="18">
    <mergeCell ref="D5:E5"/>
    <mergeCell ref="G5:H5"/>
    <mergeCell ref="J5:M5"/>
    <mergeCell ref="D6:E6"/>
    <mergeCell ref="G6:H6"/>
    <mergeCell ref="J6:M6"/>
    <mergeCell ref="AY1:AZ1"/>
    <mergeCell ref="R1:S1"/>
    <mergeCell ref="U1:V1"/>
    <mergeCell ref="X1:Y1"/>
    <mergeCell ref="AA1:AB1"/>
    <mergeCell ref="AD1:AE1"/>
    <mergeCell ref="AG1:AH1"/>
    <mergeCell ref="AJ1:AK1"/>
    <mergeCell ref="AM1:AN1"/>
    <mergeCell ref="AP1:AQ1"/>
    <mergeCell ref="AS1:AT1"/>
    <mergeCell ref="AV1:AW1"/>
  </mergeCells>
  <conditionalFormatting sqref="S3:S33 Y3:Y33 AB3:AB32 AE3:AE33 AH3:AH32 AK3:AK33 AN3:AN33 AQ3:AQ32 AT3:AT33 AW3:AW32 AZ3:AZ33 V3:V31">
    <cfRule type="cellIs" dxfId="100" priority="7" operator="equal">
      <formula>$D$8</formula>
    </cfRule>
    <cfRule type="cellIs" dxfId="99" priority="8" operator="equal">
      <formula>$D$7</formula>
    </cfRule>
  </conditionalFormatting>
  <conditionalFormatting sqref="S3:S33">
    <cfRule type="cellIs" dxfId="98" priority="6" operator="equal">
      <formula>$F$16</formula>
    </cfRule>
  </conditionalFormatting>
  <conditionalFormatting sqref="V3:V31">
    <cfRule type="cellIs" dxfId="97" priority="5" operator="equal">
      <formula>$F$16</formula>
    </cfRule>
  </conditionalFormatting>
  <conditionalFormatting sqref="Y3:Y33 AB3:AB32 AE3:AE33 AH3:AH32 AK3:AK33 AN3:AN33 AQ3:AQ32 AT3:AT33 AW3:AW32 AZ3:AZ33">
    <cfRule type="cellIs" dxfId="96" priority="4" operator="equal">
      <formula>$F$16</formula>
    </cfRule>
  </conditionalFormatting>
  <conditionalFormatting sqref="D23">
    <cfRule type="cellIs" dxfId="95" priority="2" operator="equal">
      <formula>$D$7</formula>
    </cfRule>
    <cfRule type="cellIs" dxfId="94" priority="3" operator="equal">
      <formula>$D$8</formula>
    </cfRule>
  </conditionalFormatting>
  <conditionalFormatting sqref="D23">
    <cfRule type="cellIs" dxfId="93" priority="1" operator="equal">
      <formula>$F$16</formula>
    </cfRule>
  </conditionalFormatting>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G102"/>
  <sheetViews>
    <sheetView zoomScale="85" zoomScaleNormal="85" workbookViewId="0">
      <selection activeCell="AQ15" sqref="AQ15"/>
    </sheetView>
  </sheetViews>
  <sheetFormatPr defaultColWidth="9.21875" defaultRowHeight="14.4" x14ac:dyDescent="0.3"/>
  <cols>
    <col min="1" max="1" width="13.21875" style="465" bestFit="1" customWidth="1"/>
    <col min="2" max="2" width="10.21875" style="465" bestFit="1" customWidth="1"/>
    <col min="3" max="3" width="2.77734375" style="465" bestFit="1" customWidth="1"/>
    <col min="4" max="4" width="2" style="465" bestFit="1" customWidth="1"/>
    <col min="5" max="8" width="2.21875" style="465" bestFit="1" customWidth="1"/>
    <col min="9" max="38" width="2" style="465" bestFit="1" customWidth="1"/>
    <col min="39" max="40" width="3.44140625" style="465" bestFit="1" customWidth="1"/>
    <col min="41" max="41" width="4.21875" style="465" bestFit="1" customWidth="1"/>
    <col min="42" max="42" width="5.5546875" style="465" bestFit="1" customWidth="1"/>
    <col min="43" max="43" width="9.21875" style="465"/>
    <col min="44" max="50" width="5.21875" style="465" customWidth="1"/>
    <col min="51" max="51" width="8.44140625" style="465" bestFit="1" customWidth="1"/>
    <col min="52" max="52" width="2.77734375" style="465" customWidth="1"/>
    <col min="53" max="53" width="7.5546875" style="465" customWidth="1"/>
    <col min="54" max="54" width="2.44140625" style="465" customWidth="1"/>
    <col min="55" max="55" width="3.5546875" style="465" customWidth="1"/>
    <col min="56" max="56" width="2.21875" style="465" customWidth="1"/>
    <col min="57" max="57" width="2.77734375" style="465" customWidth="1"/>
    <col min="58" max="58" width="3.5546875" style="465" customWidth="1"/>
    <col min="59" max="59" width="2.77734375" style="465" customWidth="1"/>
    <col min="60" max="61" width="3.5546875" style="465" customWidth="1"/>
    <col min="62" max="62" width="5.5546875" style="465" customWidth="1"/>
    <col min="63" max="63" width="3.77734375" style="465" customWidth="1"/>
    <col min="64" max="64" width="9.21875" style="464" customWidth="1"/>
    <col min="65" max="65" width="8.21875" style="464" customWidth="1"/>
    <col min="66" max="66" width="2" style="465" customWidth="1"/>
    <col min="67" max="67" width="9.21875" style="465" customWidth="1"/>
    <col min="68" max="68" width="10.5546875" style="466" customWidth="1"/>
    <col min="69" max="69" width="2.5546875" style="465" customWidth="1"/>
    <col min="70" max="70" width="9.5546875" style="465" bestFit="1" customWidth="1"/>
    <col min="71" max="71" width="7.5546875" style="465" customWidth="1"/>
    <col min="72" max="72" width="13.77734375" style="465" bestFit="1" customWidth="1"/>
    <col min="73" max="73" width="5.77734375" style="465" bestFit="1" customWidth="1"/>
    <col min="74" max="74" width="3.77734375" style="465" customWidth="1"/>
    <col min="75" max="75" width="15.21875" style="465" bestFit="1" customWidth="1"/>
    <col min="76" max="76" width="10" style="465" bestFit="1" customWidth="1"/>
    <col min="77" max="77" width="5.77734375" style="465" bestFit="1" customWidth="1"/>
    <col min="78" max="78" width="6.21875" style="465" bestFit="1" customWidth="1"/>
    <col min="79" max="79" width="6" style="465" customWidth="1"/>
    <col min="80" max="80" width="3.77734375" style="465" bestFit="1" customWidth="1"/>
    <col min="81" max="81" width="5.77734375" style="465" bestFit="1" customWidth="1"/>
    <col min="82" max="84" width="5.21875" style="465" customWidth="1"/>
    <col min="85" max="85" width="6.21875" style="465" bestFit="1" customWidth="1"/>
    <col min="86" max="16384" width="9.21875" style="465"/>
  </cols>
  <sheetData>
    <row r="1" spans="1:85" ht="15" thickBot="1" x14ac:dyDescent="0.35">
      <c r="A1" s="463" t="s">
        <v>17</v>
      </c>
      <c r="B1" s="464" t="str">
        <f>'Master Calculator'!B16</f>
        <v>ACHARYA</v>
      </c>
      <c r="C1" s="464" t="str">
        <f>MID($B1,COLUMNS($B$13:B$13),1)</f>
        <v>A</v>
      </c>
      <c r="D1" s="464" t="str">
        <f>MID($B1,COLUMNS($B$13:C$13),1)</f>
        <v>C</v>
      </c>
      <c r="E1" s="464" t="str">
        <f>MID($B1,COLUMNS($B$13:D$13),1)</f>
        <v>H</v>
      </c>
      <c r="F1" s="464" t="str">
        <f>MID($B1,COLUMNS($B$13:E$13),1)</f>
        <v>A</v>
      </c>
      <c r="G1" s="464" t="str">
        <f>MID($B1,COLUMNS($B$13:F$13),1)</f>
        <v>R</v>
      </c>
      <c r="H1" s="464" t="str">
        <f>MID($B1,COLUMNS($B$13:G$13),1)</f>
        <v>Y</v>
      </c>
      <c r="I1" s="464" t="str">
        <f>MID($B1,COLUMNS($B$13:H$13),1)</f>
        <v>A</v>
      </c>
      <c r="J1" s="464" t="str">
        <f>MID($B1,COLUMNS($B$13:I$13),1)</f>
        <v/>
      </c>
      <c r="K1" s="464" t="str">
        <f>MID($B1,COLUMNS($B$13:J$13),1)</f>
        <v/>
      </c>
      <c r="L1" s="464" t="str">
        <f>MID($B1,COLUMNS($B$13:K$13),1)</f>
        <v/>
      </c>
      <c r="M1" s="464" t="str">
        <f>MID($B1,COLUMNS($B$13:L$13),1)</f>
        <v/>
      </c>
      <c r="N1" s="464" t="str">
        <f>MID($B1,COLUMNS($B$13:M$13),1)</f>
        <v/>
      </c>
      <c r="O1" s="464" t="str">
        <f>MID($B1,COLUMNS($B$13:N$13),1)</f>
        <v/>
      </c>
      <c r="P1" s="464" t="str">
        <f>MID($B1,COLUMNS($B$13:O$13),1)</f>
        <v/>
      </c>
      <c r="Q1" s="464" t="str">
        <f>MID($B1,COLUMNS($B$13:P$13),1)</f>
        <v/>
      </c>
      <c r="R1" s="464" t="str">
        <f>MID($B1,COLUMNS($B$13:Q$13),1)</f>
        <v/>
      </c>
      <c r="S1" s="464" t="str">
        <f>MID($B1,COLUMNS($B$13:R$13),1)</f>
        <v/>
      </c>
      <c r="T1" s="464" t="str">
        <f>MID($B1,COLUMNS($B$13:S$13),1)</f>
        <v/>
      </c>
      <c r="U1" s="464" t="str">
        <f>MID($B1,COLUMNS($B$13:T$13),1)</f>
        <v/>
      </c>
      <c r="V1" s="464" t="str">
        <f>MID($B1,COLUMNS($B$13:U$13),1)</f>
        <v/>
      </c>
      <c r="W1" s="464" t="str">
        <f>MID($B1,COLUMNS($B$13:V$13),1)</f>
        <v/>
      </c>
      <c r="X1" s="464" t="str">
        <f>MID($B1,COLUMNS($B$13:W$13),1)</f>
        <v/>
      </c>
      <c r="Y1" s="464" t="str">
        <f>MID($B1,COLUMNS($B$13:X$13),1)</f>
        <v/>
      </c>
      <c r="Z1" s="464" t="str">
        <f>MID($B1,COLUMNS($B$13:Y$13),1)</f>
        <v/>
      </c>
      <c r="AA1" s="464" t="str">
        <f>MID($B1,COLUMNS($B$13:Z$13),1)</f>
        <v/>
      </c>
      <c r="AB1" s="464" t="str">
        <f>MID($B1,COLUMNS($B$13:AA$13),1)</f>
        <v/>
      </c>
      <c r="AC1" s="464" t="str">
        <f>MID($B1,COLUMNS($B$13:AB$13),1)</f>
        <v/>
      </c>
      <c r="AD1" s="464" t="str">
        <f>MID($B1,COLUMNS($B$13:AC$13),1)</f>
        <v/>
      </c>
      <c r="AE1" s="464" t="str">
        <f>MID($B1,COLUMNS($B$13:AD$13),1)</f>
        <v/>
      </c>
      <c r="AF1" s="464" t="str">
        <f>MID($B1,COLUMNS($B$13:AE$13),1)</f>
        <v/>
      </c>
      <c r="AG1" s="464" t="str">
        <f>MID($B1,COLUMNS($B$13:AF$13),1)</f>
        <v/>
      </c>
      <c r="AH1" s="464" t="str">
        <f>MID($B1,COLUMNS($B$13:AG$13),1)</f>
        <v/>
      </c>
      <c r="AI1" s="464" t="str">
        <f>MID($B1,COLUMNS($B$13:AH$13),1)</f>
        <v/>
      </c>
      <c r="AJ1" s="464" t="str">
        <f>MID($B1,COLUMNS($B$13:AI$13),1)</f>
        <v/>
      </c>
      <c r="AK1" s="464" t="str">
        <f>MID($B1,COLUMNS($B$13:AJ$13),1)</f>
        <v/>
      </c>
      <c r="AL1" s="464" t="str">
        <f>MID($B1,COLUMNS($B$13:AK$13),1)</f>
        <v/>
      </c>
      <c r="AM1" s="464"/>
      <c r="AN1" s="464"/>
      <c r="AP1" s="466"/>
      <c r="AQ1" s="465" t="s">
        <v>4</v>
      </c>
      <c r="BA1" s="522" t="s">
        <v>4</v>
      </c>
      <c r="BB1" s="467" t="s">
        <v>5</v>
      </c>
      <c r="BC1" s="467" t="s">
        <v>6</v>
      </c>
      <c r="BD1" s="467" t="s">
        <v>7</v>
      </c>
      <c r="BE1" s="467" t="s">
        <v>8</v>
      </c>
      <c r="BF1" s="467" t="s">
        <v>9</v>
      </c>
      <c r="CG1" s="468">
        <v>1</v>
      </c>
    </row>
    <row r="2" spans="1:85" x14ac:dyDescent="0.3">
      <c r="A2" s="463"/>
      <c r="C2" s="464">
        <f t="shared" ref="C2:AL2" si="0">IFERROR(VLOOKUP(C1,$BL:$BM,2,0),0)</f>
        <v>1</v>
      </c>
      <c r="D2" s="464">
        <f t="shared" si="0"/>
        <v>3</v>
      </c>
      <c r="E2" s="464">
        <f t="shared" si="0"/>
        <v>5</v>
      </c>
      <c r="F2" s="464">
        <f t="shared" si="0"/>
        <v>1</v>
      </c>
      <c r="G2" s="464">
        <f t="shared" si="0"/>
        <v>2</v>
      </c>
      <c r="H2" s="464">
        <f t="shared" si="0"/>
        <v>1</v>
      </c>
      <c r="I2" s="464">
        <f t="shared" si="0"/>
        <v>1</v>
      </c>
      <c r="J2" s="464" t="str">
        <f t="shared" si="0"/>
        <v/>
      </c>
      <c r="K2" s="464" t="str">
        <f t="shared" si="0"/>
        <v/>
      </c>
      <c r="L2" s="464" t="str">
        <f t="shared" si="0"/>
        <v/>
      </c>
      <c r="M2" s="464" t="str">
        <f t="shared" si="0"/>
        <v/>
      </c>
      <c r="N2" s="464" t="str">
        <f t="shared" si="0"/>
        <v/>
      </c>
      <c r="O2" s="464" t="str">
        <f t="shared" si="0"/>
        <v/>
      </c>
      <c r="P2" s="464" t="str">
        <f t="shared" si="0"/>
        <v/>
      </c>
      <c r="Q2" s="464" t="str">
        <f t="shared" si="0"/>
        <v/>
      </c>
      <c r="R2" s="464" t="str">
        <f t="shared" si="0"/>
        <v/>
      </c>
      <c r="S2" s="464" t="str">
        <f t="shared" si="0"/>
        <v/>
      </c>
      <c r="T2" s="464" t="str">
        <f t="shared" si="0"/>
        <v/>
      </c>
      <c r="U2" s="464" t="str">
        <f t="shared" si="0"/>
        <v/>
      </c>
      <c r="V2" s="464" t="str">
        <f t="shared" si="0"/>
        <v/>
      </c>
      <c r="W2" s="464" t="str">
        <f t="shared" si="0"/>
        <v/>
      </c>
      <c r="X2" s="464" t="str">
        <f t="shared" si="0"/>
        <v/>
      </c>
      <c r="Y2" s="464" t="str">
        <f t="shared" si="0"/>
        <v/>
      </c>
      <c r="Z2" s="464" t="str">
        <f t="shared" si="0"/>
        <v/>
      </c>
      <c r="AA2" s="464" t="str">
        <f t="shared" si="0"/>
        <v/>
      </c>
      <c r="AB2" s="464" t="str">
        <f t="shared" si="0"/>
        <v/>
      </c>
      <c r="AC2" s="464" t="str">
        <f t="shared" si="0"/>
        <v/>
      </c>
      <c r="AD2" s="464" t="str">
        <f t="shared" si="0"/>
        <v/>
      </c>
      <c r="AE2" s="464" t="str">
        <f t="shared" si="0"/>
        <v/>
      </c>
      <c r="AF2" s="464" t="str">
        <f t="shared" si="0"/>
        <v/>
      </c>
      <c r="AG2" s="464" t="str">
        <f t="shared" si="0"/>
        <v/>
      </c>
      <c r="AH2" s="464" t="str">
        <f t="shared" si="0"/>
        <v/>
      </c>
      <c r="AI2" s="464" t="str">
        <f t="shared" si="0"/>
        <v/>
      </c>
      <c r="AJ2" s="464" t="str">
        <f t="shared" si="0"/>
        <v/>
      </c>
      <c r="AK2" s="464" t="str">
        <f t="shared" si="0"/>
        <v/>
      </c>
      <c r="AL2" s="464" t="str">
        <f t="shared" si="0"/>
        <v/>
      </c>
      <c r="AM2" s="464">
        <f>SUM(C2:AL2)</f>
        <v>14</v>
      </c>
      <c r="AN2" s="464">
        <f>IF(AM2&lt;10,AM2,((LEFT(AM2,1))+(RIGHT(AM2,1))))</f>
        <v>5</v>
      </c>
      <c r="AO2" s="465" t="s">
        <v>24</v>
      </c>
      <c r="AP2" s="466" t="str">
        <f>IF(AM2&gt;52,VLOOKUP(AN2,BO:BP,2,0),VLOOKUP(AM2,BO:BP,2,0))</f>
        <v>√</v>
      </c>
      <c r="AQ2" s="465">
        <f>AT2</f>
        <v>3</v>
      </c>
      <c r="AT2" s="464">
        <f>(AU2*AU3)+(AV2*AV3)+(AW2*AW3)+(AX2*AX3)+(AY2*AY3)</f>
        <v>3</v>
      </c>
      <c r="AU2" s="469">
        <f>IFERROR((HLOOKUP(BB1,$C$1:$AL$2,2,0)),0)</f>
        <v>1</v>
      </c>
      <c r="AV2" s="469">
        <f>IFERROR((HLOOKUP(BC1,$C$1:$AL$2,2,0)),0)</f>
        <v>0</v>
      </c>
      <c r="AW2" s="469">
        <f>IFERROR((HLOOKUP(BD1,$C$1:$AL$2,2,0)),0)</f>
        <v>0</v>
      </c>
      <c r="AX2" s="469">
        <f>IFERROR((HLOOKUP(BE1,$C$1:$AL$2,2,0)),0)</f>
        <v>0</v>
      </c>
      <c r="AY2" s="469">
        <f>IFERROR((HLOOKUP(BF1,$C$1:$AL$2,2,0)),0)</f>
        <v>0</v>
      </c>
      <c r="BA2" s="464"/>
      <c r="BB2" s="470">
        <v>1</v>
      </c>
      <c r="BC2" s="470">
        <v>5</v>
      </c>
      <c r="BD2" s="470">
        <v>1</v>
      </c>
      <c r="BE2" s="470">
        <v>7</v>
      </c>
      <c r="BF2" s="470">
        <v>6</v>
      </c>
      <c r="CG2" s="471" t="s">
        <v>14</v>
      </c>
    </row>
    <row r="3" spans="1:85" x14ac:dyDescent="0.3">
      <c r="A3" s="463" t="s">
        <v>30</v>
      </c>
      <c r="B3" s="464" t="str">
        <f>'Master Calculator'!B17</f>
        <v>KAMLESH</v>
      </c>
      <c r="C3" s="464" t="str">
        <f>MID($B3,COLUMNS($B$15:B$15),1)</f>
        <v>K</v>
      </c>
      <c r="D3" s="464" t="str">
        <f>MID($B3,COLUMNS($B$15:C$15),1)</f>
        <v>A</v>
      </c>
      <c r="E3" s="464" t="str">
        <f>MID($B3,COLUMNS($B$15:D$15),1)</f>
        <v>M</v>
      </c>
      <c r="F3" s="464" t="str">
        <f>MID($B3,COLUMNS($B$15:E$15),1)</f>
        <v>L</v>
      </c>
      <c r="G3" s="464" t="str">
        <f>MID($B3,COLUMNS($B$15:F$15),1)</f>
        <v>E</v>
      </c>
      <c r="H3" s="464" t="str">
        <f>MID($B3,COLUMNS($B$15:G$15),1)</f>
        <v>S</v>
      </c>
      <c r="I3" s="464" t="str">
        <f>MID($B3,COLUMNS($B$15:H$15),1)</f>
        <v>H</v>
      </c>
      <c r="J3" s="464" t="str">
        <f>MID($B3,COLUMNS($B$15:I$15),1)</f>
        <v/>
      </c>
      <c r="K3" s="464" t="str">
        <f>MID($B3,COLUMNS($B$15:J$15),1)</f>
        <v/>
      </c>
      <c r="L3" s="464" t="str">
        <f>MID($B3,COLUMNS($B$15:K$15),1)</f>
        <v/>
      </c>
      <c r="M3" s="464" t="str">
        <f>MID($B3,COLUMNS($B$15:L$15),1)</f>
        <v/>
      </c>
      <c r="N3" s="464" t="str">
        <f>MID($B3,COLUMNS($B$15:M$15),1)</f>
        <v/>
      </c>
      <c r="O3" s="464" t="str">
        <f>MID($B3,COLUMNS($B$15:N$15),1)</f>
        <v/>
      </c>
      <c r="P3" s="464" t="str">
        <f>MID($B3,COLUMNS($B$15:O$15),1)</f>
        <v/>
      </c>
      <c r="Q3" s="464" t="str">
        <f>MID($B3,COLUMNS($B$15:P$15),1)</f>
        <v/>
      </c>
      <c r="R3" s="464" t="str">
        <f>MID($B3,COLUMNS($B$15:Q$15),1)</f>
        <v/>
      </c>
      <c r="S3" s="464" t="str">
        <f>MID($B3,COLUMNS($B$15:R$15),1)</f>
        <v/>
      </c>
      <c r="T3" s="464" t="str">
        <f>MID($B3,COLUMNS($B$15:S$15),1)</f>
        <v/>
      </c>
      <c r="U3" s="464" t="str">
        <f>MID($B3,COLUMNS($B$15:T$15),1)</f>
        <v/>
      </c>
      <c r="V3" s="464" t="str">
        <f>MID($B3,COLUMNS($B$15:U$15),1)</f>
        <v/>
      </c>
      <c r="W3" s="464" t="str">
        <f>MID($B3,COLUMNS($B$15:V$15),1)</f>
        <v/>
      </c>
      <c r="X3" s="464" t="str">
        <f>MID($B3,COLUMNS($B$15:W$15),1)</f>
        <v/>
      </c>
      <c r="Y3" s="464" t="str">
        <f>MID($B3,COLUMNS($B$15:X$15),1)</f>
        <v/>
      </c>
      <c r="Z3" s="464" t="str">
        <f>MID($B3,COLUMNS($B$15:Y$15),1)</f>
        <v/>
      </c>
      <c r="AA3" s="464" t="str">
        <f>MID($B3,COLUMNS($B$15:Z$15),1)</f>
        <v/>
      </c>
      <c r="AB3" s="464" t="str">
        <f>MID($B3,COLUMNS($B$15:AA$15),1)</f>
        <v/>
      </c>
      <c r="AC3" s="464" t="str">
        <f>MID($B3,COLUMNS($B$15:AB$15),1)</f>
        <v/>
      </c>
      <c r="AD3" s="464" t="str">
        <f>MID($B3,COLUMNS($B$15:AC$15),1)</f>
        <v/>
      </c>
      <c r="AE3" s="464" t="str">
        <f>MID($B3,COLUMNS($B$15:AD$15),1)</f>
        <v/>
      </c>
      <c r="AF3" s="464" t="str">
        <f>MID($B3,COLUMNS($B$15:AE$15),1)</f>
        <v/>
      </c>
      <c r="AG3" s="464" t="str">
        <f>MID($B3,COLUMNS($B$15:AF$15),1)</f>
        <v/>
      </c>
      <c r="AH3" s="464" t="str">
        <f>MID($B3,COLUMNS($B$15:AG$15),1)</f>
        <v/>
      </c>
      <c r="AI3" s="464" t="str">
        <f>MID($B3,COLUMNS($B$15:AH$15),1)</f>
        <v/>
      </c>
      <c r="AJ3" s="464" t="str">
        <f>MID($B3,COLUMNS($B$15:AI$15),1)</f>
        <v/>
      </c>
      <c r="AK3" s="464" t="str">
        <f>MID($B3,COLUMNS($B$15:AJ$15),1)</f>
        <v/>
      </c>
      <c r="AL3" s="464" t="str">
        <f>MID($B3,COLUMNS($B$15:AK$15),1)</f>
        <v/>
      </c>
      <c r="AM3" s="464"/>
      <c r="AN3" s="464"/>
      <c r="AP3" s="466"/>
      <c r="AT3" s="464"/>
      <c r="AU3" s="470">
        <f>COUNTIFS($C$1:$AL$1,BB1)</f>
        <v>3</v>
      </c>
      <c r="AV3" s="470">
        <f t="shared" ref="AV3:AY3" si="1">COUNTIFS($C$1:$AL$1,BC1)</f>
        <v>0</v>
      </c>
      <c r="AW3" s="470">
        <f t="shared" si="1"/>
        <v>0</v>
      </c>
      <c r="AX3" s="470">
        <f t="shared" si="1"/>
        <v>0</v>
      </c>
      <c r="AY3" s="470">
        <f t="shared" si="1"/>
        <v>0</v>
      </c>
      <c r="CG3" s="471" t="s">
        <v>43</v>
      </c>
    </row>
    <row r="4" spans="1:85" x14ac:dyDescent="0.3">
      <c r="A4" s="463"/>
      <c r="C4" s="464">
        <f t="shared" ref="C4:AL4" si="2">IFERROR(VLOOKUP(C3,$BL:$BM,2,0),0)</f>
        <v>2</v>
      </c>
      <c r="D4" s="464">
        <f t="shared" si="2"/>
        <v>1</v>
      </c>
      <c r="E4" s="464">
        <f t="shared" si="2"/>
        <v>4</v>
      </c>
      <c r="F4" s="464">
        <f t="shared" si="2"/>
        <v>3</v>
      </c>
      <c r="G4" s="464">
        <f t="shared" si="2"/>
        <v>5</v>
      </c>
      <c r="H4" s="464">
        <f t="shared" si="2"/>
        <v>3</v>
      </c>
      <c r="I4" s="464">
        <f t="shared" si="2"/>
        <v>5</v>
      </c>
      <c r="J4" s="464" t="str">
        <f t="shared" si="2"/>
        <v/>
      </c>
      <c r="K4" s="464" t="str">
        <f t="shared" si="2"/>
        <v/>
      </c>
      <c r="L4" s="464" t="str">
        <f t="shared" si="2"/>
        <v/>
      </c>
      <c r="M4" s="464" t="str">
        <f t="shared" si="2"/>
        <v/>
      </c>
      <c r="N4" s="464" t="str">
        <f t="shared" si="2"/>
        <v/>
      </c>
      <c r="O4" s="464" t="str">
        <f t="shared" si="2"/>
        <v/>
      </c>
      <c r="P4" s="464" t="str">
        <f t="shared" si="2"/>
        <v/>
      </c>
      <c r="Q4" s="464" t="str">
        <f t="shared" si="2"/>
        <v/>
      </c>
      <c r="R4" s="464" t="str">
        <f t="shared" si="2"/>
        <v/>
      </c>
      <c r="S4" s="464" t="str">
        <f t="shared" si="2"/>
        <v/>
      </c>
      <c r="T4" s="464" t="str">
        <f t="shared" si="2"/>
        <v/>
      </c>
      <c r="U4" s="464" t="str">
        <f t="shared" si="2"/>
        <v/>
      </c>
      <c r="V4" s="464" t="str">
        <f t="shared" si="2"/>
        <v/>
      </c>
      <c r="W4" s="464" t="str">
        <f t="shared" si="2"/>
        <v/>
      </c>
      <c r="X4" s="464" t="str">
        <f t="shared" si="2"/>
        <v/>
      </c>
      <c r="Y4" s="464" t="str">
        <f t="shared" si="2"/>
        <v/>
      </c>
      <c r="Z4" s="464" t="str">
        <f t="shared" si="2"/>
        <v/>
      </c>
      <c r="AA4" s="464" t="str">
        <f t="shared" si="2"/>
        <v/>
      </c>
      <c r="AB4" s="464" t="str">
        <f t="shared" si="2"/>
        <v/>
      </c>
      <c r="AC4" s="464" t="str">
        <f t="shared" si="2"/>
        <v/>
      </c>
      <c r="AD4" s="464" t="str">
        <f t="shared" si="2"/>
        <v/>
      </c>
      <c r="AE4" s="464" t="str">
        <f t="shared" si="2"/>
        <v/>
      </c>
      <c r="AF4" s="464" t="str">
        <f t="shared" si="2"/>
        <v/>
      </c>
      <c r="AG4" s="464" t="str">
        <f t="shared" si="2"/>
        <v/>
      </c>
      <c r="AH4" s="464" t="str">
        <f t="shared" si="2"/>
        <v/>
      </c>
      <c r="AI4" s="464" t="str">
        <f t="shared" si="2"/>
        <v/>
      </c>
      <c r="AJ4" s="464" t="str">
        <f t="shared" si="2"/>
        <v/>
      </c>
      <c r="AK4" s="464" t="str">
        <f t="shared" si="2"/>
        <v/>
      </c>
      <c r="AL4" s="464" t="str">
        <f t="shared" si="2"/>
        <v/>
      </c>
      <c r="AM4" s="464">
        <f>SUM(C4:AL4)</f>
        <v>23</v>
      </c>
      <c r="AN4" s="464">
        <f>IF(AM4&lt;10,AM4,((LEFT(AM4,1))+(RIGHT(AM4,1))))</f>
        <v>5</v>
      </c>
      <c r="AP4" s="466"/>
      <c r="AQ4" s="465">
        <f>AT5</f>
        <v>6</v>
      </c>
      <c r="AT4" s="464"/>
      <c r="AU4" s="470"/>
      <c r="AV4" s="470"/>
      <c r="AW4" s="470"/>
      <c r="AX4" s="470"/>
      <c r="AY4" s="470"/>
      <c r="CG4" s="471" t="s">
        <v>46</v>
      </c>
    </row>
    <row r="5" spans="1:85" x14ac:dyDescent="0.3">
      <c r="A5" s="463" t="s">
        <v>37</v>
      </c>
      <c r="B5" s="464" t="str">
        <f>'Master Calculator'!B18</f>
        <v>MEENA</v>
      </c>
      <c r="C5" s="464" t="str">
        <f>MID($B5,COLUMNS($B$15:B$15),1)</f>
        <v>M</v>
      </c>
      <c r="D5" s="464" t="str">
        <f>MID($B5,COLUMNS($B$15:C$15),1)</f>
        <v>E</v>
      </c>
      <c r="E5" s="464" t="str">
        <f>MID($B5,COLUMNS($B$15:D$15),1)</f>
        <v>E</v>
      </c>
      <c r="F5" s="464" t="str">
        <f>MID($B5,COLUMNS($B$15:E$15),1)</f>
        <v>N</v>
      </c>
      <c r="G5" s="464" t="str">
        <f>MID($B5,COLUMNS($B$15:F$15),1)</f>
        <v>A</v>
      </c>
      <c r="H5" s="464" t="str">
        <f>MID($B5,COLUMNS($B$15:G$15),1)</f>
        <v/>
      </c>
      <c r="I5" s="464" t="str">
        <f>MID($B5,COLUMNS($B$15:H$15),1)</f>
        <v/>
      </c>
      <c r="J5" s="464" t="str">
        <f>MID($B5,COLUMNS($B$15:I$15),1)</f>
        <v/>
      </c>
      <c r="K5" s="464" t="str">
        <f>MID($B5,COLUMNS($B$15:J$15),1)</f>
        <v/>
      </c>
      <c r="L5" s="464" t="str">
        <f>MID($B5,COLUMNS($B$15:K$15),1)</f>
        <v/>
      </c>
      <c r="M5" s="464" t="str">
        <f>MID($B5,COLUMNS($B$15:L$15),1)</f>
        <v/>
      </c>
      <c r="N5" s="464" t="str">
        <f>MID($B5,COLUMNS($B$15:M$15),1)</f>
        <v/>
      </c>
      <c r="O5" s="464" t="str">
        <f>MID($B5,COLUMNS($B$15:N$15),1)</f>
        <v/>
      </c>
      <c r="P5" s="464" t="str">
        <f>MID($B5,COLUMNS($B$15:O$15),1)</f>
        <v/>
      </c>
      <c r="Q5" s="464" t="str">
        <f>MID($B5,COLUMNS($B$15:P$15),1)</f>
        <v/>
      </c>
      <c r="R5" s="464" t="str">
        <f>MID($B5,COLUMNS($B$15:Q$15),1)</f>
        <v/>
      </c>
      <c r="S5" s="464" t="str">
        <f>MID($B5,COLUMNS($B$15:R$15),1)</f>
        <v/>
      </c>
      <c r="T5" s="464" t="str">
        <f>MID($B5,COLUMNS($B$15:S$15),1)</f>
        <v/>
      </c>
      <c r="U5" s="464" t="str">
        <f>MID($B5,COLUMNS($B$15:T$15),1)</f>
        <v/>
      </c>
      <c r="V5" s="464" t="str">
        <f>MID($B5,COLUMNS($B$15:U$15),1)</f>
        <v/>
      </c>
      <c r="W5" s="464" t="str">
        <f>MID($B5,COLUMNS($B$15:V$15),1)</f>
        <v/>
      </c>
      <c r="X5" s="464" t="str">
        <f>MID($B5,COLUMNS($B$15:W$15),1)</f>
        <v/>
      </c>
      <c r="Y5" s="464" t="str">
        <f>MID($B5,COLUMNS($B$15:X$15),1)</f>
        <v/>
      </c>
      <c r="Z5" s="464" t="str">
        <f>MID($B5,COLUMNS($B$15:Y$15),1)</f>
        <v/>
      </c>
      <c r="AA5" s="464" t="str">
        <f>MID($B5,COLUMNS($B$15:Z$15),1)</f>
        <v/>
      </c>
      <c r="AB5" s="464" t="str">
        <f>MID($B5,COLUMNS($B$15:AA$15),1)</f>
        <v/>
      </c>
      <c r="AC5" s="464" t="str">
        <f>MID($B5,COLUMNS($B$15:AB$15),1)</f>
        <v/>
      </c>
      <c r="AD5" s="464" t="str">
        <f>MID($B5,COLUMNS($B$15:AC$15),1)</f>
        <v/>
      </c>
      <c r="AE5" s="464" t="str">
        <f>MID($B5,COLUMNS($B$15:AD$15),1)</f>
        <v/>
      </c>
      <c r="AF5" s="464" t="str">
        <f>MID($B5,COLUMNS($B$15:AE$15),1)</f>
        <v/>
      </c>
      <c r="AG5" s="464" t="str">
        <f>MID($B5,COLUMNS($B$15:AF$15),1)</f>
        <v/>
      </c>
      <c r="AH5" s="464" t="str">
        <f>MID($B5,COLUMNS($B$15:AG$15),1)</f>
        <v/>
      </c>
      <c r="AI5" s="464" t="str">
        <f>MID($B5,COLUMNS($B$15:AH$15),1)</f>
        <v/>
      </c>
      <c r="AJ5" s="464" t="str">
        <f>MID($B5,COLUMNS($B$15:AI$15),1)</f>
        <v/>
      </c>
      <c r="AK5" s="464" t="str">
        <f>MID($B5,COLUMNS($B$15:AJ$15),1)</f>
        <v/>
      </c>
      <c r="AL5" s="464" t="str">
        <f>MID($B5,COLUMNS($B$15:AK$15),1)</f>
        <v/>
      </c>
      <c r="AM5" s="464"/>
      <c r="AN5" s="464"/>
      <c r="AP5" s="466"/>
      <c r="AT5" s="464">
        <f>(AU5*AU6)+(AV5*AV6)+(AW5*AW6)+(AX5*AX6)+(AY5*AY6)</f>
        <v>6</v>
      </c>
      <c r="AU5" s="469">
        <f>IFERROR((HLOOKUP(BB1,$C$3:$AL$4,2,0)),0)</f>
        <v>1</v>
      </c>
      <c r="AV5" s="469">
        <f t="shared" ref="AV5:AY5" si="3">IFERROR((HLOOKUP(BC1,$C$3:$AL$4,2,0)),0)</f>
        <v>5</v>
      </c>
      <c r="AW5" s="469">
        <f t="shared" si="3"/>
        <v>0</v>
      </c>
      <c r="AX5" s="469">
        <f t="shared" si="3"/>
        <v>0</v>
      </c>
      <c r="AY5" s="469">
        <f t="shared" si="3"/>
        <v>0</v>
      </c>
      <c r="CG5" s="471" t="s">
        <v>63</v>
      </c>
    </row>
    <row r="6" spans="1:85" ht="15" thickBot="1" x14ac:dyDescent="0.35">
      <c r="A6" s="463"/>
      <c r="C6" s="464">
        <f t="shared" ref="C6:AL6" si="4">IFERROR(VLOOKUP(C5,$BL:$BM,2,0),0)</f>
        <v>4</v>
      </c>
      <c r="D6" s="464">
        <f t="shared" si="4"/>
        <v>5</v>
      </c>
      <c r="E6" s="464">
        <f t="shared" si="4"/>
        <v>5</v>
      </c>
      <c r="F6" s="464">
        <f t="shared" si="4"/>
        <v>5</v>
      </c>
      <c r="G6" s="464">
        <f t="shared" si="4"/>
        <v>1</v>
      </c>
      <c r="H6" s="464" t="str">
        <f t="shared" si="4"/>
        <v/>
      </c>
      <c r="I6" s="464" t="str">
        <f t="shared" si="4"/>
        <v/>
      </c>
      <c r="J6" s="464" t="str">
        <f t="shared" si="4"/>
        <v/>
      </c>
      <c r="K6" s="464" t="str">
        <f t="shared" si="4"/>
        <v/>
      </c>
      <c r="L6" s="464" t="str">
        <f t="shared" si="4"/>
        <v/>
      </c>
      <c r="M6" s="464" t="str">
        <f t="shared" si="4"/>
        <v/>
      </c>
      <c r="N6" s="464" t="str">
        <f t="shared" si="4"/>
        <v/>
      </c>
      <c r="O6" s="464" t="str">
        <f t="shared" si="4"/>
        <v/>
      </c>
      <c r="P6" s="464" t="str">
        <f t="shared" si="4"/>
        <v/>
      </c>
      <c r="Q6" s="464" t="str">
        <f t="shared" si="4"/>
        <v/>
      </c>
      <c r="R6" s="464" t="str">
        <f t="shared" si="4"/>
        <v/>
      </c>
      <c r="S6" s="464" t="str">
        <f t="shared" si="4"/>
        <v/>
      </c>
      <c r="T6" s="464" t="str">
        <f t="shared" si="4"/>
        <v/>
      </c>
      <c r="U6" s="464" t="str">
        <f t="shared" si="4"/>
        <v/>
      </c>
      <c r="V6" s="464" t="str">
        <f t="shared" si="4"/>
        <v/>
      </c>
      <c r="W6" s="464" t="str">
        <f t="shared" si="4"/>
        <v/>
      </c>
      <c r="X6" s="464" t="str">
        <f t="shared" si="4"/>
        <v/>
      </c>
      <c r="Y6" s="464" t="str">
        <f t="shared" si="4"/>
        <v/>
      </c>
      <c r="Z6" s="464" t="str">
        <f t="shared" si="4"/>
        <v/>
      </c>
      <c r="AA6" s="464" t="str">
        <f t="shared" si="4"/>
        <v/>
      </c>
      <c r="AB6" s="464" t="str">
        <f t="shared" si="4"/>
        <v/>
      </c>
      <c r="AC6" s="464" t="str">
        <f t="shared" si="4"/>
        <v/>
      </c>
      <c r="AD6" s="464" t="str">
        <f t="shared" si="4"/>
        <v/>
      </c>
      <c r="AE6" s="464" t="str">
        <f t="shared" si="4"/>
        <v/>
      </c>
      <c r="AF6" s="464" t="str">
        <f t="shared" si="4"/>
        <v/>
      </c>
      <c r="AG6" s="464" t="str">
        <f t="shared" si="4"/>
        <v/>
      </c>
      <c r="AH6" s="464" t="str">
        <f t="shared" si="4"/>
        <v/>
      </c>
      <c r="AI6" s="464" t="str">
        <f t="shared" si="4"/>
        <v/>
      </c>
      <c r="AJ6" s="464" t="str">
        <f t="shared" si="4"/>
        <v/>
      </c>
      <c r="AK6" s="464" t="str">
        <f t="shared" si="4"/>
        <v/>
      </c>
      <c r="AL6" s="464" t="str">
        <f t="shared" si="4"/>
        <v/>
      </c>
      <c r="AM6" s="464">
        <f>SUM(C6:AL6)</f>
        <v>20</v>
      </c>
      <c r="AN6" s="464">
        <f>IF(AM6&lt;10,AM6,((LEFT(AM6,1))+(RIGHT(AM6,1))))</f>
        <v>2</v>
      </c>
      <c r="AP6" s="466"/>
      <c r="AU6" s="470">
        <f>COUNTIFS($C$3:$AL$3,BB1)</f>
        <v>1</v>
      </c>
      <c r="AV6" s="470">
        <f t="shared" ref="AV6:AY6" si="5">COUNTIFS($C$3:$AL$3,BC1)</f>
        <v>1</v>
      </c>
      <c r="AW6" s="470">
        <f t="shared" si="5"/>
        <v>0</v>
      </c>
      <c r="AX6" s="470">
        <f t="shared" si="5"/>
        <v>0</v>
      </c>
      <c r="AY6" s="470">
        <f t="shared" si="5"/>
        <v>0</v>
      </c>
      <c r="CG6" s="472" t="s">
        <v>48</v>
      </c>
    </row>
    <row r="7" spans="1:85" x14ac:dyDescent="0.3">
      <c r="J7" s="473"/>
      <c r="K7" s="474"/>
      <c r="L7" s="473"/>
      <c r="M7" s="474"/>
      <c r="U7" s="474"/>
      <c r="AE7" s="474"/>
      <c r="AM7" s="465">
        <f>AM6+AM4+AM2</f>
        <v>57</v>
      </c>
      <c r="AN7" s="464">
        <f>AN2+AN4+AN6</f>
        <v>12</v>
      </c>
      <c r="AO7" s="465" t="s">
        <v>31</v>
      </c>
      <c r="AP7" s="466" t="str">
        <f>IF(AM7&gt;52,VLOOKUP(AN7,BO:BP,2,0),VLOOKUP(AM7,BO:BP,2,0))</f>
        <v>√</v>
      </c>
      <c r="AQ7" s="465">
        <f>AT8</f>
        <v>11</v>
      </c>
    </row>
    <row r="8" spans="1:85" x14ac:dyDescent="0.3">
      <c r="AQ8" s="465">
        <f>SUM(AQ2:AQ7)</f>
        <v>20</v>
      </c>
      <c r="AT8" s="464">
        <f>(AU8*AU9)+(AV8*AV9)+(AW8*AW9)+(AX8*AX9)+(AY8*AY9)</f>
        <v>11</v>
      </c>
      <c r="AU8" s="469">
        <f>IFERROR((HLOOKUP(BB1,$C$5:$AL$6,2,0)),0)</f>
        <v>1</v>
      </c>
      <c r="AV8" s="469">
        <f t="shared" ref="AV8:AY8" si="6">IFERROR((HLOOKUP(BC1,$C$5:$AL$6,2,0)),0)</f>
        <v>5</v>
      </c>
      <c r="AW8" s="469">
        <f t="shared" si="6"/>
        <v>0</v>
      </c>
      <c r="AX8" s="469">
        <f t="shared" si="6"/>
        <v>0</v>
      </c>
      <c r="AY8" s="469">
        <f t="shared" si="6"/>
        <v>0</v>
      </c>
    </row>
    <row r="9" spans="1:85" x14ac:dyDescent="0.3">
      <c r="AU9" s="470">
        <f>COUNTIFS($C$5:$AL$5,BB1)</f>
        <v>1</v>
      </c>
      <c r="AV9" s="470">
        <f t="shared" ref="AV9:AY9" si="7">COUNTIFS($C$5:$AL$5,BC1)</f>
        <v>2</v>
      </c>
      <c r="AW9" s="470">
        <f t="shared" si="7"/>
        <v>0</v>
      </c>
      <c r="AX9" s="470">
        <f t="shared" si="7"/>
        <v>0</v>
      </c>
      <c r="AY9" s="470">
        <f t="shared" si="7"/>
        <v>0</v>
      </c>
    </row>
    <row r="11" spans="1:85" ht="15" thickBot="1" x14ac:dyDescent="0.35">
      <c r="A11" s="465" t="s">
        <v>191</v>
      </c>
    </row>
    <row r="12" spans="1:85" ht="15" thickBot="1" x14ac:dyDescent="0.35">
      <c r="A12" s="463" t="s">
        <v>17</v>
      </c>
      <c r="B12" s="464" t="str">
        <f>'Master Calculator'!B30</f>
        <v>KAAMLESH</v>
      </c>
      <c r="C12" s="464" t="str">
        <f>MID($B12,COLUMNS($B$13:B$13),1)</f>
        <v>K</v>
      </c>
      <c r="D12" s="464" t="str">
        <f>MID($B12,COLUMNS($B$13:C$13),1)</f>
        <v>A</v>
      </c>
      <c r="E12" s="464" t="str">
        <f>MID($B12,COLUMNS($B$13:D$13),1)</f>
        <v>A</v>
      </c>
      <c r="F12" s="464" t="str">
        <f>MID($B12,COLUMNS($B$13:E$13),1)</f>
        <v>M</v>
      </c>
      <c r="G12" s="464" t="str">
        <f>MID($B12,COLUMNS($B$13:F$13),1)</f>
        <v>L</v>
      </c>
      <c r="H12" s="464" t="str">
        <f>MID($B12,COLUMNS($B$13:G$13),1)</f>
        <v>E</v>
      </c>
      <c r="I12" s="464" t="str">
        <f>MID($B12,COLUMNS($B$13:H$13),1)</f>
        <v>S</v>
      </c>
      <c r="J12" s="464" t="str">
        <f>MID($B12,COLUMNS($B$13:I$13),1)</f>
        <v>H</v>
      </c>
      <c r="K12" s="464" t="str">
        <f>MID($B12,COLUMNS($B$13:J$13),1)</f>
        <v/>
      </c>
      <c r="L12" s="464" t="str">
        <f>MID($B12,COLUMNS($B$13:K$13),1)</f>
        <v/>
      </c>
      <c r="M12" s="464" t="str">
        <f>MID($B12,COLUMNS($B$13:L$13),1)</f>
        <v/>
      </c>
      <c r="N12" s="464" t="str">
        <f>MID($B12,COLUMNS($B$13:M$13),1)</f>
        <v/>
      </c>
      <c r="O12" s="464" t="str">
        <f>MID($B12,COLUMNS($B$13:N$13),1)</f>
        <v/>
      </c>
      <c r="P12" s="464" t="str">
        <f>MID($B12,COLUMNS($B$13:O$13),1)</f>
        <v/>
      </c>
      <c r="Q12" s="464" t="str">
        <f>MID($B12,COLUMNS($B$13:P$13),1)</f>
        <v/>
      </c>
      <c r="R12" s="464" t="str">
        <f>MID($B12,COLUMNS($B$13:Q$13),1)</f>
        <v/>
      </c>
      <c r="S12" s="464" t="str">
        <f>MID($B12,COLUMNS($B$13:R$13),1)</f>
        <v/>
      </c>
      <c r="T12" s="464" t="str">
        <f>MID($B12,COLUMNS($B$13:S$13),1)</f>
        <v/>
      </c>
      <c r="U12" s="464" t="str">
        <f>MID($B12,COLUMNS($B$13:T$13),1)</f>
        <v/>
      </c>
      <c r="V12" s="464" t="str">
        <f>MID($B12,COLUMNS($B$13:U$13),1)</f>
        <v/>
      </c>
      <c r="W12" s="464" t="str">
        <f>MID($B12,COLUMNS($B$13:V$13),1)</f>
        <v/>
      </c>
      <c r="X12" s="464" t="str">
        <f>MID($B12,COLUMNS($B$13:W$13),1)</f>
        <v/>
      </c>
      <c r="Y12" s="464" t="str">
        <f>MID($B12,COLUMNS($B$13:X$13),1)</f>
        <v/>
      </c>
      <c r="Z12" s="464" t="str">
        <f>MID($B12,COLUMNS($B$13:Y$13),1)</f>
        <v/>
      </c>
      <c r="AA12" s="464" t="str">
        <f>MID($B12,COLUMNS($B$13:Z$13),1)</f>
        <v/>
      </c>
      <c r="AB12" s="464" t="str">
        <f>MID($B12,COLUMNS($B$13:AA$13),1)</f>
        <v/>
      </c>
      <c r="AC12" s="464" t="str">
        <f>MID($B12,COLUMNS($B$13:AB$13),1)</f>
        <v/>
      </c>
      <c r="AD12" s="464" t="str">
        <f>MID($B12,COLUMNS($B$13:AC$13),1)</f>
        <v/>
      </c>
      <c r="AE12" s="464" t="str">
        <f>MID($B12,COLUMNS($B$13:AD$13),1)</f>
        <v/>
      </c>
      <c r="AF12" s="464" t="str">
        <f>MID($B12,COLUMNS($B$13:AE$13),1)</f>
        <v/>
      </c>
      <c r="AG12" s="464" t="str">
        <f>MID($B12,COLUMNS($B$13:AF$13),1)</f>
        <v/>
      </c>
      <c r="AH12" s="464" t="str">
        <f>MID($B12,COLUMNS($B$13:AG$13),1)</f>
        <v/>
      </c>
      <c r="AI12" s="464" t="str">
        <f>MID($B12,COLUMNS($B$13:AH$13),1)</f>
        <v/>
      </c>
      <c r="AJ12" s="464" t="str">
        <f>MID($B12,COLUMNS($B$13:AI$13),1)</f>
        <v/>
      </c>
      <c r="AK12" s="464" t="str">
        <f>MID($B12,COLUMNS($B$13:AJ$13),1)</f>
        <v/>
      </c>
      <c r="AL12" s="464" t="str">
        <f>MID($B12,COLUMNS($B$13:AK$13),1)</f>
        <v/>
      </c>
      <c r="AM12" s="464"/>
      <c r="AN12" s="464"/>
      <c r="AP12" s="466"/>
      <c r="AQ12" s="465" t="s">
        <v>4</v>
      </c>
      <c r="AR12" s="522" t="s">
        <v>15</v>
      </c>
      <c r="AS12" s="467" t="s">
        <v>16</v>
      </c>
      <c r="BA12" s="637" t="s">
        <v>0</v>
      </c>
      <c r="BB12" s="637"/>
      <c r="BC12" s="637"/>
      <c r="BD12" s="637"/>
      <c r="BE12" s="637"/>
      <c r="BF12" s="637"/>
      <c r="BG12" s="637"/>
      <c r="BH12" s="637"/>
      <c r="BI12" s="637"/>
      <c r="BJ12" s="637"/>
      <c r="BL12" s="522" t="s">
        <v>1</v>
      </c>
      <c r="BM12" s="522" t="s">
        <v>2</v>
      </c>
      <c r="BO12" s="637" t="s">
        <v>3</v>
      </c>
      <c r="BP12" s="637"/>
      <c r="BR12" s="464"/>
      <c r="BT12" s="475"/>
      <c r="BU12" s="475"/>
      <c r="BV12" s="475"/>
      <c r="BW12" s="642" t="s">
        <v>99</v>
      </c>
      <c r="BX12" s="643"/>
      <c r="BY12" s="644"/>
    </row>
    <row r="13" spans="1:85" x14ac:dyDescent="0.3">
      <c r="A13" s="463"/>
      <c r="C13" s="464">
        <f t="shared" ref="C13:AL13" si="8">IFERROR(VLOOKUP(C12,$BL:$BM,2,0),0)</f>
        <v>2</v>
      </c>
      <c r="D13" s="464">
        <f t="shared" si="8"/>
        <v>1</v>
      </c>
      <c r="E13" s="464">
        <f t="shared" si="8"/>
        <v>1</v>
      </c>
      <c r="F13" s="464">
        <f t="shared" si="8"/>
        <v>4</v>
      </c>
      <c r="G13" s="464">
        <f t="shared" si="8"/>
        <v>3</v>
      </c>
      <c r="H13" s="464">
        <f t="shared" si="8"/>
        <v>5</v>
      </c>
      <c r="I13" s="464">
        <f t="shared" si="8"/>
        <v>3</v>
      </c>
      <c r="J13" s="464">
        <f t="shared" si="8"/>
        <v>5</v>
      </c>
      <c r="K13" s="464" t="str">
        <f t="shared" si="8"/>
        <v/>
      </c>
      <c r="L13" s="464" t="str">
        <f t="shared" si="8"/>
        <v/>
      </c>
      <c r="M13" s="464" t="str">
        <f t="shared" si="8"/>
        <v/>
      </c>
      <c r="N13" s="464" t="str">
        <f t="shared" si="8"/>
        <v/>
      </c>
      <c r="O13" s="464" t="str">
        <f t="shared" si="8"/>
        <v/>
      </c>
      <c r="P13" s="464" t="str">
        <f t="shared" si="8"/>
        <v/>
      </c>
      <c r="Q13" s="464" t="str">
        <f t="shared" si="8"/>
        <v/>
      </c>
      <c r="R13" s="464" t="str">
        <f t="shared" si="8"/>
        <v/>
      </c>
      <c r="S13" s="464" t="str">
        <f t="shared" si="8"/>
        <v/>
      </c>
      <c r="T13" s="464" t="str">
        <f t="shared" si="8"/>
        <v/>
      </c>
      <c r="U13" s="464" t="str">
        <f t="shared" si="8"/>
        <v/>
      </c>
      <c r="V13" s="464" t="str">
        <f t="shared" si="8"/>
        <v/>
      </c>
      <c r="W13" s="464" t="str">
        <f t="shared" si="8"/>
        <v/>
      </c>
      <c r="X13" s="464" t="str">
        <f t="shared" si="8"/>
        <v/>
      </c>
      <c r="Y13" s="464" t="str">
        <f t="shared" si="8"/>
        <v/>
      </c>
      <c r="Z13" s="464" t="str">
        <f t="shared" si="8"/>
        <v/>
      </c>
      <c r="AA13" s="464" t="str">
        <f t="shared" si="8"/>
        <v/>
      </c>
      <c r="AB13" s="464" t="str">
        <f t="shared" si="8"/>
        <v/>
      </c>
      <c r="AC13" s="464" t="str">
        <f t="shared" si="8"/>
        <v/>
      </c>
      <c r="AD13" s="464" t="str">
        <f t="shared" si="8"/>
        <v/>
      </c>
      <c r="AE13" s="464" t="str">
        <f t="shared" si="8"/>
        <v/>
      </c>
      <c r="AF13" s="464" t="str">
        <f t="shared" si="8"/>
        <v/>
      </c>
      <c r="AG13" s="464" t="str">
        <f t="shared" si="8"/>
        <v/>
      </c>
      <c r="AH13" s="464" t="str">
        <f t="shared" si="8"/>
        <v/>
      </c>
      <c r="AI13" s="464" t="str">
        <f t="shared" si="8"/>
        <v/>
      </c>
      <c r="AJ13" s="464" t="str">
        <f t="shared" si="8"/>
        <v/>
      </c>
      <c r="AK13" s="464" t="str">
        <f t="shared" si="8"/>
        <v/>
      </c>
      <c r="AL13" s="464" t="str">
        <f t="shared" si="8"/>
        <v/>
      </c>
      <c r="AM13" s="464">
        <f>SUM(C13:AL13)</f>
        <v>24</v>
      </c>
      <c r="AN13" s="464">
        <f>IF(AM13&lt;10,AM13,((LEFT(AM13,1))+(RIGHT(AM13,1))))</f>
        <v>6</v>
      </c>
      <c r="AO13" s="465" t="s">
        <v>24</v>
      </c>
      <c r="AP13" s="466" t="str">
        <f>IF(AM13&gt;52,VLOOKUP(AN13,BO:BP,2,0),VLOOKUP(AM13,BO:BP,2,0))</f>
        <v>*</v>
      </c>
      <c r="AQ13" s="465">
        <f>AT13</f>
        <v>7</v>
      </c>
      <c r="AR13" s="464">
        <v>5</v>
      </c>
      <c r="AS13" s="476" t="s">
        <v>20</v>
      </c>
      <c r="AT13" s="464">
        <f>(AU13*AU14)+(AV13*AV14)+(AW13*AW14)+(AX13*AX14)+(AY13*AY14)</f>
        <v>7</v>
      </c>
      <c r="AU13" s="469">
        <f>IFERROR((HLOOKUP(BB1,$C$12:$AL$13,2,0)),0)</f>
        <v>1</v>
      </c>
      <c r="AV13" s="469">
        <f t="shared" ref="AV13:AY13" si="9">IFERROR((HLOOKUP(BC1,$C$12:$AL$13,2,0)),0)</f>
        <v>5</v>
      </c>
      <c r="AW13" s="469">
        <f t="shared" si="9"/>
        <v>0</v>
      </c>
      <c r="AX13" s="469">
        <f t="shared" si="9"/>
        <v>0</v>
      </c>
      <c r="AY13" s="469">
        <f t="shared" si="9"/>
        <v>0</v>
      </c>
      <c r="BA13" s="464"/>
      <c r="BB13" s="464">
        <v>1</v>
      </c>
      <c r="BC13" s="464">
        <v>2</v>
      </c>
      <c r="BD13" s="464">
        <v>3</v>
      </c>
      <c r="BE13" s="464">
        <v>4</v>
      </c>
      <c r="BF13" s="464">
        <v>5</v>
      </c>
      <c r="BG13" s="464">
        <v>6</v>
      </c>
      <c r="BH13" s="464">
        <v>7</v>
      </c>
      <c r="BI13" s="464">
        <v>8</v>
      </c>
      <c r="BJ13" s="464">
        <v>9</v>
      </c>
      <c r="BL13" s="464" t="s">
        <v>14</v>
      </c>
      <c r="BM13" s="464">
        <v>1</v>
      </c>
      <c r="BO13" s="522" t="s">
        <v>15</v>
      </c>
      <c r="BP13" s="467" t="s">
        <v>16</v>
      </c>
      <c r="BR13" s="464"/>
      <c r="BT13" s="477" t="s">
        <v>11</v>
      </c>
      <c r="BU13" s="478"/>
      <c r="BV13" s="478"/>
      <c r="BW13" s="521" t="s">
        <v>12</v>
      </c>
      <c r="BX13" s="522" t="s">
        <v>13</v>
      </c>
      <c r="BY13" s="523"/>
    </row>
    <row r="14" spans="1:85" x14ac:dyDescent="0.3">
      <c r="A14" s="463" t="s">
        <v>30</v>
      </c>
      <c r="B14" s="464">
        <f>'Master Calculator'!B31</f>
        <v>0</v>
      </c>
      <c r="C14" s="464" t="str">
        <f>MID($B14,COLUMNS($B$15:B$15),1)</f>
        <v>0</v>
      </c>
      <c r="D14" s="464" t="str">
        <f>MID($B14,COLUMNS($B$15:C$15),1)</f>
        <v/>
      </c>
      <c r="E14" s="464" t="str">
        <f>MID($B14,COLUMNS($B$15:D$15),1)</f>
        <v/>
      </c>
      <c r="F14" s="464" t="str">
        <f>MID($B14,COLUMNS($B$15:E$15),1)</f>
        <v/>
      </c>
      <c r="G14" s="464" t="str">
        <f>MID($B14,COLUMNS($B$15:F$15),1)</f>
        <v/>
      </c>
      <c r="H14" s="464" t="str">
        <f>MID($B14,COLUMNS($B$15:G$15),1)</f>
        <v/>
      </c>
      <c r="I14" s="464" t="str">
        <f>MID($B14,COLUMNS($B$15:H$15),1)</f>
        <v/>
      </c>
      <c r="J14" s="464" t="str">
        <f>MID($B14,COLUMNS($B$15:I$15),1)</f>
        <v/>
      </c>
      <c r="K14" s="464" t="str">
        <f>MID($B14,COLUMNS($B$15:J$15),1)</f>
        <v/>
      </c>
      <c r="L14" s="464" t="str">
        <f>MID($B14,COLUMNS($B$15:K$15),1)</f>
        <v/>
      </c>
      <c r="M14" s="464" t="str">
        <f>MID($B14,COLUMNS($B$15:L$15),1)</f>
        <v/>
      </c>
      <c r="N14" s="464" t="str">
        <f>MID($B14,COLUMNS($B$15:M$15),1)</f>
        <v/>
      </c>
      <c r="O14" s="464" t="str">
        <f>MID($B14,COLUMNS($B$15:N$15),1)</f>
        <v/>
      </c>
      <c r="P14" s="464" t="str">
        <f>MID($B14,COLUMNS($B$15:O$15),1)</f>
        <v/>
      </c>
      <c r="Q14" s="464" t="str">
        <f>MID($B14,COLUMNS($B$15:P$15),1)</f>
        <v/>
      </c>
      <c r="R14" s="464" t="str">
        <f>MID($B14,COLUMNS($B$15:Q$15),1)</f>
        <v/>
      </c>
      <c r="S14" s="464" t="str">
        <f>MID($B14,COLUMNS($B$15:R$15),1)</f>
        <v/>
      </c>
      <c r="T14" s="464" t="str">
        <f>MID($B14,COLUMNS($B$15:S$15),1)</f>
        <v/>
      </c>
      <c r="U14" s="464" t="str">
        <f>MID($B14,COLUMNS($B$15:T$15),1)</f>
        <v/>
      </c>
      <c r="V14" s="464" t="str">
        <f>MID($B14,COLUMNS($B$15:U$15),1)</f>
        <v/>
      </c>
      <c r="W14" s="464" t="str">
        <f>MID($B14,COLUMNS($B$15:V$15),1)</f>
        <v/>
      </c>
      <c r="X14" s="464" t="str">
        <f>MID($B14,COLUMNS($B$15:W$15),1)</f>
        <v/>
      </c>
      <c r="Y14" s="464" t="str">
        <f>MID($B14,COLUMNS($B$15:X$15),1)</f>
        <v/>
      </c>
      <c r="Z14" s="464" t="str">
        <f>MID($B14,COLUMNS($B$15:Y$15),1)</f>
        <v/>
      </c>
      <c r="AA14" s="464" t="str">
        <f>MID($B14,COLUMNS($B$15:Z$15),1)</f>
        <v/>
      </c>
      <c r="AB14" s="464" t="str">
        <f>MID($B14,COLUMNS($B$15:AA$15),1)</f>
        <v/>
      </c>
      <c r="AC14" s="464" t="str">
        <f>MID($B14,COLUMNS($B$15:AB$15),1)</f>
        <v/>
      </c>
      <c r="AD14" s="464" t="str">
        <f>MID($B14,COLUMNS($B$15:AC$15),1)</f>
        <v/>
      </c>
      <c r="AE14" s="464" t="str">
        <f>MID($B14,COLUMNS($B$15:AD$15),1)</f>
        <v/>
      </c>
      <c r="AF14" s="464" t="str">
        <f>MID($B14,COLUMNS($B$15:AE$15),1)</f>
        <v/>
      </c>
      <c r="AG14" s="464" t="str">
        <f>MID($B14,COLUMNS($B$15:AF$15),1)</f>
        <v/>
      </c>
      <c r="AH14" s="464" t="str">
        <f>MID($B14,COLUMNS($B$15:AG$15),1)</f>
        <v/>
      </c>
      <c r="AI14" s="464" t="str">
        <f>MID($B14,COLUMNS($B$15:AH$15),1)</f>
        <v/>
      </c>
      <c r="AJ14" s="464" t="str">
        <f>MID($B14,COLUMNS($B$15:AI$15),1)</f>
        <v/>
      </c>
      <c r="AK14" s="464" t="str">
        <f>MID($B14,COLUMNS($B$15:AJ$15),1)</f>
        <v/>
      </c>
      <c r="AL14" s="464" t="str">
        <f>MID($B14,COLUMNS($B$15:AK$15),1)</f>
        <v/>
      </c>
      <c r="AM14" s="464"/>
      <c r="AN14" s="464"/>
      <c r="AP14" s="466"/>
      <c r="AR14" s="464">
        <v>6</v>
      </c>
      <c r="AS14" s="476" t="s">
        <v>20</v>
      </c>
      <c r="AT14" s="464"/>
      <c r="AU14" s="470">
        <f>COUNTIFS($C$12:$AL$12,BB1)</f>
        <v>2</v>
      </c>
      <c r="AV14" s="470">
        <f t="shared" ref="AV14:AY14" si="10">COUNTIFS($C$12:$AL$12,BC1)</f>
        <v>1</v>
      </c>
      <c r="AW14" s="470">
        <f t="shared" si="10"/>
        <v>0</v>
      </c>
      <c r="AX14" s="470">
        <f t="shared" si="10"/>
        <v>0</v>
      </c>
      <c r="AY14" s="470">
        <f t="shared" si="10"/>
        <v>0</v>
      </c>
      <c r="BA14" s="464">
        <v>1</v>
      </c>
      <c r="BB14" s="479" t="s">
        <v>19</v>
      </c>
      <c r="BC14" s="479" t="s">
        <v>20</v>
      </c>
      <c r="BD14" s="479" t="s">
        <v>20</v>
      </c>
      <c r="BE14" s="479" t="s">
        <v>21</v>
      </c>
      <c r="BF14" s="479" t="s">
        <v>20</v>
      </c>
      <c r="BG14" s="479" t="s">
        <v>21</v>
      </c>
      <c r="BH14" s="479" t="s">
        <v>20</v>
      </c>
      <c r="BI14" s="479" t="s">
        <v>21</v>
      </c>
      <c r="BJ14" s="479" t="s">
        <v>14</v>
      </c>
      <c r="BL14" s="464" t="s">
        <v>22</v>
      </c>
      <c r="BM14" s="464">
        <v>2</v>
      </c>
      <c r="BO14" s="464">
        <v>1</v>
      </c>
      <c r="BP14" s="470" t="s">
        <v>23</v>
      </c>
      <c r="BR14" s="464"/>
      <c r="BT14" s="480" t="str">
        <f>'Master Calculator'!J17</f>
        <v>BD</v>
      </c>
      <c r="BU14" s="464">
        <f>'Master Calculator'!K17</f>
        <v>0</v>
      </c>
      <c r="BV14" s="522">
        <f>'Master Calculator'!L17</f>
        <v>2</v>
      </c>
      <c r="BW14" s="471" t="str">
        <f>IF(AY10&lt;=35,"Active",0)</f>
        <v>Active</v>
      </c>
      <c r="BX14" s="522">
        <f>IF(AY10&gt;35,"Active",0)</f>
        <v>0</v>
      </c>
      <c r="BY14" s="481"/>
    </row>
    <row r="15" spans="1:85" x14ac:dyDescent="0.3">
      <c r="A15" s="463"/>
      <c r="C15" s="464">
        <f t="shared" ref="C15:AL15" si="11">IFERROR(VLOOKUP(C14,$BL:$BM,2,0),0)</f>
        <v>0</v>
      </c>
      <c r="D15" s="464" t="str">
        <f t="shared" si="11"/>
        <v/>
      </c>
      <c r="E15" s="464" t="str">
        <f t="shared" si="11"/>
        <v/>
      </c>
      <c r="F15" s="464" t="str">
        <f t="shared" si="11"/>
        <v/>
      </c>
      <c r="G15" s="464" t="str">
        <f t="shared" si="11"/>
        <v/>
      </c>
      <c r="H15" s="464" t="str">
        <f t="shared" si="11"/>
        <v/>
      </c>
      <c r="I15" s="464" t="str">
        <f t="shared" si="11"/>
        <v/>
      </c>
      <c r="J15" s="464" t="str">
        <f t="shared" si="11"/>
        <v/>
      </c>
      <c r="K15" s="464" t="str">
        <f t="shared" si="11"/>
        <v/>
      </c>
      <c r="L15" s="464" t="str">
        <f t="shared" si="11"/>
        <v/>
      </c>
      <c r="M15" s="464" t="str">
        <f t="shared" si="11"/>
        <v/>
      </c>
      <c r="N15" s="464" t="str">
        <f t="shared" si="11"/>
        <v/>
      </c>
      <c r="O15" s="464" t="str">
        <f t="shared" si="11"/>
        <v/>
      </c>
      <c r="P15" s="464" t="str">
        <f t="shared" si="11"/>
        <v/>
      </c>
      <c r="Q15" s="464" t="str">
        <f t="shared" si="11"/>
        <v/>
      </c>
      <c r="R15" s="464" t="str">
        <f t="shared" si="11"/>
        <v/>
      </c>
      <c r="S15" s="464" t="str">
        <f t="shared" si="11"/>
        <v/>
      </c>
      <c r="T15" s="464" t="str">
        <f t="shared" si="11"/>
        <v/>
      </c>
      <c r="U15" s="464" t="str">
        <f t="shared" si="11"/>
        <v/>
      </c>
      <c r="V15" s="464" t="str">
        <f t="shared" si="11"/>
        <v/>
      </c>
      <c r="W15" s="464" t="str">
        <f t="shared" si="11"/>
        <v/>
      </c>
      <c r="X15" s="464" t="str">
        <f t="shared" si="11"/>
        <v/>
      </c>
      <c r="Y15" s="464" t="str">
        <f t="shared" si="11"/>
        <v/>
      </c>
      <c r="Z15" s="464" t="str">
        <f t="shared" si="11"/>
        <v/>
      </c>
      <c r="AA15" s="464" t="str">
        <f t="shared" si="11"/>
        <v/>
      </c>
      <c r="AB15" s="464" t="str">
        <f t="shared" si="11"/>
        <v/>
      </c>
      <c r="AC15" s="464" t="str">
        <f t="shared" si="11"/>
        <v/>
      </c>
      <c r="AD15" s="464" t="str">
        <f t="shared" si="11"/>
        <v/>
      </c>
      <c r="AE15" s="464" t="str">
        <f t="shared" si="11"/>
        <v/>
      </c>
      <c r="AF15" s="464" t="str">
        <f t="shared" si="11"/>
        <v/>
      </c>
      <c r="AG15" s="464" t="str">
        <f t="shared" si="11"/>
        <v/>
      </c>
      <c r="AH15" s="464" t="str">
        <f t="shared" si="11"/>
        <v/>
      </c>
      <c r="AI15" s="464" t="str">
        <f t="shared" si="11"/>
        <v/>
      </c>
      <c r="AJ15" s="464" t="str">
        <f t="shared" si="11"/>
        <v/>
      </c>
      <c r="AK15" s="464" t="str">
        <f t="shared" si="11"/>
        <v/>
      </c>
      <c r="AL15" s="464" t="str">
        <f t="shared" si="11"/>
        <v/>
      </c>
      <c r="AM15" s="464">
        <f>SUM(C15:AL15)</f>
        <v>0</v>
      </c>
      <c r="AN15" s="464">
        <f>IF(AM15&lt;10,AM15,((LEFT(AM15,1))+(RIGHT(AM15,1))))</f>
        <v>0</v>
      </c>
      <c r="AP15" s="466"/>
      <c r="AR15" s="464">
        <v>10</v>
      </c>
      <c r="AS15" s="476" t="s">
        <v>20</v>
      </c>
      <c r="AT15" s="464"/>
      <c r="AU15" s="470"/>
      <c r="AV15" s="470"/>
      <c r="AW15" s="470"/>
      <c r="AX15" s="470"/>
      <c r="AY15" s="470"/>
      <c r="BA15" s="464">
        <v>2</v>
      </c>
      <c r="BB15" s="479" t="s">
        <v>20</v>
      </c>
      <c r="BC15" s="479" t="s">
        <v>19</v>
      </c>
      <c r="BD15" s="479" t="s">
        <v>20</v>
      </c>
      <c r="BE15" s="479" t="s">
        <v>20</v>
      </c>
      <c r="BF15" s="479" t="s">
        <v>21</v>
      </c>
      <c r="BG15" s="479" t="s">
        <v>20</v>
      </c>
      <c r="BH15" s="479" t="s">
        <v>26</v>
      </c>
      <c r="BI15" s="479" t="s">
        <v>14</v>
      </c>
      <c r="BJ15" s="479" t="s">
        <v>14</v>
      </c>
      <c r="BL15" s="464" t="s">
        <v>27</v>
      </c>
      <c r="BM15" s="464">
        <v>3</v>
      </c>
      <c r="BO15" s="464">
        <v>2</v>
      </c>
      <c r="BP15" s="470" t="s">
        <v>23</v>
      </c>
      <c r="BR15" s="464" t="s">
        <v>28</v>
      </c>
      <c r="BT15" s="480" t="str">
        <f>'Master Calculator'!J18</f>
        <v>LP</v>
      </c>
      <c r="BU15" s="464">
        <f>'Master Calculator'!K18</f>
        <v>0</v>
      </c>
      <c r="BV15" s="522">
        <f ca="1">'Master Calculator'!L18</f>
        <v>2</v>
      </c>
      <c r="BW15" s="471"/>
      <c r="BX15" s="464"/>
      <c r="BY15" s="481"/>
    </row>
    <row r="16" spans="1:85" x14ac:dyDescent="0.3">
      <c r="A16" s="463" t="s">
        <v>37</v>
      </c>
      <c r="B16" s="464">
        <f>'Master Calculator'!B32</f>
        <v>0</v>
      </c>
      <c r="C16" s="464" t="str">
        <f>MID($B16,COLUMNS($B$15:B$15),1)</f>
        <v>0</v>
      </c>
      <c r="D16" s="464" t="str">
        <f>MID($B16,COLUMNS($B$15:C$15),1)</f>
        <v/>
      </c>
      <c r="E16" s="464" t="str">
        <f>MID($B16,COLUMNS($B$15:D$15),1)</f>
        <v/>
      </c>
      <c r="F16" s="464" t="str">
        <f>MID($B16,COLUMNS($B$15:E$15),1)</f>
        <v/>
      </c>
      <c r="G16" s="464" t="str">
        <f>MID($B16,COLUMNS($B$15:F$15),1)</f>
        <v/>
      </c>
      <c r="H16" s="464" t="str">
        <f>MID($B16,COLUMNS($B$15:G$15),1)</f>
        <v/>
      </c>
      <c r="I16" s="464" t="str">
        <f>MID($B16,COLUMNS($B$15:H$15),1)</f>
        <v/>
      </c>
      <c r="J16" s="464" t="str">
        <f>MID($B16,COLUMNS($B$15:I$15),1)</f>
        <v/>
      </c>
      <c r="K16" s="464" t="str">
        <f>MID($B16,COLUMNS($B$15:J$15),1)</f>
        <v/>
      </c>
      <c r="L16" s="464" t="str">
        <f>MID($B16,COLUMNS($B$15:K$15),1)</f>
        <v/>
      </c>
      <c r="M16" s="464" t="str">
        <f>MID($B16,COLUMNS($B$15:L$15),1)</f>
        <v/>
      </c>
      <c r="N16" s="464" t="str">
        <f>MID($B16,COLUMNS($B$15:M$15),1)</f>
        <v/>
      </c>
      <c r="O16" s="464" t="str">
        <f>MID($B16,COLUMNS($B$15:N$15),1)</f>
        <v/>
      </c>
      <c r="P16" s="464" t="str">
        <f>MID($B16,COLUMNS($B$15:O$15),1)</f>
        <v/>
      </c>
      <c r="Q16" s="464" t="str">
        <f>MID($B16,COLUMNS($B$15:P$15),1)</f>
        <v/>
      </c>
      <c r="R16" s="464" t="str">
        <f>MID($B16,COLUMNS($B$15:Q$15),1)</f>
        <v/>
      </c>
      <c r="S16" s="464" t="str">
        <f>MID($B16,COLUMNS($B$15:R$15),1)</f>
        <v/>
      </c>
      <c r="T16" s="464" t="str">
        <f>MID($B16,COLUMNS($B$15:S$15),1)</f>
        <v/>
      </c>
      <c r="U16" s="464" t="str">
        <f>MID($B16,COLUMNS($B$15:T$15),1)</f>
        <v/>
      </c>
      <c r="V16" s="464" t="str">
        <f>MID($B16,COLUMNS($B$15:U$15),1)</f>
        <v/>
      </c>
      <c r="W16" s="464" t="str">
        <f>MID($B16,COLUMNS($B$15:V$15),1)</f>
        <v/>
      </c>
      <c r="X16" s="464" t="str">
        <f>MID($B16,COLUMNS($B$15:W$15),1)</f>
        <v/>
      </c>
      <c r="Y16" s="464" t="str">
        <f>MID($B16,COLUMNS($B$15:X$15),1)</f>
        <v/>
      </c>
      <c r="Z16" s="464" t="str">
        <f>MID($B16,COLUMNS($B$15:Y$15),1)</f>
        <v/>
      </c>
      <c r="AA16" s="464" t="str">
        <f>MID($B16,COLUMNS($B$15:Z$15),1)</f>
        <v/>
      </c>
      <c r="AB16" s="464" t="str">
        <f>MID($B16,COLUMNS($B$15:AA$15),1)</f>
        <v/>
      </c>
      <c r="AC16" s="464" t="str">
        <f>MID($B16,COLUMNS($B$15:AB$15),1)</f>
        <v/>
      </c>
      <c r="AD16" s="464" t="str">
        <f>MID($B16,COLUMNS($B$15:AC$15),1)</f>
        <v/>
      </c>
      <c r="AE16" s="464" t="str">
        <f>MID($B16,COLUMNS($B$15:AD$15),1)</f>
        <v/>
      </c>
      <c r="AF16" s="464" t="str">
        <f>MID($B16,COLUMNS($B$15:AE$15),1)</f>
        <v/>
      </c>
      <c r="AG16" s="464" t="str">
        <f>MID($B16,COLUMNS($B$15:AF$15),1)</f>
        <v/>
      </c>
      <c r="AH16" s="464" t="str">
        <f>MID($B16,COLUMNS($B$15:AG$15),1)</f>
        <v/>
      </c>
      <c r="AI16" s="464" t="str">
        <f>MID($B16,COLUMNS($B$15:AH$15),1)</f>
        <v/>
      </c>
      <c r="AJ16" s="464" t="str">
        <f>MID($B16,COLUMNS($B$15:AI$15),1)</f>
        <v/>
      </c>
      <c r="AK16" s="464" t="str">
        <f>MID($B16,COLUMNS($B$15:AJ$15),1)</f>
        <v/>
      </c>
      <c r="AL16" s="464" t="str">
        <f>MID($B16,COLUMNS($B$15:AK$15),1)</f>
        <v/>
      </c>
      <c r="AM16" s="464"/>
      <c r="AN16" s="464"/>
      <c r="AP16" s="466"/>
      <c r="AQ16" s="465">
        <f>AT16</f>
        <v>0</v>
      </c>
      <c r="AR16" s="464">
        <v>12</v>
      </c>
      <c r="AS16" s="476" t="s">
        <v>20</v>
      </c>
      <c r="AT16" s="464">
        <f>(AU16*AU17)+(AV16*AV17)+(AW16*AW17)+(AX16*AX17)+(AY16*AY17)</f>
        <v>0</v>
      </c>
      <c r="AU16" s="469">
        <f>IFERROR((HLOOKUP(BB1,$C$14:$AL$15,2,0)),0)</f>
        <v>0</v>
      </c>
      <c r="AV16" s="469">
        <f t="shared" ref="AV16:AY16" si="12">IFERROR((HLOOKUP(BC1,$C$14:$AL$15,2,0)),0)</f>
        <v>0</v>
      </c>
      <c r="AW16" s="469">
        <f t="shared" si="12"/>
        <v>0</v>
      </c>
      <c r="AX16" s="469">
        <f t="shared" si="12"/>
        <v>0</v>
      </c>
      <c r="AY16" s="469">
        <f t="shared" si="12"/>
        <v>0</v>
      </c>
      <c r="BA16" s="464">
        <v>3</v>
      </c>
      <c r="BB16" s="479" t="s">
        <v>20</v>
      </c>
      <c r="BC16" s="479" t="s">
        <v>20</v>
      </c>
      <c r="BD16" s="479" t="s">
        <v>19</v>
      </c>
      <c r="BE16" s="479" t="s">
        <v>14</v>
      </c>
      <c r="BF16" s="479" t="s">
        <v>20</v>
      </c>
      <c r="BG16" s="479" t="s">
        <v>14</v>
      </c>
      <c r="BH16" s="479" t="s">
        <v>20</v>
      </c>
      <c r="BI16" s="479" t="s">
        <v>20</v>
      </c>
      <c r="BJ16" s="479" t="s">
        <v>20</v>
      </c>
      <c r="BL16" s="464" t="s">
        <v>29</v>
      </c>
      <c r="BM16" s="464">
        <v>4</v>
      </c>
      <c r="BO16" s="464">
        <v>3</v>
      </c>
      <c r="BP16" s="470" t="s">
        <v>23</v>
      </c>
      <c r="BR16" s="464"/>
      <c r="BT16" s="480" t="str">
        <f>'Master Calculator'!J19</f>
        <v>FN</v>
      </c>
      <c r="BU16" s="464">
        <f>'Master Calculator'!K19</f>
        <v>14</v>
      </c>
      <c r="BV16" s="522">
        <f>'Master Calculator'!L19</f>
        <v>5</v>
      </c>
      <c r="BW16" s="471" t="str">
        <f>INDEX(BB$14:BJ$22,MATCH(IF(LEN(BV$35)&gt;1,LEFT(BV$35,1)+RIGHT(BV$35,1),BV$35),BA$14:BA$22,0),MATCH(IF(LEN(BV16)&gt;1,LEFT(BV16,1)+RIGHT(BV16,1),BV16),BB$13:BJ$13,0))</f>
        <v>F</v>
      </c>
      <c r="BX16" s="471" t="str">
        <f>INDEX(BB$14:BJ$22,MATCH(IF(LEN(BV$35)&gt;1,LEFT(BV$35,1)+RIGHT(BV$35,1),BV$35),BA$14:BA$22,0),MATCH(IF(LEN(BV16)&gt;1,LEFT(BV16,1)+RIGHT(BV16,1),BV16),BB$13:BJ$13,0))</f>
        <v>F</v>
      </c>
      <c r="BY16" s="482"/>
    </row>
    <row r="17" spans="1:85" ht="15" thickBot="1" x14ac:dyDescent="0.35">
      <c r="A17" s="463"/>
      <c r="C17" s="464">
        <f t="shared" ref="C17:AL17" si="13">IFERROR(VLOOKUP(C16,$BL:$BM,2,0),0)</f>
        <v>0</v>
      </c>
      <c r="D17" s="464" t="str">
        <f t="shared" si="13"/>
        <v/>
      </c>
      <c r="E17" s="464" t="str">
        <f t="shared" si="13"/>
        <v/>
      </c>
      <c r="F17" s="464" t="str">
        <f t="shared" si="13"/>
        <v/>
      </c>
      <c r="G17" s="464" t="str">
        <f t="shared" si="13"/>
        <v/>
      </c>
      <c r="H17" s="464" t="str">
        <f t="shared" si="13"/>
        <v/>
      </c>
      <c r="I17" s="464" t="str">
        <f t="shared" si="13"/>
        <v/>
      </c>
      <c r="J17" s="464" t="str">
        <f t="shared" si="13"/>
        <v/>
      </c>
      <c r="K17" s="464" t="str">
        <f t="shared" si="13"/>
        <v/>
      </c>
      <c r="L17" s="464" t="str">
        <f t="shared" si="13"/>
        <v/>
      </c>
      <c r="M17" s="464" t="str">
        <f t="shared" si="13"/>
        <v/>
      </c>
      <c r="N17" s="464" t="str">
        <f t="shared" si="13"/>
        <v/>
      </c>
      <c r="O17" s="464" t="str">
        <f t="shared" si="13"/>
        <v/>
      </c>
      <c r="P17" s="464" t="str">
        <f t="shared" si="13"/>
        <v/>
      </c>
      <c r="Q17" s="464" t="str">
        <f t="shared" si="13"/>
        <v/>
      </c>
      <c r="R17" s="464" t="str">
        <f t="shared" si="13"/>
        <v/>
      </c>
      <c r="S17" s="464" t="str">
        <f t="shared" si="13"/>
        <v/>
      </c>
      <c r="T17" s="464" t="str">
        <f t="shared" si="13"/>
        <v/>
      </c>
      <c r="U17" s="464" t="str">
        <f t="shared" si="13"/>
        <v/>
      </c>
      <c r="V17" s="464" t="str">
        <f t="shared" si="13"/>
        <v/>
      </c>
      <c r="W17" s="464" t="str">
        <f t="shared" si="13"/>
        <v/>
      </c>
      <c r="X17" s="464" t="str">
        <f t="shared" si="13"/>
        <v/>
      </c>
      <c r="Y17" s="464" t="str">
        <f t="shared" si="13"/>
        <v/>
      </c>
      <c r="Z17" s="464" t="str">
        <f t="shared" si="13"/>
        <v/>
      </c>
      <c r="AA17" s="464" t="str">
        <f t="shared" si="13"/>
        <v/>
      </c>
      <c r="AB17" s="464" t="str">
        <f t="shared" si="13"/>
        <v/>
      </c>
      <c r="AC17" s="464" t="str">
        <f t="shared" si="13"/>
        <v/>
      </c>
      <c r="AD17" s="464" t="str">
        <f t="shared" si="13"/>
        <v/>
      </c>
      <c r="AE17" s="464" t="str">
        <f t="shared" si="13"/>
        <v/>
      </c>
      <c r="AF17" s="464" t="str">
        <f t="shared" si="13"/>
        <v/>
      </c>
      <c r="AG17" s="464" t="str">
        <f t="shared" si="13"/>
        <v/>
      </c>
      <c r="AH17" s="464" t="str">
        <f t="shared" si="13"/>
        <v/>
      </c>
      <c r="AI17" s="464" t="str">
        <f t="shared" si="13"/>
        <v/>
      </c>
      <c r="AJ17" s="464" t="str">
        <f t="shared" si="13"/>
        <v/>
      </c>
      <c r="AK17" s="464" t="str">
        <f t="shared" si="13"/>
        <v/>
      </c>
      <c r="AL17" s="464" t="str">
        <f t="shared" si="13"/>
        <v/>
      </c>
      <c r="AM17" s="464">
        <f>SUM(C17:AL17)</f>
        <v>0</v>
      </c>
      <c r="AN17" s="464">
        <f>IF(AM17&lt;10,AM17,((LEFT(AM17,1))+(RIGHT(AM17,1))))</f>
        <v>0</v>
      </c>
      <c r="AP17" s="466"/>
      <c r="AR17" s="464">
        <v>13</v>
      </c>
      <c r="AS17" s="476" t="s">
        <v>20</v>
      </c>
      <c r="AU17" s="470">
        <f>COUNTIFS($C$14:$AL$14,BB1)</f>
        <v>0</v>
      </c>
      <c r="AV17" s="470">
        <f t="shared" ref="AV17:AY17" si="14">COUNTIFS($C$14:$AL$14,BC1)</f>
        <v>0</v>
      </c>
      <c r="AW17" s="470">
        <f t="shared" si="14"/>
        <v>0</v>
      </c>
      <c r="AX17" s="470">
        <f t="shared" si="14"/>
        <v>0</v>
      </c>
      <c r="AY17" s="470">
        <f t="shared" si="14"/>
        <v>0</v>
      </c>
      <c r="BA17" s="464">
        <v>4</v>
      </c>
      <c r="BB17" s="479" t="s">
        <v>21</v>
      </c>
      <c r="BC17" s="479" t="s">
        <v>20</v>
      </c>
      <c r="BD17" s="479" t="s">
        <v>14</v>
      </c>
      <c r="BE17" s="479" t="s">
        <v>19</v>
      </c>
      <c r="BF17" s="479" t="s">
        <v>20</v>
      </c>
      <c r="BG17" s="479" t="s">
        <v>20</v>
      </c>
      <c r="BH17" s="479" t="s">
        <v>20</v>
      </c>
      <c r="BI17" s="479" t="s">
        <v>14</v>
      </c>
      <c r="BJ17" s="483" t="s">
        <v>96</v>
      </c>
      <c r="BL17" s="464" t="s">
        <v>19</v>
      </c>
      <c r="BM17" s="464">
        <v>5</v>
      </c>
      <c r="BO17" s="464">
        <v>4</v>
      </c>
      <c r="BP17" s="470" t="s">
        <v>23</v>
      </c>
      <c r="BR17" s="464"/>
      <c r="BT17" s="480" t="str">
        <f>'Master Calculator'!J20</f>
        <v>EXP</v>
      </c>
      <c r="BU17" s="464">
        <f>'Master Calculator'!K20</f>
        <v>57</v>
      </c>
      <c r="BV17" s="522">
        <f>'Master Calculator'!L20</f>
        <v>3</v>
      </c>
      <c r="BW17" s="471" t="str">
        <f t="shared" ref="BW17:BW19" si="15">INDEX(BB$14:BJ$22,MATCH(IF(LEN(BV$35)&gt;1,LEFT(BV$35,1)+RIGHT(BV$35,1),BV$35),BA$14:BA$22,0),MATCH(IF(LEN(BV17)&gt;1,LEFT(BV17,1)+RIGHT(BV17,1),BV17),BB$13:BJ$13,0))</f>
        <v>G</v>
      </c>
      <c r="BX17" s="471" t="str">
        <f t="shared" ref="BX17:BX19" si="16">INDEX(BB$14:BJ$22,MATCH(IF(LEN(BV$35)&gt;1,LEFT(BV$35,1)+RIGHT(BV$35,1),BV$35),BA$14:BA$22,0),MATCH(IF(LEN(BV17)&gt;1,LEFT(BV17,1)+RIGHT(BV17,1),BV17),BB$13:BJ$13,0))</f>
        <v>G</v>
      </c>
      <c r="BY17" s="482"/>
    </row>
    <row r="18" spans="1:85" ht="15" thickBot="1" x14ac:dyDescent="0.35">
      <c r="J18" s="473"/>
      <c r="K18" s="474"/>
      <c r="L18" s="473"/>
      <c r="M18" s="474"/>
      <c r="U18" s="474"/>
      <c r="AE18" s="474"/>
      <c r="AM18" s="465">
        <f>AM17+AM15+AM13</f>
        <v>24</v>
      </c>
      <c r="AN18" s="464">
        <f>AN13+AN15+AN17</f>
        <v>6</v>
      </c>
      <c r="AO18" s="465" t="s">
        <v>31</v>
      </c>
      <c r="AP18" s="466" t="str">
        <f>IF(AM18&gt;52,VLOOKUP(AN18,BO:BP,2,0),VLOOKUP(AM18,BO:BP,2,0))</f>
        <v>*</v>
      </c>
      <c r="AQ18" s="465">
        <f>AT19</f>
        <v>0</v>
      </c>
      <c r="AR18" s="464">
        <v>14</v>
      </c>
      <c r="AS18" s="476" t="s">
        <v>20</v>
      </c>
      <c r="BA18" s="464">
        <v>5</v>
      </c>
      <c r="BB18" s="479" t="s">
        <v>20</v>
      </c>
      <c r="BC18" s="479" t="s">
        <v>21</v>
      </c>
      <c r="BD18" s="479" t="s">
        <v>20</v>
      </c>
      <c r="BE18" s="479" t="s">
        <v>20</v>
      </c>
      <c r="BF18" s="479" t="s">
        <v>19</v>
      </c>
      <c r="BG18" s="479" t="s">
        <v>21</v>
      </c>
      <c r="BH18" s="479" t="s">
        <v>20</v>
      </c>
      <c r="BI18" s="479" t="s">
        <v>26</v>
      </c>
      <c r="BJ18" s="479" t="s">
        <v>21</v>
      </c>
      <c r="BL18" s="464" t="s">
        <v>21</v>
      </c>
      <c r="BM18" s="464">
        <v>8</v>
      </c>
      <c r="BO18" s="464">
        <v>5</v>
      </c>
      <c r="BP18" s="476" t="s">
        <v>33</v>
      </c>
      <c r="BR18" s="465" t="s">
        <v>34</v>
      </c>
      <c r="BT18" s="480" t="str">
        <f>'Master Calculator'!J21</f>
        <v>SU</v>
      </c>
      <c r="BU18" s="464">
        <f>'Master Calculator'!K21</f>
        <v>20</v>
      </c>
      <c r="BV18" s="522">
        <f>'Master Calculator'!L21</f>
        <v>2</v>
      </c>
      <c r="BW18" s="471" t="str">
        <f t="shared" si="15"/>
        <v>E</v>
      </c>
      <c r="BX18" s="471" t="str">
        <f t="shared" si="16"/>
        <v>E</v>
      </c>
      <c r="BY18" s="482"/>
    </row>
    <row r="19" spans="1:85" ht="15" thickBot="1" x14ac:dyDescent="0.35">
      <c r="AQ19" s="465">
        <f>SUM(AQ13:AQ18)</f>
        <v>7</v>
      </c>
      <c r="AR19" s="464">
        <v>15</v>
      </c>
      <c r="AS19" s="476" t="s">
        <v>20</v>
      </c>
      <c r="AT19" s="464">
        <f>(AU19*AU20)+(AV19*AV20)+(AW19*AW20)+(AX19*AX20)+(AY19*AY20)</f>
        <v>0</v>
      </c>
      <c r="AU19" s="469">
        <f>IFERROR((HLOOKUP(BB1,$C$16:$AL$17,2,0)),0)</f>
        <v>0</v>
      </c>
      <c r="AV19" s="469">
        <f t="shared" ref="AV19:AY19" si="17">IFERROR((HLOOKUP(BC1,$C$16:$AL$17,2,0)),0)</f>
        <v>0</v>
      </c>
      <c r="AW19" s="469">
        <f t="shared" si="17"/>
        <v>0</v>
      </c>
      <c r="AX19" s="469">
        <f t="shared" si="17"/>
        <v>0</v>
      </c>
      <c r="AY19" s="469">
        <f t="shared" si="17"/>
        <v>0</v>
      </c>
      <c r="BA19" s="464">
        <v>6</v>
      </c>
      <c r="BB19" s="479" t="s">
        <v>21</v>
      </c>
      <c r="BC19" s="479" t="s">
        <v>20</v>
      </c>
      <c r="BD19" s="479" t="s">
        <v>14</v>
      </c>
      <c r="BE19" s="479" t="s">
        <v>20</v>
      </c>
      <c r="BF19" s="479" t="s">
        <v>21</v>
      </c>
      <c r="BG19" s="479" t="s">
        <v>19</v>
      </c>
      <c r="BH19" s="479" t="s">
        <v>20</v>
      </c>
      <c r="BI19" s="479" t="s">
        <v>20</v>
      </c>
      <c r="BJ19" s="479" t="s">
        <v>20</v>
      </c>
      <c r="BL19" s="464" t="s">
        <v>20</v>
      </c>
      <c r="BM19" s="464">
        <v>3</v>
      </c>
      <c r="BO19" s="464">
        <v>6</v>
      </c>
      <c r="BP19" s="476" t="s">
        <v>33</v>
      </c>
      <c r="BT19" s="484" t="str">
        <f>'Master Calculator'!J22</f>
        <v>SS</v>
      </c>
      <c r="BU19" s="485">
        <f>'Master Calculator'!K22</f>
        <v>37</v>
      </c>
      <c r="BV19" s="522">
        <f>'Master Calculator'!L22</f>
        <v>1</v>
      </c>
      <c r="BW19" s="471" t="str">
        <f t="shared" si="15"/>
        <v>G</v>
      </c>
      <c r="BX19" s="471" t="str">
        <f t="shared" si="16"/>
        <v>G</v>
      </c>
      <c r="BY19" s="470"/>
      <c r="BZ19" s="639" t="s">
        <v>36</v>
      </c>
      <c r="CA19" s="640"/>
      <c r="CB19" s="640"/>
      <c r="CC19" s="640"/>
      <c r="CD19" s="640"/>
      <c r="CE19" s="640"/>
      <c r="CF19" s="640"/>
      <c r="CG19" s="641"/>
    </row>
    <row r="20" spans="1:85" ht="15" thickBot="1" x14ac:dyDescent="0.35">
      <c r="AR20" s="464">
        <v>17</v>
      </c>
      <c r="AS20" s="476" t="s">
        <v>20</v>
      </c>
      <c r="AU20" s="470">
        <f>COUNTIFS($C$16:$AL$16,BB1)</f>
        <v>0</v>
      </c>
      <c r="AV20" s="470">
        <f t="shared" ref="AV20:AY20" si="18">COUNTIFS($C$16:$AL$16,BC1)</f>
        <v>0</v>
      </c>
      <c r="AW20" s="470">
        <f t="shared" si="18"/>
        <v>0</v>
      </c>
      <c r="AX20" s="470">
        <f t="shared" si="18"/>
        <v>0</v>
      </c>
      <c r="AY20" s="470">
        <f t="shared" si="18"/>
        <v>0</v>
      </c>
      <c r="BA20" s="464">
        <v>7</v>
      </c>
      <c r="BB20" s="479" t="s">
        <v>20</v>
      </c>
      <c r="BC20" s="479" t="s">
        <v>26</v>
      </c>
      <c r="BD20" s="479" t="s">
        <v>20</v>
      </c>
      <c r="BE20" s="479" t="s">
        <v>20</v>
      </c>
      <c r="BF20" s="479" t="s">
        <v>20</v>
      </c>
      <c r="BG20" s="479" t="s">
        <v>20</v>
      </c>
      <c r="BH20" s="479" t="s">
        <v>19</v>
      </c>
      <c r="BI20" s="479" t="s">
        <v>14</v>
      </c>
      <c r="BJ20" s="479" t="s">
        <v>14</v>
      </c>
      <c r="BL20" s="464" t="s">
        <v>41</v>
      </c>
      <c r="BM20" s="464">
        <v>5</v>
      </c>
      <c r="BO20" s="464">
        <v>7</v>
      </c>
      <c r="BP20" s="470" t="s">
        <v>23</v>
      </c>
      <c r="BW20" s="524" t="s">
        <v>38</v>
      </c>
      <c r="BX20" s="486"/>
      <c r="BY20" s="487"/>
      <c r="BZ20" s="488" t="s">
        <v>24</v>
      </c>
      <c r="CA20" s="489" t="s">
        <v>112</v>
      </c>
      <c r="CB20" s="489" t="s">
        <v>39</v>
      </c>
      <c r="CC20" s="490" t="s">
        <v>40</v>
      </c>
      <c r="CD20" s="465" t="s">
        <v>61</v>
      </c>
      <c r="CE20" s="465" t="s">
        <v>27</v>
      </c>
      <c r="CF20" s="491" t="s">
        <v>136</v>
      </c>
      <c r="CG20" s="492" t="s">
        <v>137</v>
      </c>
    </row>
    <row r="21" spans="1:85" x14ac:dyDescent="0.3">
      <c r="A21" s="465" t="s">
        <v>192</v>
      </c>
      <c r="AR21" s="464">
        <v>19</v>
      </c>
      <c r="AS21" s="470" t="s">
        <v>64</v>
      </c>
      <c r="AT21" s="464"/>
      <c r="AU21" s="470"/>
      <c r="AV21" s="470"/>
      <c r="AW21" s="470"/>
      <c r="AX21" s="470"/>
      <c r="AY21" s="470"/>
      <c r="BA21" s="464">
        <v>8</v>
      </c>
      <c r="BB21" s="479" t="s">
        <v>21</v>
      </c>
      <c r="BC21" s="479" t="s">
        <v>14</v>
      </c>
      <c r="BD21" s="479" t="s">
        <v>20</v>
      </c>
      <c r="BE21" s="479" t="s">
        <v>14</v>
      </c>
      <c r="BF21" s="479" t="s">
        <v>26</v>
      </c>
      <c r="BG21" s="479" t="s">
        <v>20</v>
      </c>
      <c r="BH21" s="479" t="s">
        <v>14</v>
      </c>
      <c r="BI21" s="479" t="s">
        <v>19</v>
      </c>
      <c r="BJ21" s="483" t="s">
        <v>96</v>
      </c>
      <c r="BL21" s="464" t="s">
        <v>43</v>
      </c>
      <c r="BM21" s="464">
        <v>1</v>
      </c>
      <c r="BO21" s="464">
        <v>8</v>
      </c>
      <c r="BP21" s="470" t="s">
        <v>23</v>
      </c>
      <c r="BR21" s="464" t="s">
        <v>44</v>
      </c>
      <c r="BT21" s="524" t="s">
        <v>42</v>
      </c>
      <c r="BU21" s="525">
        <f>AX15+AX19</f>
        <v>0</v>
      </c>
      <c r="BV21" s="525">
        <f>IF(LEN(BU21)&gt;1,LEFT(BU21,1)+RIGHT(BU21,1),BU21)</f>
        <v>0</v>
      </c>
      <c r="BW21" s="471">
        <v>1</v>
      </c>
      <c r="BX21" s="481">
        <f>COUNTIF(C$2:AL$2,BW21)+COUNTIF(C$4:AL$4,BW21)+COUNTIF(C$6:AL$6,BW21)</f>
        <v>6</v>
      </c>
      <c r="BZ21" s="471">
        <f>IFERROR(HLOOKUP(BW21,$C$2:$AL$2,1,0),0)</f>
        <v>1</v>
      </c>
      <c r="CA21" s="464">
        <f>IFERROR(HLOOKUP(BW21,$C$4:$AL$4,1,0),0)</f>
        <v>1</v>
      </c>
      <c r="CB21" s="464">
        <f>IFERROR(HLOOKUP(BW21,$C$6:$AL$6,1,0),0)</f>
        <v>1</v>
      </c>
      <c r="CC21" s="481">
        <f ca="1">IFERROR(VLOOKUP(BW21,$BV$14:$BV$19,1,0),0)</f>
        <v>1</v>
      </c>
      <c r="CD21" s="465">
        <f>IF(SUM(BZ21:CB21)&gt;=BW21,BW21,0)</f>
        <v>1</v>
      </c>
      <c r="CE21" s="465">
        <f ca="1">IF(CC21=BW21,BW21,0)</f>
        <v>1</v>
      </c>
      <c r="CF21" s="493">
        <f ca="1">IF(SUM(CD21:CE21)&lt;=0,BW21,0)</f>
        <v>0</v>
      </c>
      <c r="CG21" s="481">
        <f>IF(CD21=BW21,0,CE21)</f>
        <v>0</v>
      </c>
    </row>
    <row r="22" spans="1:85" x14ac:dyDescent="0.3">
      <c r="A22" s="463" t="s">
        <v>17</v>
      </c>
      <c r="B22" s="464" t="str">
        <f>'Master Calculator'!B40</f>
        <v>KAMLESH</v>
      </c>
      <c r="C22" s="464" t="str">
        <f>MID($B22,COLUMNS($B$13:B$13),1)</f>
        <v>K</v>
      </c>
      <c r="D22" s="464" t="str">
        <f>MID($B22,COLUMNS($B$13:C$13),1)</f>
        <v>A</v>
      </c>
      <c r="E22" s="464" t="str">
        <f>MID($B22,COLUMNS($B$13:D$13),1)</f>
        <v>M</v>
      </c>
      <c r="F22" s="464" t="str">
        <f>MID($B22,COLUMNS($B$13:E$13),1)</f>
        <v>L</v>
      </c>
      <c r="G22" s="464" t="str">
        <f>MID($B22,COLUMNS($B$13:F$13),1)</f>
        <v>E</v>
      </c>
      <c r="H22" s="464" t="str">
        <f>MID($B22,COLUMNS($B$13:G$13),1)</f>
        <v>S</v>
      </c>
      <c r="I22" s="464" t="str">
        <f>MID($B22,COLUMNS($B$13:H$13),1)</f>
        <v>H</v>
      </c>
      <c r="J22" s="464" t="str">
        <f>MID($B22,COLUMNS($B$13:I$13),1)</f>
        <v/>
      </c>
      <c r="K22" s="464" t="str">
        <f>MID($B22,COLUMNS($B$13:J$13),1)</f>
        <v/>
      </c>
      <c r="L22" s="464" t="str">
        <f>MID($B22,COLUMNS($B$13:K$13),1)</f>
        <v/>
      </c>
      <c r="M22" s="464" t="str">
        <f>MID($B22,COLUMNS($B$13:L$13),1)</f>
        <v/>
      </c>
      <c r="N22" s="464" t="str">
        <f>MID($B22,COLUMNS($B$13:M$13),1)</f>
        <v/>
      </c>
      <c r="O22" s="464" t="str">
        <f>MID($B22,COLUMNS($B$13:N$13),1)</f>
        <v/>
      </c>
      <c r="P22" s="464" t="str">
        <f>MID($B22,COLUMNS($B$13:O$13),1)</f>
        <v/>
      </c>
      <c r="Q22" s="464" t="str">
        <f>MID($B22,COLUMNS($B$13:P$13),1)</f>
        <v/>
      </c>
      <c r="R22" s="464" t="str">
        <f>MID($B22,COLUMNS($B$13:Q$13),1)</f>
        <v/>
      </c>
      <c r="S22" s="464" t="str">
        <f>MID($B22,COLUMNS($B$13:R$13),1)</f>
        <v/>
      </c>
      <c r="T22" s="464" t="str">
        <f>MID($B22,COLUMNS($B$13:S$13),1)</f>
        <v/>
      </c>
      <c r="U22" s="464" t="str">
        <f>MID($B22,COLUMNS($B$13:T$13),1)</f>
        <v/>
      </c>
      <c r="V22" s="464" t="str">
        <f>MID($B22,COLUMNS($B$13:U$13),1)</f>
        <v/>
      </c>
      <c r="W22" s="464" t="str">
        <f>MID($B22,COLUMNS($B$13:V$13),1)</f>
        <v/>
      </c>
      <c r="X22" s="464" t="str">
        <f>MID($B22,COLUMNS($B$13:W$13),1)</f>
        <v/>
      </c>
      <c r="Y22" s="464" t="str">
        <f>MID($B22,COLUMNS($B$13:X$13),1)</f>
        <v/>
      </c>
      <c r="Z22" s="464" t="str">
        <f>MID($B22,COLUMNS($B$13:Y$13),1)</f>
        <v/>
      </c>
      <c r="AA22" s="464" t="str">
        <f>MID($B22,COLUMNS($B$13:Z$13),1)</f>
        <v/>
      </c>
      <c r="AB22" s="464" t="str">
        <f>MID($B22,COLUMNS($B$13:AA$13),1)</f>
        <v/>
      </c>
      <c r="AC22" s="464" t="str">
        <f>MID($B22,COLUMNS($B$13:AB$13),1)</f>
        <v/>
      </c>
      <c r="AD22" s="464" t="str">
        <f>MID($B22,COLUMNS($B$13:AC$13),1)</f>
        <v/>
      </c>
      <c r="AE22" s="464" t="str">
        <f>MID($B22,COLUMNS($B$13:AD$13),1)</f>
        <v/>
      </c>
      <c r="AF22" s="464" t="str">
        <f>MID($B22,COLUMNS($B$13:AE$13),1)</f>
        <v/>
      </c>
      <c r="AG22" s="464" t="str">
        <f>MID($B22,COLUMNS($B$13:AF$13),1)</f>
        <v/>
      </c>
      <c r="AH22" s="464" t="str">
        <f>MID($B22,COLUMNS($B$13:AG$13),1)</f>
        <v/>
      </c>
      <c r="AI22" s="464" t="str">
        <f>MID($B22,COLUMNS($B$13:AH$13),1)</f>
        <v/>
      </c>
      <c r="AJ22" s="464" t="str">
        <f>MID($B22,COLUMNS($B$13:AI$13),1)</f>
        <v/>
      </c>
      <c r="AK22" s="464" t="str">
        <f>MID($B22,COLUMNS($B$13:AJ$13),1)</f>
        <v/>
      </c>
      <c r="AL22" s="464" t="str">
        <f>MID($B22,COLUMNS($B$13:AK$13),1)</f>
        <v/>
      </c>
      <c r="AM22" s="464"/>
      <c r="AN22" s="464"/>
      <c r="AP22" s="466"/>
      <c r="AQ22" s="465" t="s">
        <v>4</v>
      </c>
      <c r="AR22" s="464">
        <v>20</v>
      </c>
      <c r="AS22" s="476" t="s">
        <v>20</v>
      </c>
      <c r="BA22" s="464">
        <v>9</v>
      </c>
      <c r="BB22" s="479" t="s">
        <v>14</v>
      </c>
      <c r="BC22" s="479" t="s">
        <v>14</v>
      </c>
      <c r="BD22" s="479" t="s">
        <v>20</v>
      </c>
      <c r="BE22" s="483" t="s">
        <v>96</v>
      </c>
      <c r="BF22" s="479" t="s">
        <v>21</v>
      </c>
      <c r="BG22" s="479" t="s">
        <v>20</v>
      </c>
      <c r="BH22" s="479" t="s">
        <v>14</v>
      </c>
      <c r="BI22" s="483" t="s">
        <v>96</v>
      </c>
      <c r="BJ22" s="479" t="s">
        <v>19</v>
      </c>
      <c r="BL22" s="464" t="s">
        <v>46</v>
      </c>
      <c r="BM22" s="464">
        <v>1</v>
      </c>
      <c r="BO22" s="464">
        <v>9</v>
      </c>
      <c r="BP22" s="470" t="s">
        <v>23</v>
      </c>
      <c r="BR22" s="464"/>
      <c r="BT22" s="521" t="s">
        <v>45</v>
      </c>
      <c r="BU22" s="522">
        <f ca="1">BV15+BV17</f>
        <v>5</v>
      </c>
      <c r="BV22" s="522">
        <f ca="1">IF(LEN(BU22)&gt;1,LEFT(BU22,1)+RIGHT(BU22,1),BU22)</f>
        <v>5</v>
      </c>
      <c r="BW22" s="471">
        <v>2</v>
      </c>
      <c r="BX22" s="481">
        <f t="shared" ref="BX22:BX28" si="19">COUNTIF(C$2:AL$2,BW22)+COUNTIF(C$4:AL$4,BW22)+COUNTIF(C$6:AL$6,BW22)</f>
        <v>2</v>
      </c>
      <c r="BZ22" s="471">
        <f t="shared" ref="BZ22:BZ29" si="20">IFERROR(HLOOKUP(BW22,$C$2:$AL$2,1,0),0)</f>
        <v>2</v>
      </c>
      <c r="CA22" s="464">
        <f t="shared" ref="CA22:CA29" si="21">IFERROR(HLOOKUP(BW22,$C$4:$AL$4,1,0),0)</f>
        <v>2</v>
      </c>
      <c r="CB22" s="464">
        <f t="shared" ref="CB22:CB29" si="22">IFERROR(HLOOKUP(BW22,$C$6:$AL$6,1,0),0)</f>
        <v>0</v>
      </c>
      <c r="CC22" s="481">
        <f t="shared" ref="CC22:CC29" si="23">IFERROR(VLOOKUP(BW22,$BV$14:$BV$19,1,0),0)</f>
        <v>2</v>
      </c>
      <c r="CD22" s="465">
        <f t="shared" ref="CD22:CD29" si="24">IF(SUM(BZ22:CB22)&gt;=BW22,BW22,0)</f>
        <v>2</v>
      </c>
      <c r="CE22" s="465">
        <f t="shared" ref="CE22:CE29" si="25">IF(CC22=BW22,BW22,0)</f>
        <v>2</v>
      </c>
      <c r="CF22" s="493">
        <f t="shared" ref="CF22:CF29" si="26">IF(SUM(CD22:CE22)&lt;=0,BW22,0)</f>
        <v>0</v>
      </c>
      <c r="CG22" s="481">
        <f t="shared" ref="CG22:CG29" si="27">IF(CD22=BW22,0,CE22)</f>
        <v>0</v>
      </c>
    </row>
    <row r="23" spans="1:85" ht="15" thickBot="1" x14ac:dyDescent="0.35">
      <c r="A23" s="463"/>
      <c r="C23" s="464">
        <f t="shared" ref="C23:AL23" si="28">IFERROR(VLOOKUP(C22,$BL:$BM,2,0),0)</f>
        <v>2</v>
      </c>
      <c r="D23" s="464">
        <f t="shared" si="28"/>
        <v>1</v>
      </c>
      <c r="E23" s="464">
        <f t="shared" si="28"/>
        <v>4</v>
      </c>
      <c r="F23" s="464">
        <f t="shared" si="28"/>
        <v>3</v>
      </c>
      <c r="G23" s="464">
        <f t="shared" si="28"/>
        <v>5</v>
      </c>
      <c r="H23" s="464">
        <f t="shared" si="28"/>
        <v>3</v>
      </c>
      <c r="I23" s="464">
        <f t="shared" si="28"/>
        <v>5</v>
      </c>
      <c r="J23" s="464" t="str">
        <f t="shared" si="28"/>
        <v/>
      </c>
      <c r="K23" s="464" t="str">
        <f t="shared" si="28"/>
        <v/>
      </c>
      <c r="L23" s="464" t="str">
        <f t="shared" si="28"/>
        <v/>
      </c>
      <c r="M23" s="464" t="str">
        <f t="shared" si="28"/>
        <v/>
      </c>
      <c r="N23" s="464" t="str">
        <f t="shared" si="28"/>
        <v/>
      </c>
      <c r="O23" s="464" t="str">
        <f t="shared" si="28"/>
        <v/>
      </c>
      <c r="P23" s="464" t="str">
        <f t="shared" si="28"/>
        <v/>
      </c>
      <c r="Q23" s="464" t="str">
        <f t="shared" si="28"/>
        <v/>
      </c>
      <c r="R23" s="464" t="str">
        <f t="shared" si="28"/>
        <v/>
      </c>
      <c r="S23" s="464" t="str">
        <f t="shared" si="28"/>
        <v/>
      </c>
      <c r="T23" s="464" t="str">
        <f t="shared" si="28"/>
        <v/>
      </c>
      <c r="U23" s="464" t="str">
        <f t="shared" si="28"/>
        <v/>
      </c>
      <c r="V23" s="464" t="str">
        <f t="shared" si="28"/>
        <v/>
      </c>
      <c r="W23" s="464" t="str">
        <f t="shared" si="28"/>
        <v/>
      </c>
      <c r="X23" s="464" t="str">
        <f t="shared" si="28"/>
        <v/>
      </c>
      <c r="Y23" s="464" t="str">
        <f t="shared" si="28"/>
        <v/>
      </c>
      <c r="Z23" s="464" t="str">
        <f t="shared" si="28"/>
        <v/>
      </c>
      <c r="AA23" s="464" t="str">
        <f t="shared" si="28"/>
        <v/>
      </c>
      <c r="AB23" s="464" t="str">
        <f t="shared" si="28"/>
        <v/>
      </c>
      <c r="AC23" s="464" t="str">
        <f t="shared" si="28"/>
        <v/>
      </c>
      <c r="AD23" s="464" t="str">
        <f t="shared" si="28"/>
        <v/>
      </c>
      <c r="AE23" s="464" t="str">
        <f t="shared" si="28"/>
        <v/>
      </c>
      <c r="AF23" s="464" t="str">
        <f t="shared" si="28"/>
        <v/>
      </c>
      <c r="AG23" s="464" t="str">
        <f t="shared" si="28"/>
        <v/>
      </c>
      <c r="AH23" s="464" t="str">
        <f t="shared" si="28"/>
        <v/>
      </c>
      <c r="AI23" s="464" t="str">
        <f t="shared" si="28"/>
        <v/>
      </c>
      <c r="AJ23" s="464" t="str">
        <f t="shared" si="28"/>
        <v/>
      </c>
      <c r="AK23" s="464" t="str">
        <f t="shared" si="28"/>
        <v/>
      </c>
      <c r="AL23" s="464" t="str">
        <f t="shared" si="28"/>
        <v/>
      </c>
      <c r="AM23" s="464">
        <f>SUM(C23:AL23)</f>
        <v>23</v>
      </c>
      <c r="AN23" s="464">
        <f>IF(AM23&lt;10,AM23,((LEFT(AM23,1))+(RIGHT(AM23,1))))</f>
        <v>5</v>
      </c>
      <c r="AO23" s="465" t="s">
        <v>24</v>
      </c>
      <c r="AP23" s="466" t="str">
        <f>IF(AM23&gt;52,VLOOKUP(AN23,BO:BP,2,0),VLOOKUP(AM23,BO:BP,2,0))</f>
        <v>*</v>
      </c>
      <c r="AQ23" s="465">
        <f>AT23</f>
        <v>6</v>
      </c>
      <c r="AR23" s="464">
        <v>21</v>
      </c>
      <c r="AS23" s="470" t="s">
        <v>64</v>
      </c>
      <c r="AT23" s="464">
        <f>(AU23*AU24)+(AV23*AV24)+(AW23*AW24)+(AX23*AX24)+(AY23*AY24)</f>
        <v>6</v>
      </c>
      <c r="AU23" s="469">
        <f>IFERROR((HLOOKUP(BB1,$C$22:$AL$23,2,0)),0)</f>
        <v>1</v>
      </c>
      <c r="AV23" s="469">
        <f t="shared" ref="AV23:AY23" si="29">IFERROR((HLOOKUP(BC1,$C$22:$AL$23,2,0)),0)</f>
        <v>5</v>
      </c>
      <c r="AW23" s="469">
        <f t="shared" si="29"/>
        <v>0</v>
      </c>
      <c r="AX23" s="469">
        <f t="shared" si="29"/>
        <v>0</v>
      </c>
      <c r="AY23" s="469">
        <f t="shared" si="29"/>
        <v>0</v>
      </c>
      <c r="BA23" s="464"/>
      <c r="BB23" s="464"/>
      <c r="BC23" s="464"/>
      <c r="BD23" s="464"/>
      <c r="BE23" s="464"/>
      <c r="BF23" s="464"/>
      <c r="BG23" s="464"/>
      <c r="BH23" s="464"/>
      <c r="BI23" s="464"/>
      <c r="BJ23" s="464"/>
      <c r="BL23" s="464" t="s">
        <v>50</v>
      </c>
      <c r="BM23" s="464">
        <v>2</v>
      </c>
      <c r="BO23" s="464">
        <v>10</v>
      </c>
      <c r="BP23" s="476" t="s">
        <v>33</v>
      </c>
      <c r="BT23" s="494" t="s">
        <v>49</v>
      </c>
      <c r="BU23" s="495">
        <f>AX5+BA5</f>
        <v>0</v>
      </c>
      <c r="BV23" s="495">
        <f>IF(LEN(BU23)&gt;1,LEFT(BU23,1)+RIGHT(BU23,1),BU23)</f>
        <v>0</v>
      </c>
      <c r="BW23" s="471">
        <v>3</v>
      </c>
      <c r="BX23" s="481">
        <f t="shared" si="19"/>
        <v>3</v>
      </c>
      <c r="BZ23" s="471">
        <f t="shared" si="20"/>
        <v>3</v>
      </c>
      <c r="CA23" s="464">
        <f t="shared" si="21"/>
        <v>3</v>
      </c>
      <c r="CB23" s="464">
        <f t="shared" si="22"/>
        <v>0</v>
      </c>
      <c r="CC23" s="481">
        <f t="shared" ca="1" si="23"/>
        <v>3</v>
      </c>
      <c r="CD23" s="465">
        <f t="shared" si="24"/>
        <v>3</v>
      </c>
      <c r="CE23" s="465">
        <f t="shared" ca="1" si="25"/>
        <v>3</v>
      </c>
      <c r="CF23" s="493">
        <f t="shared" ca="1" si="26"/>
        <v>0</v>
      </c>
      <c r="CG23" s="481">
        <f t="shared" si="27"/>
        <v>0</v>
      </c>
    </row>
    <row r="24" spans="1:85" x14ac:dyDescent="0.3">
      <c r="A24" s="463" t="s">
        <v>30</v>
      </c>
      <c r="B24" s="464" t="str">
        <f>'Master Calculator'!B41</f>
        <v>VIJAY</v>
      </c>
      <c r="C24" s="464" t="str">
        <f>MID($B24,COLUMNS($B$15:B$15),1)</f>
        <v>V</v>
      </c>
      <c r="D24" s="464" t="str">
        <f>MID($B24,COLUMNS($B$15:C$15),1)</f>
        <v>I</v>
      </c>
      <c r="E24" s="464" t="str">
        <f>MID($B24,COLUMNS($B$15:D$15),1)</f>
        <v>J</v>
      </c>
      <c r="F24" s="464" t="str">
        <f>MID($B24,COLUMNS($B$15:E$15),1)</f>
        <v>A</v>
      </c>
      <c r="G24" s="464" t="str">
        <f>MID($B24,COLUMNS($B$15:F$15),1)</f>
        <v>Y</v>
      </c>
      <c r="H24" s="464" t="str">
        <f>MID($B24,COLUMNS($B$15:G$15),1)</f>
        <v/>
      </c>
      <c r="I24" s="464" t="str">
        <f>MID($B24,COLUMNS($B$15:H$15),1)</f>
        <v/>
      </c>
      <c r="J24" s="464" t="str">
        <f>MID($B24,COLUMNS($B$15:I$15),1)</f>
        <v/>
      </c>
      <c r="K24" s="464" t="str">
        <f>MID($B24,COLUMNS($B$15:J$15),1)</f>
        <v/>
      </c>
      <c r="L24" s="464" t="str">
        <f>MID($B24,COLUMNS($B$15:K$15),1)</f>
        <v/>
      </c>
      <c r="M24" s="464" t="str">
        <f>MID($B24,COLUMNS($B$15:L$15),1)</f>
        <v/>
      </c>
      <c r="N24" s="464" t="str">
        <f>MID($B24,COLUMNS($B$15:M$15),1)</f>
        <v/>
      </c>
      <c r="O24" s="464" t="str">
        <f>MID($B24,COLUMNS($B$15:N$15),1)</f>
        <v/>
      </c>
      <c r="P24" s="464" t="str">
        <f>MID($B24,COLUMNS($B$15:O$15),1)</f>
        <v/>
      </c>
      <c r="Q24" s="464" t="str">
        <f>MID($B24,COLUMNS($B$15:P$15),1)</f>
        <v/>
      </c>
      <c r="R24" s="464" t="str">
        <f>MID($B24,COLUMNS($B$15:Q$15),1)</f>
        <v/>
      </c>
      <c r="S24" s="464" t="str">
        <f>MID($B24,COLUMNS($B$15:R$15),1)</f>
        <v/>
      </c>
      <c r="T24" s="464" t="str">
        <f>MID($B24,COLUMNS($B$15:S$15),1)</f>
        <v/>
      </c>
      <c r="U24" s="464" t="str">
        <f>MID($B24,COLUMNS($B$15:T$15),1)</f>
        <v/>
      </c>
      <c r="V24" s="464" t="str">
        <f>MID($B24,COLUMNS($B$15:U$15),1)</f>
        <v/>
      </c>
      <c r="W24" s="464" t="str">
        <f>MID($B24,COLUMNS($B$15:V$15),1)</f>
        <v/>
      </c>
      <c r="X24" s="464" t="str">
        <f>MID($B24,COLUMNS($B$15:W$15),1)</f>
        <v/>
      </c>
      <c r="Y24" s="464" t="str">
        <f>MID($B24,COLUMNS($B$15:X$15),1)</f>
        <v/>
      </c>
      <c r="Z24" s="464" t="str">
        <f>MID($B24,COLUMNS($B$15:Y$15),1)</f>
        <v/>
      </c>
      <c r="AA24" s="464" t="str">
        <f>MID($B24,COLUMNS($B$15:Z$15),1)</f>
        <v/>
      </c>
      <c r="AB24" s="464" t="str">
        <f>MID($B24,COLUMNS($B$15:AA$15),1)</f>
        <v/>
      </c>
      <c r="AC24" s="464" t="str">
        <f>MID($B24,COLUMNS($B$15:AB$15),1)</f>
        <v/>
      </c>
      <c r="AD24" s="464" t="str">
        <f>MID($B24,COLUMNS($B$15:AC$15),1)</f>
        <v/>
      </c>
      <c r="AE24" s="464" t="str">
        <f>MID($B24,COLUMNS($B$15:AD$15),1)</f>
        <v/>
      </c>
      <c r="AF24" s="464" t="str">
        <f>MID($B24,COLUMNS($B$15:AE$15),1)</f>
        <v/>
      </c>
      <c r="AG24" s="464" t="str">
        <f>MID($B24,COLUMNS($B$15:AF$15),1)</f>
        <v/>
      </c>
      <c r="AH24" s="464" t="str">
        <f>MID($B24,COLUMNS($B$15:AG$15),1)</f>
        <v/>
      </c>
      <c r="AI24" s="464" t="str">
        <f>MID($B24,COLUMNS($B$15:AH$15),1)</f>
        <v/>
      </c>
      <c r="AJ24" s="464" t="str">
        <f>MID($B24,COLUMNS($B$15:AI$15),1)</f>
        <v/>
      </c>
      <c r="AK24" s="464" t="str">
        <f>MID($B24,COLUMNS($B$15:AJ$15),1)</f>
        <v/>
      </c>
      <c r="AL24" s="464" t="str">
        <f>MID($B24,COLUMNS($B$15:AK$15),1)</f>
        <v/>
      </c>
      <c r="AM24" s="464"/>
      <c r="AN24" s="464"/>
      <c r="AP24" s="466"/>
      <c r="AR24" s="464">
        <v>23</v>
      </c>
      <c r="AS24" s="470" t="s">
        <v>64</v>
      </c>
      <c r="AT24" s="464"/>
      <c r="AU24" s="470">
        <f>COUNTIFS($C$22:$AL$22,BB1)</f>
        <v>1</v>
      </c>
      <c r="AV24" s="470">
        <f t="shared" ref="AV24:AY24" si="30">COUNTIFS($C$22:$AL$22,BC1)</f>
        <v>1</v>
      </c>
      <c r="AW24" s="470">
        <f t="shared" si="30"/>
        <v>0</v>
      </c>
      <c r="AX24" s="470">
        <f t="shared" si="30"/>
        <v>0</v>
      </c>
      <c r="AY24" s="470">
        <f t="shared" si="30"/>
        <v>0</v>
      </c>
      <c r="BA24" s="464"/>
      <c r="BB24" s="464" t="s">
        <v>14</v>
      </c>
      <c r="BC24" s="464" t="s">
        <v>22</v>
      </c>
      <c r="BD24" s="464" t="s">
        <v>27</v>
      </c>
      <c r="BE24" s="464" t="s">
        <v>29</v>
      </c>
      <c r="BF24" s="464" t="s">
        <v>19</v>
      </c>
      <c r="BG24" s="464" t="s">
        <v>51</v>
      </c>
      <c r="BH24" s="464" t="s">
        <v>52</v>
      </c>
      <c r="BI24" s="464" t="s">
        <v>21</v>
      </c>
      <c r="BJ24" s="464"/>
      <c r="BL24" s="464" t="s">
        <v>53</v>
      </c>
      <c r="BM24" s="464">
        <v>3</v>
      </c>
      <c r="BO24" s="464">
        <v>11</v>
      </c>
      <c r="BP24" s="470" t="s">
        <v>23</v>
      </c>
      <c r="BW24" s="471">
        <v>4</v>
      </c>
      <c r="BX24" s="481">
        <f t="shared" si="19"/>
        <v>2</v>
      </c>
      <c r="BZ24" s="471">
        <f t="shared" si="20"/>
        <v>0</v>
      </c>
      <c r="CA24" s="464">
        <f t="shared" si="21"/>
        <v>4</v>
      </c>
      <c r="CB24" s="464">
        <f t="shared" si="22"/>
        <v>4</v>
      </c>
      <c r="CC24" s="481">
        <f t="shared" ca="1" si="23"/>
        <v>0</v>
      </c>
      <c r="CD24" s="465">
        <f t="shared" si="24"/>
        <v>4</v>
      </c>
      <c r="CE24" s="465">
        <f t="shared" ca="1" si="25"/>
        <v>0</v>
      </c>
      <c r="CF24" s="493">
        <f t="shared" ca="1" si="26"/>
        <v>0</v>
      </c>
      <c r="CG24" s="481">
        <f t="shared" si="27"/>
        <v>0</v>
      </c>
    </row>
    <row r="25" spans="1:85" x14ac:dyDescent="0.3">
      <c r="A25" s="463"/>
      <c r="C25" s="464">
        <f t="shared" ref="C25:AL25" si="31">IFERROR(VLOOKUP(C24,$BL:$BM,2,0),0)</f>
        <v>6</v>
      </c>
      <c r="D25" s="464">
        <f t="shared" si="31"/>
        <v>1</v>
      </c>
      <c r="E25" s="464">
        <f t="shared" si="31"/>
        <v>1</v>
      </c>
      <c r="F25" s="464">
        <f t="shared" si="31"/>
        <v>1</v>
      </c>
      <c r="G25" s="464">
        <f t="shared" si="31"/>
        <v>1</v>
      </c>
      <c r="H25" s="464" t="str">
        <f t="shared" si="31"/>
        <v/>
      </c>
      <c r="I25" s="464" t="str">
        <f t="shared" si="31"/>
        <v/>
      </c>
      <c r="J25" s="464" t="str">
        <f t="shared" si="31"/>
        <v/>
      </c>
      <c r="K25" s="464" t="str">
        <f t="shared" si="31"/>
        <v/>
      </c>
      <c r="L25" s="464" t="str">
        <f t="shared" si="31"/>
        <v/>
      </c>
      <c r="M25" s="464" t="str">
        <f t="shared" si="31"/>
        <v/>
      </c>
      <c r="N25" s="464" t="str">
        <f t="shared" si="31"/>
        <v/>
      </c>
      <c r="O25" s="464" t="str">
        <f t="shared" si="31"/>
        <v/>
      </c>
      <c r="P25" s="464" t="str">
        <f t="shared" si="31"/>
        <v/>
      </c>
      <c r="Q25" s="464" t="str">
        <f t="shared" si="31"/>
        <v/>
      </c>
      <c r="R25" s="464" t="str">
        <f t="shared" si="31"/>
        <v/>
      </c>
      <c r="S25" s="464" t="str">
        <f t="shared" si="31"/>
        <v/>
      </c>
      <c r="T25" s="464" t="str">
        <f t="shared" si="31"/>
        <v/>
      </c>
      <c r="U25" s="464" t="str">
        <f t="shared" si="31"/>
        <v/>
      </c>
      <c r="V25" s="464" t="str">
        <f t="shared" si="31"/>
        <v/>
      </c>
      <c r="W25" s="464" t="str">
        <f t="shared" si="31"/>
        <v/>
      </c>
      <c r="X25" s="464" t="str">
        <f t="shared" si="31"/>
        <v/>
      </c>
      <c r="Y25" s="464" t="str">
        <f t="shared" si="31"/>
        <v/>
      </c>
      <c r="Z25" s="464" t="str">
        <f t="shared" si="31"/>
        <v/>
      </c>
      <c r="AA25" s="464" t="str">
        <f t="shared" si="31"/>
        <v/>
      </c>
      <c r="AB25" s="464" t="str">
        <f t="shared" si="31"/>
        <v/>
      </c>
      <c r="AC25" s="464" t="str">
        <f t="shared" si="31"/>
        <v/>
      </c>
      <c r="AD25" s="464" t="str">
        <f t="shared" si="31"/>
        <v/>
      </c>
      <c r="AE25" s="464" t="str">
        <f t="shared" si="31"/>
        <v/>
      </c>
      <c r="AF25" s="464" t="str">
        <f t="shared" si="31"/>
        <v/>
      </c>
      <c r="AG25" s="464" t="str">
        <f t="shared" si="31"/>
        <v/>
      </c>
      <c r="AH25" s="464" t="str">
        <f t="shared" si="31"/>
        <v/>
      </c>
      <c r="AI25" s="464" t="str">
        <f t="shared" si="31"/>
        <v/>
      </c>
      <c r="AJ25" s="464" t="str">
        <f t="shared" si="31"/>
        <v/>
      </c>
      <c r="AK25" s="464" t="str">
        <f t="shared" si="31"/>
        <v/>
      </c>
      <c r="AL25" s="464" t="str">
        <f t="shared" si="31"/>
        <v/>
      </c>
      <c r="AM25" s="464">
        <f>SUM(C25:AL25)</f>
        <v>10</v>
      </c>
      <c r="AN25" s="464">
        <f>IF(AM25&lt;10,AM25,((LEFT(AM25,1))+(RIGHT(AM25,1))))</f>
        <v>1</v>
      </c>
      <c r="AP25" s="466"/>
      <c r="AQ25" s="465">
        <f>AT26</f>
        <v>2</v>
      </c>
      <c r="AR25" s="464">
        <v>24</v>
      </c>
      <c r="AS25" s="470" t="s">
        <v>64</v>
      </c>
      <c r="AT25" s="464"/>
      <c r="AU25" s="470"/>
      <c r="AV25" s="470"/>
      <c r="AW25" s="470"/>
      <c r="AX25" s="470"/>
      <c r="AY25" s="470"/>
      <c r="BA25" s="464"/>
      <c r="BB25" s="464" t="s">
        <v>43</v>
      </c>
      <c r="BC25" s="464" t="s">
        <v>50</v>
      </c>
      <c r="BD25" s="464" t="s">
        <v>20</v>
      </c>
      <c r="BE25" s="464" t="s">
        <v>47</v>
      </c>
      <c r="BF25" s="464" t="s">
        <v>41</v>
      </c>
      <c r="BG25" s="464" t="s">
        <v>56</v>
      </c>
      <c r="BH25" s="464" t="s">
        <v>57</v>
      </c>
      <c r="BI25" s="464" t="s">
        <v>58</v>
      </c>
      <c r="BJ25" s="464"/>
      <c r="BL25" s="464" t="s">
        <v>47</v>
      </c>
      <c r="BM25" s="464">
        <v>4</v>
      </c>
      <c r="BO25" s="464">
        <v>12</v>
      </c>
      <c r="BP25" s="476" t="s">
        <v>33</v>
      </c>
      <c r="BW25" s="471">
        <v>5</v>
      </c>
      <c r="BX25" s="481">
        <f t="shared" si="19"/>
        <v>6</v>
      </c>
      <c r="BZ25" s="471">
        <f t="shared" si="20"/>
        <v>5</v>
      </c>
      <c r="CA25" s="464">
        <f t="shared" si="21"/>
        <v>5</v>
      </c>
      <c r="CB25" s="464">
        <f t="shared" si="22"/>
        <v>5</v>
      </c>
      <c r="CC25" s="481">
        <f t="shared" ca="1" si="23"/>
        <v>5</v>
      </c>
      <c r="CD25" s="465">
        <f t="shared" si="24"/>
        <v>5</v>
      </c>
      <c r="CE25" s="465">
        <f t="shared" ca="1" si="25"/>
        <v>5</v>
      </c>
      <c r="CF25" s="493">
        <f t="shared" ca="1" si="26"/>
        <v>0</v>
      </c>
      <c r="CG25" s="481">
        <f t="shared" si="27"/>
        <v>0</v>
      </c>
    </row>
    <row r="26" spans="1:85" x14ac:dyDescent="0.3">
      <c r="A26" s="463" t="s">
        <v>37</v>
      </c>
      <c r="B26" s="464">
        <f>'Master Calculator'!B42</f>
        <v>0</v>
      </c>
      <c r="C26" s="464" t="str">
        <f>MID($B26,COLUMNS($B$15:B$15),1)</f>
        <v>0</v>
      </c>
      <c r="D26" s="464" t="str">
        <f>MID($B26,COLUMNS($B$15:C$15),1)</f>
        <v/>
      </c>
      <c r="E26" s="464" t="str">
        <f>MID($B26,COLUMNS($B$15:D$15),1)</f>
        <v/>
      </c>
      <c r="F26" s="464" t="str">
        <f>MID($B26,COLUMNS($B$15:E$15),1)</f>
        <v/>
      </c>
      <c r="G26" s="464" t="str">
        <f>MID($B26,COLUMNS($B$15:F$15),1)</f>
        <v/>
      </c>
      <c r="H26" s="464" t="str">
        <f>MID($B26,COLUMNS($B$15:G$15),1)</f>
        <v/>
      </c>
      <c r="I26" s="464" t="str">
        <f>MID($B26,COLUMNS($B$15:H$15),1)</f>
        <v/>
      </c>
      <c r="J26" s="464" t="str">
        <f>MID($B26,COLUMNS($B$15:I$15),1)</f>
        <v/>
      </c>
      <c r="K26" s="464" t="str">
        <f>MID($B26,COLUMNS($B$15:J$15),1)</f>
        <v/>
      </c>
      <c r="L26" s="464" t="str">
        <f>MID($B26,COLUMNS($B$15:K$15),1)</f>
        <v/>
      </c>
      <c r="M26" s="464" t="str">
        <f>MID($B26,COLUMNS($B$15:L$15),1)</f>
        <v/>
      </c>
      <c r="N26" s="464" t="str">
        <f>MID($B26,COLUMNS($B$15:M$15),1)</f>
        <v/>
      </c>
      <c r="O26" s="464" t="str">
        <f>MID($B26,COLUMNS($B$15:N$15),1)</f>
        <v/>
      </c>
      <c r="P26" s="464" t="str">
        <f>MID($B26,COLUMNS($B$15:O$15),1)</f>
        <v/>
      </c>
      <c r="Q26" s="464" t="str">
        <f>MID($B26,COLUMNS($B$15:P$15),1)</f>
        <v/>
      </c>
      <c r="R26" s="464" t="str">
        <f>MID($B26,COLUMNS($B$15:Q$15),1)</f>
        <v/>
      </c>
      <c r="S26" s="464" t="str">
        <f>MID($B26,COLUMNS($B$15:R$15),1)</f>
        <v/>
      </c>
      <c r="T26" s="464" t="str">
        <f>MID($B26,COLUMNS($B$15:S$15),1)</f>
        <v/>
      </c>
      <c r="U26" s="464" t="str">
        <f>MID($B26,COLUMNS($B$15:T$15),1)</f>
        <v/>
      </c>
      <c r="V26" s="464" t="str">
        <f>MID($B26,COLUMNS($B$15:U$15),1)</f>
        <v/>
      </c>
      <c r="W26" s="464" t="str">
        <f>MID($B26,COLUMNS($B$15:V$15),1)</f>
        <v/>
      </c>
      <c r="X26" s="464" t="str">
        <f>MID($B26,COLUMNS($B$15:W$15),1)</f>
        <v/>
      </c>
      <c r="Y26" s="464" t="str">
        <f>MID($B26,COLUMNS($B$15:X$15),1)</f>
        <v/>
      </c>
      <c r="Z26" s="464" t="str">
        <f>MID($B26,COLUMNS($B$15:Y$15),1)</f>
        <v/>
      </c>
      <c r="AA26" s="464" t="str">
        <f>MID($B26,COLUMNS($B$15:Z$15),1)</f>
        <v/>
      </c>
      <c r="AB26" s="464" t="str">
        <f>MID($B26,COLUMNS($B$15:AA$15),1)</f>
        <v/>
      </c>
      <c r="AC26" s="464" t="str">
        <f>MID($B26,COLUMNS($B$15:AB$15),1)</f>
        <v/>
      </c>
      <c r="AD26" s="464" t="str">
        <f>MID($B26,COLUMNS($B$15:AC$15),1)</f>
        <v/>
      </c>
      <c r="AE26" s="464" t="str">
        <f>MID($B26,COLUMNS($B$15:AD$15),1)</f>
        <v/>
      </c>
      <c r="AF26" s="464" t="str">
        <f>MID($B26,COLUMNS($B$15:AE$15),1)</f>
        <v/>
      </c>
      <c r="AG26" s="464" t="str">
        <f>MID($B26,COLUMNS($B$15:AF$15),1)</f>
        <v/>
      </c>
      <c r="AH26" s="464" t="str">
        <f>MID($B26,COLUMNS($B$15:AG$15),1)</f>
        <v/>
      </c>
      <c r="AI26" s="464" t="str">
        <f>MID($B26,COLUMNS($B$15:AH$15),1)</f>
        <v/>
      </c>
      <c r="AJ26" s="464" t="str">
        <f>MID($B26,COLUMNS($B$15:AI$15),1)</f>
        <v/>
      </c>
      <c r="AK26" s="464" t="str">
        <f>MID($B26,COLUMNS($B$15:AJ$15),1)</f>
        <v/>
      </c>
      <c r="AL26" s="464" t="str">
        <f>MID($B26,COLUMNS($B$15:AK$15),1)</f>
        <v/>
      </c>
      <c r="AM26" s="464"/>
      <c r="AN26" s="464"/>
      <c r="AP26" s="466"/>
      <c r="AR26" s="464">
        <v>25</v>
      </c>
      <c r="AS26" s="476" t="s">
        <v>20</v>
      </c>
      <c r="AT26" s="464">
        <f>(AU26*AU27)+(AV26*AV27)+(AW26*AW27)+(AX26*AX27)+(AY26*AY27)</f>
        <v>2</v>
      </c>
      <c r="AU26" s="469">
        <f>IFERROR((HLOOKUP(BB1,$C$24:$AL$25,2,0)),0)</f>
        <v>1</v>
      </c>
      <c r="AV26" s="469">
        <f t="shared" ref="AV26:AY26" si="32">IFERROR((HLOOKUP(BC1,$C$24:$AL$25,2,0)),0)</f>
        <v>0</v>
      </c>
      <c r="AW26" s="469">
        <f t="shared" si="32"/>
        <v>1</v>
      </c>
      <c r="AX26" s="469">
        <f t="shared" si="32"/>
        <v>0</v>
      </c>
      <c r="AY26" s="469">
        <f t="shared" si="32"/>
        <v>0</v>
      </c>
      <c r="BA26" s="464"/>
      <c r="BB26" s="464" t="s">
        <v>46</v>
      </c>
      <c r="BC26" s="464" t="s">
        <v>59</v>
      </c>
      <c r="BD26" s="464" t="s">
        <v>53</v>
      </c>
      <c r="BE26" s="464" t="s">
        <v>60</v>
      </c>
      <c r="BF26" s="464" t="s">
        <v>61</v>
      </c>
      <c r="BG26" s="464" t="s">
        <v>62</v>
      </c>
      <c r="BH26" s="464"/>
      <c r="BI26" s="464"/>
      <c r="BJ26" s="464"/>
      <c r="BL26" s="464" t="s">
        <v>61</v>
      </c>
      <c r="BM26" s="464">
        <v>5</v>
      </c>
      <c r="BO26" s="464">
        <v>13</v>
      </c>
      <c r="BP26" s="476" t="s">
        <v>33</v>
      </c>
      <c r="BW26" s="471">
        <v>6</v>
      </c>
      <c r="BX26" s="481">
        <f t="shared" si="19"/>
        <v>0</v>
      </c>
      <c r="BZ26" s="471">
        <f t="shared" si="20"/>
        <v>0</v>
      </c>
      <c r="CA26" s="464">
        <f t="shared" si="21"/>
        <v>0</v>
      </c>
      <c r="CB26" s="464">
        <f t="shared" si="22"/>
        <v>0</v>
      </c>
      <c r="CC26" s="481">
        <f t="shared" ca="1" si="23"/>
        <v>0</v>
      </c>
      <c r="CD26" s="465">
        <f t="shared" si="24"/>
        <v>0</v>
      </c>
      <c r="CE26" s="465">
        <f t="shared" ca="1" si="25"/>
        <v>0</v>
      </c>
      <c r="CF26" s="493">
        <f t="shared" ca="1" si="26"/>
        <v>6</v>
      </c>
      <c r="CG26" s="481">
        <f t="shared" ca="1" si="27"/>
        <v>0</v>
      </c>
    </row>
    <row r="27" spans="1:85" ht="15" thickBot="1" x14ac:dyDescent="0.35">
      <c r="A27" s="463"/>
      <c r="C27" s="464">
        <f t="shared" ref="C27:AL27" si="33">IFERROR(VLOOKUP(C26,$BL:$BM,2,0),0)</f>
        <v>0</v>
      </c>
      <c r="D27" s="464" t="str">
        <f t="shared" si="33"/>
        <v/>
      </c>
      <c r="E27" s="464" t="str">
        <f t="shared" si="33"/>
        <v/>
      </c>
      <c r="F27" s="464" t="str">
        <f t="shared" si="33"/>
        <v/>
      </c>
      <c r="G27" s="464" t="str">
        <f t="shared" si="33"/>
        <v/>
      </c>
      <c r="H27" s="464" t="str">
        <f t="shared" si="33"/>
        <v/>
      </c>
      <c r="I27" s="464" t="str">
        <f t="shared" si="33"/>
        <v/>
      </c>
      <c r="J27" s="464" t="str">
        <f t="shared" si="33"/>
        <v/>
      </c>
      <c r="K27" s="464" t="str">
        <f t="shared" si="33"/>
        <v/>
      </c>
      <c r="L27" s="464" t="str">
        <f t="shared" si="33"/>
        <v/>
      </c>
      <c r="M27" s="464" t="str">
        <f t="shared" si="33"/>
        <v/>
      </c>
      <c r="N27" s="464" t="str">
        <f t="shared" si="33"/>
        <v/>
      </c>
      <c r="O27" s="464" t="str">
        <f t="shared" si="33"/>
        <v/>
      </c>
      <c r="P27" s="464" t="str">
        <f t="shared" si="33"/>
        <v/>
      </c>
      <c r="Q27" s="464" t="str">
        <f t="shared" si="33"/>
        <v/>
      </c>
      <c r="R27" s="464" t="str">
        <f t="shared" si="33"/>
        <v/>
      </c>
      <c r="S27" s="464" t="str">
        <f t="shared" si="33"/>
        <v/>
      </c>
      <c r="T27" s="464" t="str">
        <f t="shared" si="33"/>
        <v/>
      </c>
      <c r="U27" s="464" t="str">
        <f t="shared" si="33"/>
        <v/>
      </c>
      <c r="V27" s="464" t="str">
        <f t="shared" si="33"/>
        <v/>
      </c>
      <c r="W27" s="464" t="str">
        <f t="shared" si="33"/>
        <v/>
      </c>
      <c r="X27" s="464" t="str">
        <f t="shared" si="33"/>
        <v/>
      </c>
      <c r="Y27" s="464" t="str">
        <f t="shared" si="33"/>
        <v/>
      </c>
      <c r="Z27" s="464" t="str">
        <f t="shared" si="33"/>
        <v/>
      </c>
      <c r="AA27" s="464" t="str">
        <f t="shared" si="33"/>
        <v/>
      </c>
      <c r="AB27" s="464" t="str">
        <f t="shared" si="33"/>
        <v/>
      </c>
      <c r="AC27" s="464" t="str">
        <f t="shared" si="33"/>
        <v/>
      </c>
      <c r="AD27" s="464" t="str">
        <f t="shared" si="33"/>
        <v/>
      </c>
      <c r="AE27" s="464" t="str">
        <f t="shared" si="33"/>
        <v/>
      </c>
      <c r="AF27" s="464" t="str">
        <f t="shared" si="33"/>
        <v/>
      </c>
      <c r="AG27" s="464" t="str">
        <f t="shared" si="33"/>
        <v/>
      </c>
      <c r="AH27" s="464" t="str">
        <f t="shared" si="33"/>
        <v/>
      </c>
      <c r="AI27" s="464" t="str">
        <f t="shared" si="33"/>
        <v/>
      </c>
      <c r="AJ27" s="464" t="str">
        <f t="shared" si="33"/>
        <v/>
      </c>
      <c r="AK27" s="464" t="str">
        <f t="shared" si="33"/>
        <v/>
      </c>
      <c r="AL27" s="464" t="str">
        <f t="shared" si="33"/>
        <v/>
      </c>
      <c r="AM27" s="464">
        <f>SUM(C27:AL27)</f>
        <v>0</v>
      </c>
      <c r="AN27" s="464">
        <f>IF(AM27&lt;10,AM27,((LEFT(AM27,1))+(RIGHT(AM27,1))))</f>
        <v>0</v>
      </c>
      <c r="AP27" s="466"/>
      <c r="AR27" s="464">
        <v>27</v>
      </c>
      <c r="AS27" s="476" t="s">
        <v>20</v>
      </c>
      <c r="AT27" s="464"/>
      <c r="AU27" s="470">
        <f>COUNTIFS($C$24:$AL$24,BB1)</f>
        <v>1</v>
      </c>
      <c r="AV27" s="470">
        <f t="shared" ref="AV27:AY27" si="34">COUNTIFS($C$24:$AL$24,BC1)</f>
        <v>0</v>
      </c>
      <c r="AW27" s="470">
        <f t="shared" si="34"/>
        <v>1</v>
      </c>
      <c r="AX27" s="470">
        <f t="shared" si="34"/>
        <v>0</v>
      </c>
      <c r="AY27" s="470">
        <f t="shared" si="34"/>
        <v>0</v>
      </c>
      <c r="BA27" s="464"/>
      <c r="BB27" s="464" t="s">
        <v>63</v>
      </c>
      <c r="BC27" s="464"/>
      <c r="BD27" s="464" t="s">
        <v>64</v>
      </c>
      <c r="BE27" s="464"/>
      <c r="BF27" s="464" t="s">
        <v>23</v>
      </c>
      <c r="BG27" s="464"/>
      <c r="BH27" s="464"/>
      <c r="BI27" s="464"/>
      <c r="BJ27" s="464"/>
      <c r="BL27" s="464" t="s">
        <v>52</v>
      </c>
      <c r="BM27" s="464">
        <v>7</v>
      </c>
      <c r="BO27" s="464">
        <v>14</v>
      </c>
      <c r="BP27" s="476" t="s">
        <v>33</v>
      </c>
      <c r="BW27" s="471">
        <v>7</v>
      </c>
      <c r="BX27" s="481">
        <f t="shared" si="19"/>
        <v>0</v>
      </c>
      <c r="BZ27" s="471">
        <f t="shared" si="20"/>
        <v>0</v>
      </c>
      <c r="CA27" s="464">
        <f t="shared" si="21"/>
        <v>0</v>
      </c>
      <c r="CB27" s="464">
        <f t="shared" si="22"/>
        <v>0</v>
      </c>
      <c r="CC27" s="481">
        <f t="shared" ca="1" si="23"/>
        <v>0</v>
      </c>
      <c r="CD27" s="465">
        <f t="shared" si="24"/>
        <v>0</v>
      </c>
      <c r="CE27" s="465">
        <f t="shared" ca="1" si="25"/>
        <v>0</v>
      </c>
      <c r="CF27" s="493">
        <f t="shared" ca="1" si="26"/>
        <v>7</v>
      </c>
      <c r="CG27" s="481">
        <f t="shared" ca="1" si="27"/>
        <v>0</v>
      </c>
    </row>
    <row r="28" spans="1:85" x14ac:dyDescent="0.3">
      <c r="J28" s="473"/>
      <c r="K28" s="474"/>
      <c r="L28" s="473"/>
      <c r="M28" s="474"/>
      <c r="U28" s="474"/>
      <c r="AE28" s="474"/>
      <c r="AM28" s="465">
        <f>AM27+AM25+AM23</f>
        <v>33</v>
      </c>
      <c r="AN28" s="464">
        <f>AN23+AN25+AN27</f>
        <v>6</v>
      </c>
      <c r="AO28" s="465" t="s">
        <v>31</v>
      </c>
      <c r="AP28" s="466" t="str">
        <f>IF(AM28&gt;52,VLOOKUP(AN28,BO:BP,2,0),VLOOKUP(AM28,BO:BP,2,0))</f>
        <v>√</v>
      </c>
      <c r="AQ28" s="465">
        <f>AT29</f>
        <v>0</v>
      </c>
      <c r="AR28" s="464">
        <v>30</v>
      </c>
      <c r="AS28" s="470" t="s">
        <v>64</v>
      </c>
      <c r="BA28" s="464"/>
      <c r="BB28" s="464" t="s">
        <v>48</v>
      </c>
      <c r="BC28" s="464"/>
      <c r="BD28" s="464"/>
      <c r="BE28" s="464"/>
      <c r="BF28" s="464"/>
      <c r="BG28" s="464"/>
      <c r="BH28" s="464"/>
      <c r="BI28" s="464"/>
      <c r="BJ28" s="464"/>
      <c r="BL28" s="464" t="s">
        <v>58</v>
      </c>
      <c r="BM28" s="464">
        <v>8</v>
      </c>
      <c r="BO28" s="464">
        <v>15</v>
      </c>
      <c r="BP28" s="476" t="s">
        <v>33</v>
      </c>
      <c r="BW28" s="471">
        <v>8</v>
      </c>
      <c r="BX28" s="481">
        <f t="shared" si="19"/>
        <v>0</v>
      </c>
      <c r="BZ28" s="471">
        <f t="shared" si="20"/>
        <v>0</v>
      </c>
      <c r="CA28" s="464">
        <f t="shared" si="21"/>
        <v>0</v>
      </c>
      <c r="CB28" s="464">
        <f t="shared" si="22"/>
        <v>0</v>
      </c>
      <c r="CC28" s="481">
        <f t="shared" ca="1" si="23"/>
        <v>0</v>
      </c>
      <c r="CD28" s="465">
        <f t="shared" si="24"/>
        <v>0</v>
      </c>
      <c r="CE28" s="465">
        <f t="shared" ca="1" si="25"/>
        <v>0</v>
      </c>
      <c r="CF28" s="493">
        <f t="shared" ca="1" si="26"/>
        <v>8</v>
      </c>
      <c r="CG28" s="481">
        <f t="shared" ca="1" si="27"/>
        <v>0</v>
      </c>
    </row>
    <row r="29" spans="1:85" ht="15" thickBot="1" x14ac:dyDescent="0.35">
      <c r="AQ29" s="465">
        <f>SUM(AQ23:AQ28)</f>
        <v>8</v>
      </c>
      <c r="AR29" s="464">
        <v>32</v>
      </c>
      <c r="AS29" s="476" t="s">
        <v>20</v>
      </c>
      <c r="AT29" s="464">
        <f>(AU29*AU30)+(AV29*AV30)+(AW29*AW30)+(AX29*AX30)+(AY29*AY30)</f>
        <v>0</v>
      </c>
      <c r="AU29" s="469">
        <f>IFERROR((HLOOKUP(BB1,$C$26:$AL$27,2,0)),0)</f>
        <v>0</v>
      </c>
      <c r="AV29" s="469">
        <f t="shared" ref="AV29:AY29" si="35">IFERROR((HLOOKUP(BC1,$C$26:$AL$27,2,0)),0)</f>
        <v>0</v>
      </c>
      <c r="AW29" s="469">
        <f t="shared" si="35"/>
        <v>0</v>
      </c>
      <c r="AX29" s="469">
        <f t="shared" si="35"/>
        <v>0</v>
      </c>
      <c r="AY29" s="469">
        <f t="shared" si="35"/>
        <v>0</v>
      </c>
      <c r="BL29" s="464" t="s">
        <v>63</v>
      </c>
      <c r="BM29" s="464">
        <v>1</v>
      </c>
      <c r="BO29" s="464">
        <v>16</v>
      </c>
      <c r="BP29" s="470" t="s">
        <v>23</v>
      </c>
      <c r="BR29" s="464"/>
      <c r="BW29" s="472">
        <v>9</v>
      </c>
      <c r="BX29" s="496"/>
      <c r="BY29" s="497"/>
      <c r="BZ29" s="471">
        <f t="shared" si="20"/>
        <v>0</v>
      </c>
      <c r="CA29" s="464">
        <f t="shared" si="21"/>
        <v>0</v>
      </c>
      <c r="CB29" s="464">
        <f t="shared" si="22"/>
        <v>0</v>
      </c>
      <c r="CC29" s="481">
        <f t="shared" ca="1" si="23"/>
        <v>0</v>
      </c>
      <c r="CD29" s="498">
        <f t="shared" si="24"/>
        <v>0</v>
      </c>
      <c r="CE29" s="498">
        <f t="shared" ca="1" si="25"/>
        <v>0</v>
      </c>
      <c r="CF29" s="491">
        <f t="shared" ca="1" si="26"/>
        <v>9</v>
      </c>
      <c r="CG29" s="492">
        <f t="shared" ca="1" si="27"/>
        <v>0</v>
      </c>
    </row>
    <row r="30" spans="1:85" x14ac:dyDescent="0.3">
      <c r="AR30" s="464">
        <v>33</v>
      </c>
      <c r="AS30" s="476" t="s">
        <v>20</v>
      </c>
      <c r="AT30" s="464"/>
      <c r="AU30" s="470">
        <f>COUNTIFS($C$26:$AL$26,BB1)</f>
        <v>0</v>
      </c>
      <c r="AV30" s="470">
        <f t="shared" ref="AV30:AY30" si="36">COUNTIFS($C$26:$AL$26,BC1)</f>
        <v>0</v>
      </c>
      <c r="AW30" s="470">
        <f t="shared" si="36"/>
        <v>0</v>
      </c>
      <c r="AX30" s="470">
        <f t="shared" si="36"/>
        <v>0</v>
      </c>
      <c r="AY30" s="470">
        <f t="shared" si="36"/>
        <v>0</v>
      </c>
      <c r="BL30" s="464" t="s">
        <v>59</v>
      </c>
      <c r="BM30" s="464">
        <v>2</v>
      </c>
      <c r="BO30" s="464">
        <v>17</v>
      </c>
      <c r="BP30" s="476" t="s">
        <v>33</v>
      </c>
      <c r="BR30" s="464"/>
      <c r="BW30" s="464"/>
      <c r="BZ30" s="464"/>
      <c r="CA30" s="464"/>
      <c r="CB30" s="464"/>
      <c r="CC30" s="464"/>
      <c r="CF30" s="464"/>
      <c r="CG30" s="464"/>
    </row>
    <row r="31" spans="1:85" x14ac:dyDescent="0.3">
      <c r="A31" s="465" t="s">
        <v>193</v>
      </c>
      <c r="AR31" s="464">
        <v>34</v>
      </c>
      <c r="AS31" s="470" t="s">
        <v>64</v>
      </c>
      <c r="BL31" s="464" t="s">
        <v>64</v>
      </c>
      <c r="BM31" s="464">
        <v>3</v>
      </c>
      <c r="BO31" s="464">
        <v>18</v>
      </c>
      <c r="BP31" s="470" t="s">
        <v>23</v>
      </c>
      <c r="BR31" s="464"/>
      <c r="BW31" s="464"/>
      <c r="BZ31" s="464"/>
      <c r="CA31" s="464"/>
      <c r="CB31" s="464"/>
      <c r="CC31" s="464"/>
      <c r="CF31" s="464"/>
      <c r="CG31" s="464"/>
    </row>
    <row r="32" spans="1:85" x14ac:dyDescent="0.3">
      <c r="A32" s="463" t="s">
        <v>17</v>
      </c>
      <c r="B32" s="464">
        <f>'Master Calculator'!B51</f>
        <v>0</v>
      </c>
      <c r="C32" s="464" t="str">
        <f>MID($B32,COLUMNS($B$13:B$13),1)</f>
        <v>0</v>
      </c>
      <c r="D32" s="464" t="str">
        <f>MID($B32,COLUMNS($B$13:C$13),1)</f>
        <v/>
      </c>
      <c r="E32" s="464" t="str">
        <f>MID($B32,COLUMNS($B$13:D$13),1)</f>
        <v/>
      </c>
      <c r="F32" s="464" t="str">
        <f>MID($B32,COLUMNS($B$13:E$13),1)</f>
        <v/>
      </c>
      <c r="G32" s="464" t="str">
        <f>MID($B32,COLUMNS($B$13:F$13),1)</f>
        <v/>
      </c>
      <c r="H32" s="464" t="str">
        <f>MID($B32,COLUMNS($B$13:G$13),1)</f>
        <v/>
      </c>
      <c r="I32" s="464" t="str">
        <f>MID($B32,COLUMNS($B$13:H$13),1)</f>
        <v/>
      </c>
      <c r="J32" s="464" t="str">
        <f>MID($B32,COLUMNS($B$13:I$13),1)</f>
        <v/>
      </c>
      <c r="K32" s="464" t="str">
        <f>MID($B32,COLUMNS($B$13:J$13),1)</f>
        <v/>
      </c>
      <c r="L32" s="464" t="str">
        <f>MID($B32,COLUMNS($B$13:K$13),1)</f>
        <v/>
      </c>
      <c r="M32" s="464" t="str">
        <f>MID($B32,COLUMNS($B$13:L$13),1)</f>
        <v/>
      </c>
      <c r="N32" s="464" t="str">
        <f>MID($B32,COLUMNS($B$13:M$13),1)</f>
        <v/>
      </c>
      <c r="O32" s="464" t="str">
        <f>MID($B32,COLUMNS($B$13:N$13),1)</f>
        <v/>
      </c>
      <c r="P32" s="464" t="str">
        <f>MID($B32,COLUMNS($B$13:O$13),1)</f>
        <v/>
      </c>
      <c r="Q32" s="464" t="str">
        <f>MID($B32,COLUMNS($B$13:P$13),1)</f>
        <v/>
      </c>
      <c r="R32" s="464" t="str">
        <f>MID($B32,COLUMNS($B$13:Q$13),1)</f>
        <v/>
      </c>
      <c r="S32" s="464" t="str">
        <f>MID($B32,COLUMNS($B$13:R$13),1)</f>
        <v/>
      </c>
      <c r="T32" s="464" t="str">
        <f>MID($B32,COLUMNS($B$13:S$13),1)</f>
        <v/>
      </c>
      <c r="U32" s="464" t="str">
        <f>MID($B32,COLUMNS($B$13:T$13),1)</f>
        <v/>
      </c>
      <c r="V32" s="464" t="str">
        <f>MID($B32,COLUMNS($B$13:U$13),1)</f>
        <v/>
      </c>
      <c r="W32" s="464" t="str">
        <f>MID($B32,COLUMNS($B$13:V$13),1)</f>
        <v/>
      </c>
      <c r="X32" s="464" t="str">
        <f>MID($B32,COLUMNS($B$13:W$13),1)</f>
        <v/>
      </c>
      <c r="Y32" s="464" t="str">
        <f>MID($B32,COLUMNS($B$13:X$13),1)</f>
        <v/>
      </c>
      <c r="Z32" s="464" t="str">
        <f>MID($B32,COLUMNS($B$13:Y$13),1)</f>
        <v/>
      </c>
      <c r="AA32" s="464" t="str">
        <f>MID($B32,COLUMNS($B$13:Z$13),1)</f>
        <v/>
      </c>
      <c r="AB32" s="464" t="str">
        <f>MID($B32,COLUMNS($B$13:AA$13),1)</f>
        <v/>
      </c>
      <c r="AC32" s="464" t="str">
        <f>MID($B32,COLUMNS($B$13:AB$13),1)</f>
        <v/>
      </c>
      <c r="AD32" s="464" t="str">
        <f>MID($B32,COLUMNS($B$13:AC$13),1)</f>
        <v/>
      </c>
      <c r="AE32" s="464" t="str">
        <f>MID($B32,COLUMNS($B$13:AD$13),1)</f>
        <v/>
      </c>
      <c r="AF32" s="464" t="str">
        <f>MID($B32,COLUMNS($B$13:AE$13),1)</f>
        <v/>
      </c>
      <c r="AG32" s="464" t="str">
        <f>MID($B32,COLUMNS($B$13:AF$13),1)</f>
        <v/>
      </c>
      <c r="AH32" s="464" t="str">
        <f>MID($B32,COLUMNS($B$13:AG$13),1)</f>
        <v/>
      </c>
      <c r="AI32" s="464" t="str">
        <f>MID($B32,COLUMNS($B$13:AH$13),1)</f>
        <v/>
      </c>
      <c r="AJ32" s="464" t="str">
        <f>MID($B32,COLUMNS($B$13:AI$13),1)</f>
        <v/>
      </c>
      <c r="AK32" s="464" t="str">
        <f>MID($B32,COLUMNS($B$13:AJ$13),1)</f>
        <v/>
      </c>
      <c r="AL32" s="464" t="str">
        <f>MID($B32,COLUMNS($B$13:AK$13),1)</f>
        <v/>
      </c>
      <c r="AM32" s="464"/>
      <c r="AN32" s="464"/>
      <c r="AP32" s="466"/>
      <c r="AQ32" s="465" t="s">
        <v>4</v>
      </c>
      <c r="AR32" s="464">
        <v>36</v>
      </c>
      <c r="AS32" s="476" t="s">
        <v>20</v>
      </c>
      <c r="BL32" s="464" t="s">
        <v>60</v>
      </c>
      <c r="BM32" s="464">
        <v>4</v>
      </c>
      <c r="BO32" s="464">
        <v>19</v>
      </c>
      <c r="BP32" s="470" t="s">
        <v>67</v>
      </c>
      <c r="BR32" s="464"/>
      <c r="BW32" s="464"/>
      <c r="BZ32" s="464"/>
      <c r="CA32" s="464"/>
      <c r="CB32" s="464"/>
      <c r="CC32" s="464"/>
      <c r="CF32" s="464"/>
      <c r="CG32" s="464"/>
    </row>
    <row r="33" spans="1:85" ht="15" thickBot="1" x14ac:dyDescent="0.35">
      <c r="A33" s="463"/>
      <c r="C33" s="464">
        <f t="shared" ref="C33:AL33" si="37">IFERROR(VLOOKUP(C32,$BL:$BM,2,0),0)</f>
        <v>0</v>
      </c>
      <c r="D33" s="464" t="str">
        <f t="shared" si="37"/>
        <v/>
      </c>
      <c r="E33" s="464" t="str">
        <f t="shared" si="37"/>
        <v/>
      </c>
      <c r="F33" s="464" t="str">
        <f t="shared" si="37"/>
        <v/>
      </c>
      <c r="G33" s="464" t="str">
        <f t="shared" si="37"/>
        <v/>
      </c>
      <c r="H33" s="464" t="str">
        <f t="shared" si="37"/>
        <v/>
      </c>
      <c r="I33" s="464" t="str">
        <f t="shared" si="37"/>
        <v/>
      </c>
      <c r="J33" s="464" t="str">
        <f t="shared" si="37"/>
        <v/>
      </c>
      <c r="K33" s="464" t="str">
        <f t="shared" si="37"/>
        <v/>
      </c>
      <c r="L33" s="464" t="str">
        <f t="shared" si="37"/>
        <v/>
      </c>
      <c r="M33" s="464" t="str">
        <f t="shared" si="37"/>
        <v/>
      </c>
      <c r="N33" s="464" t="str">
        <f t="shared" si="37"/>
        <v/>
      </c>
      <c r="O33" s="464" t="str">
        <f t="shared" si="37"/>
        <v/>
      </c>
      <c r="P33" s="464" t="str">
        <f t="shared" si="37"/>
        <v/>
      </c>
      <c r="Q33" s="464" t="str">
        <f t="shared" si="37"/>
        <v/>
      </c>
      <c r="R33" s="464" t="str">
        <f t="shared" si="37"/>
        <v/>
      </c>
      <c r="S33" s="464" t="str">
        <f t="shared" si="37"/>
        <v/>
      </c>
      <c r="T33" s="464" t="str">
        <f t="shared" si="37"/>
        <v/>
      </c>
      <c r="U33" s="464" t="str">
        <f t="shared" si="37"/>
        <v/>
      </c>
      <c r="V33" s="464" t="str">
        <f t="shared" si="37"/>
        <v/>
      </c>
      <c r="W33" s="464" t="str">
        <f t="shared" si="37"/>
        <v/>
      </c>
      <c r="X33" s="464" t="str">
        <f t="shared" si="37"/>
        <v/>
      </c>
      <c r="Y33" s="464" t="str">
        <f t="shared" si="37"/>
        <v/>
      </c>
      <c r="Z33" s="464" t="str">
        <f t="shared" si="37"/>
        <v/>
      </c>
      <c r="AA33" s="464" t="str">
        <f t="shared" si="37"/>
        <v/>
      </c>
      <c r="AB33" s="464" t="str">
        <f t="shared" si="37"/>
        <v/>
      </c>
      <c r="AC33" s="464" t="str">
        <f t="shared" si="37"/>
        <v/>
      </c>
      <c r="AD33" s="464" t="str">
        <f t="shared" si="37"/>
        <v/>
      </c>
      <c r="AE33" s="464" t="str">
        <f t="shared" si="37"/>
        <v/>
      </c>
      <c r="AF33" s="464" t="str">
        <f t="shared" si="37"/>
        <v/>
      </c>
      <c r="AG33" s="464" t="str">
        <f t="shared" si="37"/>
        <v/>
      </c>
      <c r="AH33" s="464" t="str">
        <f t="shared" si="37"/>
        <v/>
      </c>
      <c r="AI33" s="464" t="str">
        <f t="shared" si="37"/>
        <v/>
      </c>
      <c r="AJ33" s="464" t="str">
        <f t="shared" si="37"/>
        <v/>
      </c>
      <c r="AK33" s="464" t="str">
        <f t="shared" si="37"/>
        <v/>
      </c>
      <c r="AL33" s="464" t="str">
        <f t="shared" si="37"/>
        <v/>
      </c>
      <c r="AM33" s="464">
        <f>SUM(C33:AL33)</f>
        <v>0</v>
      </c>
      <c r="AN33" s="464">
        <f>IF(AM33&lt;10,AM33,((LEFT(AM33,1))+(RIGHT(AM33,1))))</f>
        <v>0</v>
      </c>
      <c r="AO33" s="465" t="s">
        <v>24</v>
      </c>
      <c r="AP33" s="466" t="e">
        <f>IF(AM33&gt;52,VLOOKUP(AN33,BO:BP,2,0),VLOOKUP(AM33,BO:BP,2,0))</f>
        <v>#N/A</v>
      </c>
      <c r="AQ33" s="465">
        <f>AT33</f>
        <v>0</v>
      </c>
      <c r="AR33" s="464">
        <v>37</v>
      </c>
      <c r="AS33" s="476" t="s">
        <v>20</v>
      </c>
      <c r="AT33" s="464">
        <f>(AU33*AU34)+(AV33*AV34)+(AW33*AW34)+(AX33*AX34)+(AY33*AY34)</f>
        <v>0</v>
      </c>
      <c r="AU33" s="469">
        <f>IFERROR((HLOOKUP(BB1,$C$32:$AL$33,2,0)),0)</f>
        <v>0</v>
      </c>
      <c r="AV33" s="469">
        <f t="shared" ref="AV33:AY33" si="38">IFERROR((HLOOKUP(BC1,$C$32:$AL$33,2,0)),0)</f>
        <v>0</v>
      </c>
      <c r="AW33" s="469">
        <f t="shared" si="38"/>
        <v>0</v>
      </c>
      <c r="AX33" s="469">
        <f t="shared" si="38"/>
        <v>0</v>
      </c>
      <c r="AY33" s="469">
        <f t="shared" si="38"/>
        <v>0</v>
      </c>
      <c r="BL33" s="464" t="s">
        <v>51</v>
      </c>
      <c r="BM33" s="464">
        <v>6</v>
      </c>
      <c r="BO33" s="464">
        <v>20</v>
      </c>
      <c r="BP33" s="476" t="s">
        <v>33</v>
      </c>
      <c r="BR33" s="464" t="s">
        <v>28</v>
      </c>
      <c r="BW33" s="636" t="s">
        <v>100</v>
      </c>
      <c r="BX33" s="637"/>
      <c r="BY33" s="638"/>
    </row>
    <row r="34" spans="1:85" x14ac:dyDescent="0.3">
      <c r="A34" s="463" t="s">
        <v>30</v>
      </c>
      <c r="B34" s="464">
        <f>'Master Calculator'!B52</f>
        <v>0</v>
      </c>
      <c r="C34" s="464" t="str">
        <f>MID($B34,COLUMNS($B$15:B$15),1)</f>
        <v>0</v>
      </c>
      <c r="D34" s="464" t="str">
        <f>MID($B34,COLUMNS($B$15:C$15),1)</f>
        <v/>
      </c>
      <c r="E34" s="464" t="str">
        <f>MID($B34,COLUMNS($B$15:D$15),1)</f>
        <v/>
      </c>
      <c r="F34" s="464" t="str">
        <f>MID($B34,COLUMNS($B$15:E$15),1)</f>
        <v/>
      </c>
      <c r="G34" s="464" t="str">
        <f>MID($B34,COLUMNS($B$15:F$15),1)</f>
        <v/>
      </c>
      <c r="H34" s="464" t="str">
        <f>MID($B34,COLUMNS($B$15:G$15),1)</f>
        <v/>
      </c>
      <c r="I34" s="464" t="str">
        <f>MID($B34,COLUMNS($B$15:H$15),1)</f>
        <v/>
      </c>
      <c r="J34" s="464" t="str">
        <f>MID($B34,COLUMNS($B$15:I$15),1)</f>
        <v/>
      </c>
      <c r="K34" s="464" t="str">
        <f>MID($B34,COLUMNS($B$15:J$15),1)</f>
        <v/>
      </c>
      <c r="L34" s="464" t="str">
        <f>MID($B34,COLUMNS($B$15:K$15),1)</f>
        <v/>
      </c>
      <c r="M34" s="464" t="str">
        <f>MID($B34,COLUMNS($B$15:L$15),1)</f>
        <v/>
      </c>
      <c r="N34" s="464" t="str">
        <f>MID($B34,COLUMNS($B$15:M$15),1)</f>
        <v/>
      </c>
      <c r="O34" s="464" t="str">
        <f>MID($B34,COLUMNS($B$15:N$15),1)</f>
        <v/>
      </c>
      <c r="P34" s="464" t="str">
        <f>MID($B34,COLUMNS($B$15:O$15),1)</f>
        <v/>
      </c>
      <c r="Q34" s="464" t="str">
        <f>MID($B34,COLUMNS($B$15:P$15),1)</f>
        <v/>
      </c>
      <c r="R34" s="464" t="str">
        <f>MID($B34,COLUMNS($B$15:Q$15),1)</f>
        <v/>
      </c>
      <c r="S34" s="464" t="str">
        <f>MID($B34,COLUMNS($B$15:R$15),1)</f>
        <v/>
      </c>
      <c r="T34" s="464" t="str">
        <f>MID($B34,COLUMNS($B$15:S$15),1)</f>
        <v/>
      </c>
      <c r="U34" s="464" t="str">
        <f>MID($B34,COLUMNS($B$15:T$15),1)</f>
        <v/>
      </c>
      <c r="V34" s="464" t="str">
        <f>MID($B34,COLUMNS($B$15:U$15),1)</f>
        <v/>
      </c>
      <c r="W34" s="464" t="str">
        <f>MID($B34,COLUMNS($B$15:V$15),1)</f>
        <v/>
      </c>
      <c r="X34" s="464" t="str">
        <f>MID($B34,COLUMNS($B$15:W$15),1)</f>
        <v/>
      </c>
      <c r="Y34" s="464" t="str">
        <f>MID($B34,COLUMNS($B$15:X$15),1)</f>
        <v/>
      </c>
      <c r="Z34" s="464" t="str">
        <f>MID($B34,COLUMNS($B$15:Y$15),1)</f>
        <v/>
      </c>
      <c r="AA34" s="464" t="str">
        <f>MID($B34,COLUMNS($B$15:Z$15),1)</f>
        <v/>
      </c>
      <c r="AB34" s="464" t="str">
        <f>MID($B34,COLUMNS($B$15:AA$15),1)</f>
        <v/>
      </c>
      <c r="AC34" s="464" t="str">
        <f>MID($B34,COLUMNS($B$15:AB$15),1)</f>
        <v/>
      </c>
      <c r="AD34" s="464" t="str">
        <f>MID($B34,COLUMNS($B$15:AC$15),1)</f>
        <v/>
      </c>
      <c r="AE34" s="464" t="str">
        <f>MID($B34,COLUMNS($B$15:AD$15),1)</f>
        <v/>
      </c>
      <c r="AF34" s="464" t="str">
        <f>MID($B34,COLUMNS($B$15:AE$15),1)</f>
        <v/>
      </c>
      <c r="AG34" s="464" t="str">
        <f>MID($B34,COLUMNS($B$15:AF$15),1)</f>
        <v/>
      </c>
      <c r="AH34" s="464" t="str">
        <f>MID($B34,COLUMNS($B$15:AG$15),1)</f>
        <v/>
      </c>
      <c r="AI34" s="464" t="str">
        <f>MID($B34,COLUMNS($B$15:AH$15),1)</f>
        <v/>
      </c>
      <c r="AJ34" s="464" t="str">
        <f>MID($B34,COLUMNS($B$15:AI$15),1)</f>
        <v/>
      </c>
      <c r="AK34" s="464" t="str">
        <f>MID($B34,COLUMNS($B$15:AJ$15),1)</f>
        <v/>
      </c>
      <c r="AL34" s="464" t="str">
        <f>MID($B34,COLUMNS($B$15:AK$15),1)</f>
        <v/>
      </c>
      <c r="AM34" s="464"/>
      <c r="AN34" s="464"/>
      <c r="AP34" s="466"/>
      <c r="AR34" s="464">
        <v>38</v>
      </c>
      <c r="AS34" s="470" t="s">
        <v>64</v>
      </c>
      <c r="AT34" s="464"/>
      <c r="AU34" s="470">
        <f>COUNTIFS($C$32:$AL$32,BB1)</f>
        <v>0</v>
      </c>
      <c r="AV34" s="470">
        <f t="shared" ref="AV34:AY34" si="39">COUNTIFS($C$32:$AL$32,BC1)</f>
        <v>0</v>
      </c>
      <c r="AW34" s="470">
        <f t="shared" si="39"/>
        <v>0</v>
      </c>
      <c r="AX34" s="470">
        <f t="shared" si="39"/>
        <v>0</v>
      </c>
      <c r="AY34" s="470">
        <f t="shared" si="39"/>
        <v>0</v>
      </c>
      <c r="BL34" s="464" t="s">
        <v>56</v>
      </c>
      <c r="BM34" s="464">
        <v>6</v>
      </c>
      <c r="BO34" s="464">
        <v>21</v>
      </c>
      <c r="BP34" s="470" t="s">
        <v>67</v>
      </c>
      <c r="BR34" s="464"/>
      <c r="BT34" s="499" t="s">
        <v>191</v>
      </c>
      <c r="BU34" s="478"/>
      <c r="BV34" s="500"/>
      <c r="BW34" s="522" t="s">
        <v>12</v>
      </c>
      <c r="BX34" s="522" t="s">
        <v>13</v>
      </c>
      <c r="BY34" s="523"/>
    </row>
    <row r="35" spans="1:85" x14ac:dyDescent="0.3">
      <c r="A35" s="463"/>
      <c r="C35" s="464">
        <f t="shared" ref="C35:AL35" si="40">IFERROR(VLOOKUP(C34,$BL:$BM,2,0),0)</f>
        <v>0</v>
      </c>
      <c r="D35" s="464" t="str">
        <f t="shared" si="40"/>
        <v/>
      </c>
      <c r="E35" s="464" t="str">
        <f t="shared" si="40"/>
        <v/>
      </c>
      <c r="F35" s="464" t="str">
        <f t="shared" si="40"/>
        <v/>
      </c>
      <c r="G35" s="464" t="str">
        <f t="shared" si="40"/>
        <v/>
      </c>
      <c r="H35" s="464" t="str">
        <f t="shared" si="40"/>
        <v/>
      </c>
      <c r="I35" s="464" t="str">
        <f t="shared" si="40"/>
        <v/>
      </c>
      <c r="J35" s="464" t="str">
        <f t="shared" si="40"/>
        <v/>
      </c>
      <c r="K35" s="464" t="str">
        <f t="shared" si="40"/>
        <v/>
      </c>
      <c r="L35" s="464" t="str">
        <f t="shared" si="40"/>
        <v/>
      </c>
      <c r="M35" s="464" t="str">
        <f t="shared" si="40"/>
        <v/>
      </c>
      <c r="N35" s="464" t="str">
        <f t="shared" si="40"/>
        <v/>
      </c>
      <c r="O35" s="464" t="str">
        <f t="shared" si="40"/>
        <v/>
      </c>
      <c r="P35" s="464" t="str">
        <f t="shared" si="40"/>
        <v/>
      </c>
      <c r="Q35" s="464" t="str">
        <f t="shared" si="40"/>
        <v/>
      </c>
      <c r="R35" s="464" t="str">
        <f t="shared" si="40"/>
        <v/>
      </c>
      <c r="S35" s="464" t="str">
        <f t="shared" si="40"/>
        <v/>
      </c>
      <c r="T35" s="464" t="str">
        <f t="shared" si="40"/>
        <v/>
      </c>
      <c r="U35" s="464" t="str">
        <f t="shared" si="40"/>
        <v/>
      </c>
      <c r="V35" s="464" t="str">
        <f t="shared" si="40"/>
        <v/>
      </c>
      <c r="W35" s="464" t="str">
        <f t="shared" si="40"/>
        <v/>
      </c>
      <c r="X35" s="464" t="str">
        <f t="shared" si="40"/>
        <v/>
      </c>
      <c r="Y35" s="464" t="str">
        <f t="shared" si="40"/>
        <v/>
      </c>
      <c r="Z35" s="464" t="str">
        <f t="shared" si="40"/>
        <v/>
      </c>
      <c r="AA35" s="464" t="str">
        <f t="shared" si="40"/>
        <v/>
      </c>
      <c r="AB35" s="464" t="str">
        <f t="shared" si="40"/>
        <v/>
      </c>
      <c r="AC35" s="464" t="str">
        <f t="shared" si="40"/>
        <v/>
      </c>
      <c r="AD35" s="464" t="str">
        <f t="shared" si="40"/>
        <v/>
      </c>
      <c r="AE35" s="464" t="str">
        <f t="shared" si="40"/>
        <v/>
      </c>
      <c r="AF35" s="464" t="str">
        <f t="shared" si="40"/>
        <v/>
      </c>
      <c r="AG35" s="464" t="str">
        <f t="shared" si="40"/>
        <v/>
      </c>
      <c r="AH35" s="464" t="str">
        <f t="shared" si="40"/>
        <v/>
      </c>
      <c r="AI35" s="464" t="str">
        <f t="shared" si="40"/>
        <v/>
      </c>
      <c r="AJ35" s="464" t="str">
        <f t="shared" si="40"/>
        <v/>
      </c>
      <c r="AK35" s="464" t="str">
        <f t="shared" si="40"/>
        <v/>
      </c>
      <c r="AL35" s="464" t="str">
        <f t="shared" si="40"/>
        <v/>
      </c>
      <c r="AM35" s="464">
        <f>SUM(C35:AL35)</f>
        <v>0</v>
      </c>
      <c r="AN35" s="464">
        <f>IF(AM35&lt;10,AM35,((LEFT(AM35,1))+(RIGHT(AM35,1))))</f>
        <v>0</v>
      </c>
      <c r="AP35" s="466"/>
      <c r="AQ35" s="465">
        <f>AT36</f>
        <v>0</v>
      </c>
      <c r="AR35" s="464">
        <v>39</v>
      </c>
      <c r="AS35" s="470" t="s">
        <v>64</v>
      </c>
      <c r="AT35" s="464"/>
      <c r="AU35" s="470"/>
      <c r="AV35" s="470"/>
      <c r="AW35" s="470"/>
      <c r="AX35" s="470"/>
      <c r="AY35" s="470"/>
      <c r="BL35" s="464" t="s">
        <v>62</v>
      </c>
      <c r="BM35" s="464">
        <v>6</v>
      </c>
      <c r="BO35" s="464">
        <v>22</v>
      </c>
      <c r="BP35" s="470" t="s">
        <v>23</v>
      </c>
      <c r="BR35" s="464"/>
      <c r="BT35" s="480" t="s">
        <v>18</v>
      </c>
      <c r="BU35" s="464">
        <f>'Master Calculator'!K31</f>
        <v>0</v>
      </c>
      <c r="BV35" s="501">
        <f>'Master Calculator'!L31</f>
        <v>2</v>
      </c>
      <c r="BW35" s="471" t="str">
        <f>IF(AY10&lt;=35,"Active",0)</f>
        <v>Active</v>
      </c>
      <c r="BX35" s="522">
        <f>IF(AY10&gt;35,"Active",0)</f>
        <v>0</v>
      </c>
      <c r="BY35" s="481"/>
    </row>
    <row r="36" spans="1:85" x14ac:dyDescent="0.3">
      <c r="A36" s="463" t="s">
        <v>37</v>
      </c>
      <c r="B36" s="464">
        <f>'Master Calculator'!B53</f>
        <v>0</v>
      </c>
      <c r="C36" s="464" t="str">
        <f>MID($B36,COLUMNS($B$15:B$15),1)</f>
        <v>0</v>
      </c>
      <c r="D36" s="464" t="str">
        <f>MID($B36,COLUMNS($B$15:C$15),1)</f>
        <v/>
      </c>
      <c r="E36" s="464" t="str">
        <f>MID($B36,COLUMNS($B$15:D$15),1)</f>
        <v/>
      </c>
      <c r="F36" s="464" t="str">
        <f>MID($B36,COLUMNS($B$15:E$15),1)</f>
        <v/>
      </c>
      <c r="G36" s="464" t="str">
        <f>MID($B36,COLUMNS($B$15:F$15),1)</f>
        <v/>
      </c>
      <c r="H36" s="464" t="str">
        <f>MID($B36,COLUMNS($B$15:G$15),1)</f>
        <v/>
      </c>
      <c r="I36" s="464" t="str">
        <f>MID($B36,COLUMNS($B$15:H$15),1)</f>
        <v/>
      </c>
      <c r="J36" s="464" t="str">
        <f>MID($B36,COLUMNS($B$15:I$15),1)</f>
        <v/>
      </c>
      <c r="K36" s="464" t="str">
        <f>MID($B36,COLUMNS($B$15:J$15),1)</f>
        <v/>
      </c>
      <c r="L36" s="464" t="str">
        <f>MID($B36,COLUMNS($B$15:K$15),1)</f>
        <v/>
      </c>
      <c r="M36" s="464" t="str">
        <f>MID($B36,COLUMNS($B$15:L$15),1)</f>
        <v/>
      </c>
      <c r="N36" s="464" t="str">
        <f>MID($B36,COLUMNS($B$15:M$15),1)</f>
        <v/>
      </c>
      <c r="O36" s="464" t="str">
        <f>MID($B36,COLUMNS($B$15:N$15),1)</f>
        <v/>
      </c>
      <c r="P36" s="464" t="str">
        <f>MID($B36,COLUMNS($B$15:O$15),1)</f>
        <v/>
      </c>
      <c r="Q36" s="464" t="str">
        <f>MID($B36,COLUMNS($B$15:P$15),1)</f>
        <v/>
      </c>
      <c r="R36" s="464" t="str">
        <f>MID($B36,COLUMNS($B$15:Q$15),1)</f>
        <v/>
      </c>
      <c r="S36" s="464" t="str">
        <f>MID($B36,COLUMNS($B$15:R$15),1)</f>
        <v/>
      </c>
      <c r="T36" s="464" t="str">
        <f>MID($B36,COLUMNS($B$15:S$15),1)</f>
        <v/>
      </c>
      <c r="U36" s="464" t="str">
        <f>MID($B36,COLUMNS($B$15:T$15),1)</f>
        <v/>
      </c>
      <c r="V36" s="464" t="str">
        <f>MID($B36,COLUMNS($B$15:U$15),1)</f>
        <v/>
      </c>
      <c r="W36" s="464" t="str">
        <f>MID($B36,COLUMNS($B$15:V$15),1)</f>
        <v/>
      </c>
      <c r="X36" s="464" t="str">
        <f>MID($B36,COLUMNS($B$15:W$15),1)</f>
        <v/>
      </c>
      <c r="Y36" s="464" t="str">
        <f>MID($B36,COLUMNS($B$15:X$15),1)</f>
        <v/>
      </c>
      <c r="Z36" s="464" t="str">
        <f>MID($B36,COLUMNS($B$15:Y$15),1)</f>
        <v/>
      </c>
      <c r="AA36" s="464" t="str">
        <f>MID($B36,COLUMNS($B$15:Z$15),1)</f>
        <v/>
      </c>
      <c r="AB36" s="464" t="str">
        <f>MID($B36,COLUMNS($B$15:AA$15),1)</f>
        <v/>
      </c>
      <c r="AC36" s="464" t="str">
        <f>MID($B36,COLUMNS($B$15:AB$15),1)</f>
        <v/>
      </c>
      <c r="AD36" s="464" t="str">
        <f>MID($B36,COLUMNS($B$15:AC$15),1)</f>
        <v/>
      </c>
      <c r="AE36" s="464" t="str">
        <f>MID($B36,COLUMNS($B$15:AD$15),1)</f>
        <v/>
      </c>
      <c r="AF36" s="464" t="str">
        <f>MID($B36,COLUMNS($B$15:AE$15),1)</f>
        <v/>
      </c>
      <c r="AG36" s="464" t="str">
        <f>MID($B36,COLUMNS($B$15:AF$15),1)</f>
        <v/>
      </c>
      <c r="AH36" s="464" t="str">
        <f>MID($B36,COLUMNS($B$15:AG$15),1)</f>
        <v/>
      </c>
      <c r="AI36" s="464" t="str">
        <f>MID($B36,COLUMNS($B$15:AH$15),1)</f>
        <v/>
      </c>
      <c r="AJ36" s="464" t="str">
        <f>MID($B36,COLUMNS($B$15:AI$15),1)</f>
        <v/>
      </c>
      <c r="AK36" s="464" t="str">
        <f>MID($B36,COLUMNS($B$15:AJ$15),1)</f>
        <v/>
      </c>
      <c r="AL36" s="464" t="str">
        <f>MID($B36,COLUMNS($B$15:AK$15),1)</f>
        <v/>
      </c>
      <c r="AM36" s="464"/>
      <c r="AN36" s="464"/>
      <c r="AP36" s="466"/>
      <c r="AR36" s="464">
        <v>41</v>
      </c>
      <c r="AS36" s="476" t="s">
        <v>20</v>
      </c>
      <c r="AT36" s="464">
        <f>(AU36*AU37)+(AV36*AV37)+(AW36*AW37)+(AX36*AX37)+(AY36*AY37)</f>
        <v>0</v>
      </c>
      <c r="AU36" s="469">
        <f>IFERROR((HLOOKUP(BB1,$C$34:$AL$35,2,0)),0)</f>
        <v>0</v>
      </c>
      <c r="AV36" s="469">
        <f t="shared" ref="AV36:AY36" si="41">IFERROR((HLOOKUP(BC1,$C$34:$AL$35,2,0)),0)</f>
        <v>0</v>
      </c>
      <c r="AW36" s="469">
        <f t="shared" si="41"/>
        <v>0</v>
      </c>
      <c r="AX36" s="469">
        <f t="shared" si="41"/>
        <v>0</v>
      </c>
      <c r="AY36" s="469">
        <f t="shared" si="41"/>
        <v>0</v>
      </c>
      <c r="BL36" s="464" t="s">
        <v>23</v>
      </c>
      <c r="BM36" s="464">
        <v>5</v>
      </c>
      <c r="BO36" s="464">
        <v>23</v>
      </c>
      <c r="BP36" s="470" t="s">
        <v>67</v>
      </c>
      <c r="BR36" s="465" t="s">
        <v>34</v>
      </c>
      <c r="BT36" s="480" t="s">
        <v>25</v>
      </c>
      <c r="BU36" s="464">
        <f>'Master Calculator'!K32</f>
        <v>0</v>
      </c>
      <c r="BV36" s="501">
        <f ca="1">'Master Calculator'!L32</f>
        <v>2</v>
      </c>
      <c r="BW36" s="464"/>
      <c r="BX36" s="464"/>
      <c r="BY36" s="481"/>
    </row>
    <row r="37" spans="1:85" ht="15" thickBot="1" x14ac:dyDescent="0.35">
      <c r="A37" s="463"/>
      <c r="C37" s="464">
        <f t="shared" ref="C37:AL37" si="42">IFERROR(VLOOKUP(C36,$BL:$BM,2,0),0)</f>
        <v>0</v>
      </c>
      <c r="D37" s="464" t="str">
        <f t="shared" si="42"/>
        <v/>
      </c>
      <c r="E37" s="464" t="str">
        <f t="shared" si="42"/>
        <v/>
      </c>
      <c r="F37" s="464" t="str">
        <f t="shared" si="42"/>
        <v/>
      </c>
      <c r="G37" s="464" t="str">
        <f t="shared" si="42"/>
        <v/>
      </c>
      <c r="H37" s="464" t="str">
        <f t="shared" si="42"/>
        <v/>
      </c>
      <c r="I37" s="464" t="str">
        <f t="shared" si="42"/>
        <v/>
      </c>
      <c r="J37" s="464" t="str">
        <f t="shared" si="42"/>
        <v/>
      </c>
      <c r="K37" s="464" t="str">
        <f t="shared" si="42"/>
        <v/>
      </c>
      <c r="L37" s="464" t="str">
        <f t="shared" si="42"/>
        <v/>
      </c>
      <c r="M37" s="464" t="str">
        <f t="shared" si="42"/>
        <v/>
      </c>
      <c r="N37" s="464" t="str">
        <f t="shared" si="42"/>
        <v/>
      </c>
      <c r="O37" s="464" t="str">
        <f t="shared" si="42"/>
        <v/>
      </c>
      <c r="P37" s="464" t="str">
        <f t="shared" si="42"/>
        <v/>
      </c>
      <c r="Q37" s="464" t="str">
        <f t="shared" si="42"/>
        <v/>
      </c>
      <c r="R37" s="464" t="str">
        <f t="shared" si="42"/>
        <v/>
      </c>
      <c r="S37" s="464" t="str">
        <f t="shared" si="42"/>
        <v/>
      </c>
      <c r="T37" s="464" t="str">
        <f t="shared" si="42"/>
        <v/>
      </c>
      <c r="U37" s="464" t="str">
        <f t="shared" si="42"/>
        <v/>
      </c>
      <c r="V37" s="464" t="str">
        <f t="shared" si="42"/>
        <v/>
      </c>
      <c r="W37" s="464" t="str">
        <f t="shared" si="42"/>
        <v/>
      </c>
      <c r="X37" s="464" t="str">
        <f t="shared" si="42"/>
        <v/>
      </c>
      <c r="Y37" s="464" t="str">
        <f t="shared" si="42"/>
        <v/>
      </c>
      <c r="Z37" s="464" t="str">
        <f t="shared" si="42"/>
        <v/>
      </c>
      <c r="AA37" s="464" t="str">
        <f t="shared" si="42"/>
        <v/>
      </c>
      <c r="AB37" s="464" t="str">
        <f t="shared" si="42"/>
        <v/>
      </c>
      <c r="AC37" s="464" t="str">
        <f t="shared" si="42"/>
        <v/>
      </c>
      <c r="AD37" s="464" t="str">
        <f t="shared" si="42"/>
        <v/>
      </c>
      <c r="AE37" s="464" t="str">
        <f t="shared" si="42"/>
        <v/>
      </c>
      <c r="AF37" s="464" t="str">
        <f t="shared" si="42"/>
        <v/>
      </c>
      <c r="AG37" s="464" t="str">
        <f t="shared" si="42"/>
        <v/>
      </c>
      <c r="AH37" s="464" t="str">
        <f t="shared" si="42"/>
        <v/>
      </c>
      <c r="AI37" s="464" t="str">
        <f t="shared" si="42"/>
        <v/>
      </c>
      <c r="AJ37" s="464" t="str">
        <f t="shared" si="42"/>
        <v/>
      </c>
      <c r="AK37" s="464" t="str">
        <f t="shared" si="42"/>
        <v/>
      </c>
      <c r="AL37" s="464" t="str">
        <f t="shared" si="42"/>
        <v/>
      </c>
      <c r="AM37" s="464">
        <f>SUM(C37:AL37)</f>
        <v>0</v>
      </c>
      <c r="AN37" s="464">
        <f>IF(AM37&lt;10,AM37,((LEFT(AM37,1))+(RIGHT(AM37,1))))</f>
        <v>0</v>
      </c>
      <c r="AP37" s="466"/>
      <c r="AR37" s="464">
        <v>42</v>
      </c>
      <c r="AS37" s="476" t="s">
        <v>20</v>
      </c>
      <c r="AT37" s="464"/>
      <c r="AU37" s="470">
        <f>COUNTIFS($C$34:$AL$34,BB1)</f>
        <v>0</v>
      </c>
      <c r="AV37" s="470">
        <f t="shared" ref="AV37:AY37" si="43">COUNTIFS($C$34:$AL$34,BC1)</f>
        <v>0</v>
      </c>
      <c r="AW37" s="470">
        <f t="shared" si="43"/>
        <v>0</v>
      </c>
      <c r="AX37" s="470">
        <f t="shared" si="43"/>
        <v>0</v>
      </c>
      <c r="AY37" s="470">
        <f t="shared" si="43"/>
        <v>0</v>
      </c>
      <c r="BL37" s="464" t="s">
        <v>48</v>
      </c>
      <c r="BM37" s="464">
        <v>1</v>
      </c>
      <c r="BO37" s="464">
        <v>24</v>
      </c>
      <c r="BP37" s="470" t="s">
        <v>67</v>
      </c>
      <c r="BT37" s="480" t="s">
        <v>24</v>
      </c>
      <c r="BU37" s="464">
        <f>'Master Calculator'!K33</f>
        <v>24</v>
      </c>
      <c r="BV37" s="522">
        <f>'Master Calculator'!L33</f>
        <v>6</v>
      </c>
      <c r="BW37" s="471" t="str">
        <f>INDEX(BB$14:BJ$22,MATCH(IF(LEN(BV$35)&gt;1,LEFT(BV$35,1)+RIGHT(BV$35,1),BV$35),BA$14:BA$22,0),MATCH(IF(LEN(BV37)&gt;1,LEFT(BV37,1)+RIGHT(BV37,1),BV37),BB$13:BJ$13,0))</f>
        <v>G</v>
      </c>
      <c r="BX37" s="471" t="str">
        <f>INDEX(BB$14:BJ$22,MATCH(IF(LEN(BV$35)&gt;1,LEFT(BV$35,1)+RIGHT(BV$35,1),BV$35),BA$14:BA$22,0),MATCH(IF(LEN(BV37)&gt;1,LEFT(BV37,1)+RIGHT(BV37,1),BV37),BB$13:BJ$13,0))</f>
        <v>G</v>
      </c>
      <c r="BY37" s="482"/>
    </row>
    <row r="38" spans="1:85" x14ac:dyDescent="0.3">
      <c r="J38" s="473"/>
      <c r="K38" s="474"/>
      <c r="L38" s="473"/>
      <c r="M38" s="474"/>
      <c r="U38" s="474"/>
      <c r="AE38" s="474"/>
      <c r="AM38" s="465">
        <f>AM37+AM35+AM33</f>
        <v>0</v>
      </c>
      <c r="AN38" s="464">
        <f>AN33+AN35+AN37</f>
        <v>0</v>
      </c>
      <c r="AO38" s="465" t="s">
        <v>31</v>
      </c>
      <c r="AP38" s="466" t="e">
        <f>IF(AM38&gt;52,VLOOKUP(AN38,BO:BP,2,0),VLOOKUP(AM38,BO:BP,2,0))</f>
        <v>#N/A</v>
      </c>
      <c r="AQ38" s="465">
        <f>AT39</f>
        <v>0</v>
      </c>
      <c r="AR38" s="464">
        <v>43</v>
      </c>
      <c r="AS38" s="476" t="s">
        <v>20</v>
      </c>
      <c r="BL38" s="464" t="s">
        <v>57</v>
      </c>
      <c r="BM38" s="464">
        <v>7</v>
      </c>
      <c r="BO38" s="464">
        <v>25</v>
      </c>
      <c r="BP38" s="476" t="s">
        <v>33</v>
      </c>
      <c r="BT38" s="480" t="s">
        <v>31</v>
      </c>
      <c r="BU38" s="464">
        <f>'Master Calculator'!K34</f>
        <v>24</v>
      </c>
      <c r="BV38" s="522">
        <f>'Master Calculator'!L34</f>
        <v>6</v>
      </c>
      <c r="BW38" s="471" t="str">
        <f t="shared" ref="BW38:BW40" si="44">INDEX(BB$14:BJ$22,MATCH(IF(LEN(BV$35)&gt;1,LEFT(BV$35,1)+RIGHT(BV$35,1),BV$35),BA$14:BA$22,0),MATCH(IF(LEN(BV38)&gt;1,LEFT(BV38,1)+RIGHT(BV38,1),BV38),BB$13:BJ$13,0))</f>
        <v>G</v>
      </c>
      <c r="BX38" s="471" t="str">
        <f t="shared" ref="BX38:BX40" si="45">INDEX(BB$14:BJ$22,MATCH(IF(LEN(BV$35)&gt;1,LEFT(BV$35,1)+RIGHT(BV$35,1),BV$35),BA$14:BA$22,0),MATCH(IF(LEN(BV38)&gt;1,LEFT(BV38,1)+RIGHT(BV38,1),BV38),BB$13:BJ$13,0))</f>
        <v>G</v>
      </c>
      <c r="BY38" s="482"/>
    </row>
    <row r="39" spans="1:85" ht="15" thickBot="1" x14ac:dyDescent="0.35">
      <c r="AQ39" s="465">
        <f>SUM(AQ33:AQ38)</f>
        <v>0</v>
      </c>
      <c r="AR39" s="464">
        <v>45</v>
      </c>
      <c r="AS39" s="470" t="s">
        <v>64</v>
      </c>
      <c r="AT39" s="464">
        <f>(AU39*AU40)+(AV39*AV40)+(AW39*AW40)+(AX39*AX40)+(AY39*AY40)</f>
        <v>0</v>
      </c>
      <c r="AU39" s="469">
        <f>IFERROR((HLOOKUP(BB1,$C$36:$AL$37,2,0)),0)</f>
        <v>0</v>
      </c>
      <c r="AV39" s="469">
        <f t="shared" ref="AV39:AY39" si="46">IFERROR((HLOOKUP(BC1,$C$36:$AL$37,2,0)),0)</f>
        <v>0</v>
      </c>
      <c r="AW39" s="469">
        <f t="shared" si="46"/>
        <v>0</v>
      </c>
      <c r="AX39" s="469">
        <f t="shared" si="46"/>
        <v>0</v>
      </c>
      <c r="AY39" s="469">
        <f t="shared" si="46"/>
        <v>0</v>
      </c>
      <c r="BL39" s="502" t="s">
        <v>173</v>
      </c>
      <c r="BM39" s="464">
        <v>1</v>
      </c>
      <c r="BO39" s="464">
        <v>26</v>
      </c>
      <c r="BP39" s="470" t="s">
        <v>23</v>
      </c>
      <c r="BR39" s="464" t="s">
        <v>44</v>
      </c>
      <c r="BT39" s="480" t="s">
        <v>32</v>
      </c>
      <c r="BU39" s="464">
        <f>'Master Calculator'!K35</f>
        <v>7</v>
      </c>
      <c r="BV39" s="522">
        <f>'Master Calculator'!L35</f>
        <v>7</v>
      </c>
      <c r="BW39" s="471" t="str">
        <f t="shared" si="44"/>
        <v>VG</v>
      </c>
      <c r="BX39" s="471" t="str">
        <f t="shared" si="45"/>
        <v>VG</v>
      </c>
      <c r="BY39" s="482"/>
    </row>
    <row r="40" spans="1:85" ht="15" thickBot="1" x14ac:dyDescent="0.35">
      <c r="AR40" s="464">
        <v>46</v>
      </c>
      <c r="AS40" s="470" t="s">
        <v>64</v>
      </c>
      <c r="AT40" s="464"/>
      <c r="AU40" s="470">
        <f>COUNTIFS($C$36:$AL$36,BB1)</f>
        <v>0</v>
      </c>
      <c r="AV40" s="470">
        <f t="shared" ref="AV40:AY40" si="47">COUNTIFS($C$36:$AL$36,BC1)</f>
        <v>0</v>
      </c>
      <c r="AW40" s="470">
        <f t="shared" si="47"/>
        <v>0</v>
      </c>
      <c r="AX40" s="470">
        <f t="shared" si="47"/>
        <v>0</v>
      </c>
      <c r="AY40" s="470">
        <f t="shared" si="47"/>
        <v>0</v>
      </c>
      <c r="BL40" s="502" t="s">
        <v>174</v>
      </c>
      <c r="BM40" s="464">
        <v>2</v>
      </c>
      <c r="BO40" s="464">
        <v>27</v>
      </c>
      <c r="BP40" s="476" t="s">
        <v>33</v>
      </c>
      <c r="BR40" s="464"/>
      <c r="BT40" s="484" t="s">
        <v>35</v>
      </c>
      <c r="BU40" s="485">
        <f>'Master Calculator'!K36</f>
        <v>17</v>
      </c>
      <c r="BV40" s="522">
        <f>'Master Calculator'!L36</f>
        <v>8</v>
      </c>
      <c r="BW40" s="471" t="str">
        <f t="shared" si="44"/>
        <v>A</v>
      </c>
      <c r="BX40" s="471" t="str">
        <f t="shared" si="45"/>
        <v>A</v>
      </c>
      <c r="BY40" s="503"/>
      <c r="BZ40" s="639" t="s">
        <v>36</v>
      </c>
      <c r="CA40" s="640"/>
      <c r="CB40" s="640"/>
      <c r="CC40" s="640"/>
      <c r="CD40" s="640"/>
      <c r="CE40" s="640"/>
      <c r="CF40" s="640"/>
      <c r="CG40" s="641"/>
    </row>
    <row r="41" spans="1:85" ht="15" thickBot="1" x14ac:dyDescent="0.35">
      <c r="AR41" s="464">
        <v>47</v>
      </c>
      <c r="AS41" s="470" t="s">
        <v>64</v>
      </c>
      <c r="BL41" s="502" t="s">
        <v>175</v>
      </c>
      <c r="BM41" s="464">
        <v>3</v>
      </c>
      <c r="BO41" s="464">
        <v>28</v>
      </c>
      <c r="BP41" s="470" t="s">
        <v>23</v>
      </c>
      <c r="BW41" s="521" t="s">
        <v>38</v>
      </c>
      <c r="BX41" s="504"/>
      <c r="BZ41" s="488" t="s">
        <v>24</v>
      </c>
      <c r="CA41" s="489" t="s">
        <v>112</v>
      </c>
      <c r="CB41" s="489" t="s">
        <v>39</v>
      </c>
      <c r="CC41" s="490" t="s">
        <v>40</v>
      </c>
      <c r="CD41" s="465" t="s">
        <v>61</v>
      </c>
      <c r="CE41" s="465" t="s">
        <v>27</v>
      </c>
      <c r="CF41" s="505" t="s">
        <v>136</v>
      </c>
      <c r="CG41" s="506" t="s">
        <v>137</v>
      </c>
    </row>
    <row r="42" spans="1:85" x14ac:dyDescent="0.3">
      <c r="AR42" s="464">
        <v>50</v>
      </c>
      <c r="AS42" s="470" t="s">
        <v>64</v>
      </c>
      <c r="BL42" s="502" t="s">
        <v>176</v>
      </c>
      <c r="BM42" s="464">
        <v>4</v>
      </c>
      <c r="BO42" s="464">
        <v>29</v>
      </c>
      <c r="BP42" s="470" t="s">
        <v>23</v>
      </c>
      <c r="BT42" s="524" t="s">
        <v>42</v>
      </c>
      <c r="BU42" s="525">
        <f>AX36+AX40</f>
        <v>0</v>
      </c>
      <c r="BV42" s="526">
        <f>IF(LEN(BU42)&gt;1,LEFT(BU42,1)+RIGHT(BU42,1),BU42)</f>
        <v>0</v>
      </c>
      <c r="BW42" s="464">
        <v>1</v>
      </c>
      <c r="BX42" s="481">
        <f>COUNTIF(C$13:AL$13,BW42)+COUNTIF(C$15:AL$15,BW42)+COUNTIF(C$17:AL$17,BW42)</f>
        <v>2</v>
      </c>
      <c r="BZ42" s="471">
        <f>IFERROR(HLOOKUP(BW42,$C$13:$AL$13,1,0),0)</f>
        <v>1</v>
      </c>
      <c r="CA42" s="464">
        <f>IFERROR(HLOOKUP(BW42,$C$15:$AL$15,1,0),0)</f>
        <v>0</v>
      </c>
      <c r="CB42" s="464">
        <f>IFERROR(HLOOKUP(BW42,$C$17:$AL$17,1,0),0)</f>
        <v>0</v>
      </c>
      <c r="CC42" s="481">
        <f ca="1">IFERROR(VLOOKUP(BW42,$BV$35:$BV$40,1,0),0)</f>
        <v>0</v>
      </c>
      <c r="CD42" s="465">
        <f>IF(SUM(BZ42:CB42)&gt;=BW42,BW42,0)</f>
        <v>1</v>
      </c>
      <c r="CE42" s="465">
        <f ca="1">IF(CC42=BW42,BW42,0)</f>
        <v>0</v>
      </c>
      <c r="CF42" s="493">
        <f ca="1">IF(SUM(CD42:CE42)&lt;=0,BW42,0)</f>
        <v>0</v>
      </c>
      <c r="CG42" s="481">
        <f>IF(CD42=BW42,0,CE42)</f>
        <v>0</v>
      </c>
    </row>
    <row r="43" spans="1:85" x14ac:dyDescent="0.3">
      <c r="AR43" s="464">
        <v>51</v>
      </c>
      <c r="AS43" s="470" t="s">
        <v>64</v>
      </c>
      <c r="BL43" s="502" t="s">
        <v>177</v>
      </c>
      <c r="BM43" s="464">
        <v>5</v>
      </c>
      <c r="BO43" s="464">
        <v>30</v>
      </c>
      <c r="BP43" s="470" t="s">
        <v>67</v>
      </c>
      <c r="BT43" s="521" t="s">
        <v>45</v>
      </c>
      <c r="BU43" s="522">
        <f ca="1">BV36+BV38</f>
        <v>8</v>
      </c>
      <c r="BV43" s="523">
        <f ca="1">IF(LEN(BU43)&gt;1,LEFT(BU43,1)+RIGHT(BU43,1),BU43)</f>
        <v>8</v>
      </c>
      <c r="BW43" s="464">
        <v>2</v>
      </c>
      <c r="BX43" s="481">
        <f t="shared" ref="BX43:BX49" si="48">COUNTIF(C$13:AL$13,BW43)+COUNTIF(C$15:AL$15,BW43)+COUNTIF(C$17:AL$17,BW43)</f>
        <v>1</v>
      </c>
      <c r="BZ43" s="471">
        <f t="shared" ref="BZ43:BZ50" si="49">IFERROR(HLOOKUP(BW43,$C$13:$AL$13,1,0),0)</f>
        <v>2</v>
      </c>
      <c r="CA43" s="464">
        <f t="shared" ref="CA43:CA50" si="50">IFERROR(HLOOKUP(BW43,$C$15:$AL$15,1,0),0)</f>
        <v>0</v>
      </c>
      <c r="CB43" s="464">
        <f t="shared" ref="CB43:CB50" si="51">IFERROR(HLOOKUP(BW43,$C$17:$AL$17,1,0),0)</f>
        <v>0</v>
      </c>
      <c r="CC43" s="481">
        <f t="shared" ref="CC43:CC50" si="52">IFERROR(VLOOKUP(BW43,$BV$35:$BV$40,1,0),0)</f>
        <v>2</v>
      </c>
      <c r="CD43" s="465">
        <f t="shared" ref="CD43:CD50" si="53">IF(SUM(BZ43:CB43)&gt;=BW43,BW43,0)</f>
        <v>2</v>
      </c>
      <c r="CE43" s="465">
        <f t="shared" ref="CE43:CE50" si="54">IF(CC43=BW43,BW43,0)</f>
        <v>2</v>
      </c>
      <c r="CF43" s="493">
        <f t="shared" ref="CF43:CF50" si="55">IF(SUM(CD43:CE43)&lt;=0,BW43,0)</f>
        <v>0</v>
      </c>
      <c r="CG43" s="481">
        <f t="shared" ref="CG43:CG50" si="56">IF(CD43=BW43,0,CE43)</f>
        <v>0</v>
      </c>
    </row>
    <row r="44" spans="1:85" ht="15" thickBot="1" x14ac:dyDescent="0.35">
      <c r="AR44" s="464">
        <v>52</v>
      </c>
      <c r="AS44" s="470" t="s">
        <v>64</v>
      </c>
      <c r="BL44" s="502" t="s">
        <v>178</v>
      </c>
      <c r="BM44" s="464">
        <v>6</v>
      </c>
      <c r="BO44" s="464">
        <v>31</v>
      </c>
      <c r="BP44" s="470" t="s">
        <v>23</v>
      </c>
      <c r="BT44" s="494" t="s">
        <v>49</v>
      </c>
      <c r="BU44" s="495">
        <f>+AX5+BA5</f>
        <v>0</v>
      </c>
      <c r="BV44" s="507">
        <f>IF(LEN(BU44)&gt;1,LEFT(BU44,1)+RIGHT(BU44,1),BU44)</f>
        <v>0</v>
      </c>
      <c r="BW44" s="464">
        <v>3</v>
      </c>
      <c r="BX44" s="481">
        <f t="shared" si="48"/>
        <v>2</v>
      </c>
      <c r="BZ44" s="471">
        <f t="shared" si="49"/>
        <v>3</v>
      </c>
      <c r="CA44" s="464">
        <f t="shared" si="50"/>
        <v>0</v>
      </c>
      <c r="CB44" s="464">
        <f t="shared" si="51"/>
        <v>0</v>
      </c>
      <c r="CC44" s="481">
        <f t="shared" ca="1" si="52"/>
        <v>0</v>
      </c>
      <c r="CD44" s="465">
        <f t="shared" si="53"/>
        <v>3</v>
      </c>
      <c r="CE44" s="465">
        <f t="shared" ca="1" si="54"/>
        <v>0</v>
      </c>
      <c r="CF44" s="493">
        <f t="shared" ca="1" si="55"/>
        <v>0</v>
      </c>
      <c r="CG44" s="481">
        <f t="shared" si="56"/>
        <v>0</v>
      </c>
    </row>
    <row r="45" spans="1:85" x14ac:dyDescent="0.3">
      <c r="AR45" s="465">
        <v>55</v>
      </c>
      <c r="BL45" s="502" t="s">
        <v>179</v>
      </c>
      <c r="BM45" s="464">
        <v>7</v>
      </c>
      <c r="BO45" s="464">
        <v>32</v>
      </c>
      <c r="BP45" s="476" t="s">
        <v>33</v>
      </c>
      <c r="BW45" s="471">
        <v>4</v>
      </c>
      <c r="BX45" s="481">
        <f t="shared" si="48"/>
        <v>1</v>
      </c>
      <c r="BZ45" s="471">
        <f t="shared" si="49"/>
        <v>4</v>
      </c>
      <c r="CA45" s="464">
        <f t="shared" si="50"/>
        <v>0</v>
      </c>
      <c r="CB45" s="464">
        <f t="shared" si="51"/>
        <v>0</v>
      </c>
      <c r="CC45" s="481">
        <f t="shared" ca="1" si="52"/>
        <v>0</v>
      </c>
      <c r="CD45" s="465">
        <f t="shared" si="53"/>
        <v>4</v>
      </c>
      <c r="CE45" s="465">
        <f t="shared" ca="1" si="54"/>
        <v>0</v>
      </c>
      <c r="CF45" s="493">
        <f t="shared" ca="1" si="55"/>
        <v>0</v>
      </c>
      <c r="CG45" s="481">
        <f t="shared" si="56"/>
        <v>0</v>
      </c>
    </row>
    <row r="46" spans="1:85" x14ac:dyDescent="0.3">
      <c r="AR46" s="465">
        <v>57</v>
      </c>
      <c r="BL46" s="502" t="s">
        <v>180</v>
      </c>
      <c r="BM46" s="464">
        <v>8</v>
      </c>
      <c r="BO46" s="464">
        <v>33</v>
      </c>
      <c r="BP46" s="476" t="s">
        <v>33</v>
      </c>
      <c r="BW46" s="471">
        <v>5</v>
      </c>
      <c r="BX46" s="481">
        <f t="shared" si="48"/>
        <v>2</v>
      </c>
      <c r="BZ46" s="471">
        <f t="shared" si="49"/>
        <v>5</v>
      </c>
      <c r="CA46" s="464">
        <f t="shared" si="50"/>
        <v>0</v>
      </c>
      <c r="CB46" s="464">
        <f t="shared" si="51"/>
        <v>0</v>
      </c>
      <c r="CC46" s="481">
        <f t="shared" ca="1" si="52"/>
        <v>0</v>
      </c>
      <c r="CD46" s="465">
        <f t="shared" si="53"/>
        <v>5</v>
      </c>
      <c r="CE46" s="465">
        <f t="shared" ca="1" si="54"/>
        <v>0</v>
      </c>
      <c r="CF46" s="493">
        <f t="shared" ca="1" si="55"/>
        <v>0</v>
      </c>
      <c r="CG46" s="481">
        <f t="shared" si="56"/>
        <v>0</v>
      </c>
    </row>
    <row r="47" spans="1:85" x14ac:dyDescent="0.3">
      <c r="AR47" s="465">
        <v>59</v>
      </c>
      <c r="BL47" s="502" t="s">
        <v>181</v>
      </c>
      <c r="BM47" s="464">
        <v>9</v>
      </c>
      <c r="BO47" s="464">
        <v>34</v>
      </c>
      <c r="BP47" s="470" t="s">
        <v>67</v>
      </c>
      <c r="BW47" s="471">
        <v>6</v>
      </c>
      <c r="BX47" s="481">
        <f t="shared" si="48"/>
        <v>0</v>
      </c>
      <c r="BZ47" s="471">
        <f t="shared" si="49"/>
        <v>0</v>
      </c>
      <c r="CA47" s="464">
        <f t="shared" si="50"/>
        <v>0</v>
      </c>
      <c r="CB47" s="464">
        <f t="shared" si="51"/>
        <v>0</v>
      </c>
      <c r="CC47" s="481">
        <f t="shared" ca="1" si="52"/>
        <v>6</v>
      </c>
      <c r="CD47" s="465">
        <f t="shared" si="53"/>
        <v>0</v>
      </c>
      <c r="CE47" s="465">
        <f t="shared" ca="1" si="54"/>
        <v>6</v>
      </c>
      <c r="CF47" s="493">
        <f t="shared" ca="1" si="55"/>
        <v>0</v>
      </c>
      <c r="CG47" s="481">
        <f t="shared" ca="1" si="56"/>
        <v>6</v>
      </c>
    </row>
    <row r="48" spans="1:85" x14ac:dyDescent="0.3">
      <c r="AR48" s="465">
        <v>60</v>
      </c>
      <c r="BL48" s="502" t="s">
        <v>182</v>
      </c>
      <c r="BM48" s="464">
        <v>0</v>
      </c>
      <c r="BO48" s="464">
        <v>35</v>
      </c>
      <c r="BP48" s="470" t="s">
        <v>23</v>
      </c>
      <c r="BT48" s="508"/>
      <c r="BW48" s="471">
        <v>7</v>
      </c>
      <c r="BX48" s="481">
        <f t="shared" si="48"/>
        <v>0</v>
      </c>
      <c r="BZ48" s="471">
        <f t="shared" si="49"/>
        <v>0</v>
      </c>
      <c r="CA48" s="464">
        <f t="shared" si="50"/>
        <v>0</v>
      </c>
      <c r="CB48" s="464">
        <f t="shared" si="51"/>
        <v>0</v>
      </c>
      <c r="CC48" s="481">
        <f t="shared" ca="1" si="52"/>
        <v>7</v>
      </c>
      <c r="CD48" s="465">
        <f t="shared" si="53"/>
        <v>0</v>
      </c>
      <c r="CE48" s="465">
        <f t="shared" ca="1" si="54"/>
        <v>7</v>
      </c>
      <c r="CF48" s="493">
        <f t="shared" ca="1" si="55"/>
        <v>0</v>
      </c>
      <c r="CG48" s="481">
        <f t="shared" ca="1" si="56"/>
        <v>7</v>
      </c>
    </row>
    <row r="49" spans="44:85" x14ac:dyDescent="0.3">
      <c r="AR49" s="465">
        <v>64</v>
      </c>
      <c r="BL49" s="465"/>
      <c r="BM49" s="465"/>
      <c r="BO49" s="464">
        <v>36</v>
      </c>
      <c r="BP49" s="476" t="s">
        <v>33</v>
      </c>
      <c r="BW49" s="471">
        <v>8</v>
      </c>
      <c r="BX49" s="481">
        <f t="shared" si="48"/>
        <v>0</v>
      </c>
      <c r="BZ49" s="471">
        <f t="shared" si="49"/>
        <v>0</v>
      </c>
      <c r="CA49" s="464">
        <f t="shared" si="50"/>
        <v>0</v>
      </c>
      <c r="CB49" s="464">
        <f t="shared" si="51"/>
        <v>0</v>
      </c>
      <c r="CC49" s="481">
        <f t="shared" ca="1" si="52"/>
        <v>8</v>
      </c>
      <c r="CD49" s="465">
        <f t="shared" si="53"/>
        <v>0</v>
      </c>
      <c r="CE49" s="465">
        <f t="shared" ca="1" si="54"/>
        <v>8</v>
      </c>
      <c r="CF49" s="493">
        <f t="shared" ca="1" si="55"/>
        <v>0</v>
      </c>
      <c r="CG49" s="481">
        <f t="shared" ca="1" si="56"/>
        <v>8</v>
      </c>
    </row>
    <row r="50" spans="44:85" ht="15" thickBot="1" x14ac:dyDescent="0.35">
      <c r="AR50" s="465">
        <v>66</v>
      </c>
      <c r="BL50" s="465"/>
      <c r="BM50" s="465"/>
      <c r="BO50" s="464">
        <v>37</v>
      </c>
      <c r="BP50" s="476" t="s">
        <v>33</v>
      </c>
      <c r="BW50" s="471">
        <v>9</v>
      </c>
      <c r="BX50" s="481"/>
      <c r="BZ50" s="471">
        <f t="shared" si="49"/>
        <v>0</v>
      </c>
      <c r="CA50" s="464">
        <f t="shared" si="50"/>
        <v>0</v>
      </c>
      <c r="CB50" s="464">
        <f t="shared" si="51"/>
        <v>0</v>
      </c>
      <c r="CC50" s="481">
        <f t="shared" ca="1" si="52"/>
        <v>0</v>
      </c>
      <c r="CD50" s="509">
        <f t="shared" si="53"/>
        <v>0</v>
      </c>
      <c r="CE50" s="509">
        <f t="shared" ca="1" si="54"/>
        <v>0</v>
      </c>
      <c r="CF50" s="491">
        <f t="shared" ca="1" si="55"/>
        <v>9</v>
      </c>
      <c r="CG50" s="492">
        <f t="shared" ca="1" si="56"/>
        <v>0</v>
      </c>
    </row>
    <row r="51" spans="44:85" ht="15.6" x14ac:dyDescent="0.3">
      <c r="AR51" s="465">
        <v>68</v>
      </c>
      <c r="BL51" s="465"/>
      <c r="BM51" s="465"/>
      <c r="BO51" s="464">
        <v>38</v>
      </c>
      <c r="BP51" s="470" t="s">
        <v>67</v>
      </c>
      <c r="BT51" s="645"/>
      <c r="BU51" s="645"/>
      <c r="BV51" s="645"/>
      <c r="BW51" s="645"/>
    </row>
    <row r="52" spans="44:85" x14ac:dyDescent="0.3">
      <c r="AR52" s="465">
        <v>69</v>
      </c>
      <c r="BO52" s="464">
        <v>39</v>
      </c>
      <c r="BP52" s="470" t="s">
        <v>67</v>
      </c>
      <c r="BT52" s="464"/>
      <c r="BU52" s="522"/>
      <c r="BV52" s="522"/>
      <c r="BW52" s="464"/>
    </row>
    <row r="53" spans="44:85" x14ac:dyDescent="0.3">
      <c r="AR53" s="465">
        <v>73</v>
      </c>
      <c r="BO53" s="464">
        <v>40</v>
      </c>
      <c r="BP53" s="470" t="s">
        <v>23</v>
      </c>
      <c r="BW53" s="464"/>
      <c r="BZ53" s="464"/>
      <c r="CA53" s="464"/>
      <c r="CB53" s="464"/>
      <c r="CC53" s="464"/>
      <c r="CF53" s="464"/>
      <c r="CG53" s="464"/>
    </row>
    <row r="54" spans="44:85" ht="15" thickBot="1" x14ac:dyDescent="0.35">
      <c r="AR54" s="465">
        <v>75</v>
      </c>
      <c r="BO54" s="464">
        <v>41</v>
      </c>
      <c r="BP54" s="476" t="s">
        <v>33</v>
      </c>
      <c r="BW54" s="636" t="s">
        <v>100</v>
      </c>
      <c r="BX54" s="637"/>
      <c r="BY54" s="638"/>
    </row>
    <row r="55" spans="44:85" x14ac:dyDescent="0.3">
      <c r="AR55" s="465">
        <v>77</v>
      </c>
      <c r="BO55" s="464">
        <v>42</v>
      </c>
      <c r="BP55" s="476" t="s">
        <v>33</v>
      </c>
      <c r="BT55" s="499" t="s">
        <v>192</v>
      </c>
      <c r="BU55" s="478"/>
      <c r="BV55" s="500"/>
      <c r="BW55" s="522" t="s">
        <v>12</v>
      </c>
      <c r="BX55" s="522" t="s">
        <v>13</v>
      </c>
      <c r="BY55" s="523"/>
    </row>
    <row r="56" spans="44:85" x14ac:dyDescent="0.3">
      <c r="AR56" s="465">
        <v>78</v>
      </c>
      <c r="BO56" s="464">
        <v>43</v>
      </c>
      <c r="BP56" s="476" t="s">
        <v>33</v>
      </c>
      <c r="BT56" s="480" t="s">
        <v>18</v>
      </c>
      <c r="BU56" s="464">
        <f>'Master Calculator'!K41</f>
        <v>0</v>
      </c>
      <c r="BV56" s="501">
        <f>'Master Calculator'!L41</f>
        <v>2</v>
      </c>
      <c r="BW56" s="471" t="str">
        <f>IF(AY31&lt;=35,"Active",0)</f>
        <v>Active</v>
      </c>
      <c r="BX56" s="522">
        <f>IF(AY31&gt;35,"Active",0)</f>
        <v>0</v>
      </c>
      <c r="BY56" s="481"/>
    </row>
    <row r="57" spans="44:85" x14ac:dyDescent="0.3">
      <c r="AR57" s="465">
        <v>82</v>
      </c>
      <c r="BO57" s="464">
        <v>44</v>
      </c>
      <c r="BP57" s="470" t="s">
        <v>23</v>
      </c>
      <c r="BT57" s="480" t="s">
        <v>25</v>
      </c>
      <c r="BU57" s="464">
        <f>'Master Calculator'!K42</f>
        <v>0</v>
      </c>
      <c r="BV57" s="501">
        <f ca="1">'Master Calculator'!L42</f>
        <v>2</v>
      </c>
      <c r="BW57" s="464"/>
      <c r="BX57" s="464"/>
      <c r="BY57" s="481"/>
    </row>
    <row r="58" spans="44:85" x14ac:dyDescent="0.3">
      <c r="AR58" s="465">
        <v>84</v>
      </c>
      <c r="BO58" s="464">
        <v>45</v>
      </c>
      <c r="BP58" s="470" t="s">
        <v>67</v>
      </c>
      <c r="BT58" s="480" t="s">
        <v>24</v>
      </c>
      <c r="BU58" s="464">
        <f>'Master Calculator'!K43</f>
        <v>23</v>
      </c>
      <c r="BV58" s="522">
        <f>'Master Calculator'!L43</f>
        <v>5</v>
      </c>
      <c r="BW58" s="471" t="str">
        <f>INDEX(BB$14:BJ$22,MATCH(IF(LEN(BV$35)&gt;1,LEFT(BV$35,1)+RIGHT(BV$35,1),BV$35),BA$14:BA$22,0),MATCH(IF(LEN(BV58)&gt;1,LEFT(BV58,1)+RIGHT(BV58,1),BV58),BB$13:BJ$13,0))</f>
        <v>F</v>
      </c>
      <c r="BX58" s="471" t="str">
        <f>INDEX(BB$14:BJ$22,MATCH(IF(LEN(BV$35)&gt;1,LEFT(BV$35,1)+RIGHT(BV$35,1),BV$35),BA$14:BA$22,0),MATCH(IF(LEN(BV58)&gt;1,LEFT(BV58,1)+RIGHT(BV58,1),BV58),BB$13:BJ$13,0))</f>
        <v>F</v>
      </c>
      <c r="BY58" s="482"/>
    </row>
    <row r="59" spans="44:85" x14ac:dyDescent="0.3">
      <c r="AR59" s="465">
        <v>86</v>
      </c>
      <c r="BO59" s="464">
        <v>46</v>
      </c>
      <c r="BP59" s="470" t="s">
        <v>67</v>
      </c>
      <c r="BT59" s="480" t="s">
        <v>31</v>
      </c>
      <c r="BU59" s="464">
        <f>'Master Calculator'!K44</f>
        <v>33</v>
      </c>
      <c r="BV59" s="522">
        <f>'Master Calculator'!L44</f>
        <v>6</v>
      </c>
      <c r="BW59" s="471" t="str">
        <f t="shared" ref="BW59:BW61" si="57">INDEX(BB$14:BJ$22,MATCH(IF(LEN(BV$35)&gt;1,LEFT(BV$35,1)+RIGHT(BV$35,1),BV$35),BA$14:BA$22,0),MATCH(IF(LEN(BV59)&gt;1,LEFT(BV59,1)+RIGHT(BV59,1),BV59),BB$13:BJ$13,0))</f>
        <v>G</v>
      </c>
      <c r="BX59" s="471" t="str">
        <f t="shared" ref="BX59:BX61" si="58">INDEX(BB$14:BJ$22,MATCH(IF(LEN(BV$35)&gt;1,LEFT(BV$35,1)+RIGHT(BV$35,1),BV$35),BA$14:BA$22,0),MATCH(IF(LEN(BV59)&gt;1,LEFT(BV59,1)+RIGHT(BV59,1),BV59),BB$13:BJ$13,0))</f>
        <v>G</v>
      </c>
      <c r="BY59" s="482"/>
    </row>
    <row r="60" spans="44:85" ht="15" thickBot="1" x14ac:dyDescent="0.35">
      <c r="AR60" s="465">
        <v>87</v>
      </c>
      <c r="BO60" s="464">
        <v>47</v>
      </c>
      <c r="BP60" s="470" t="s">
        <v>67</v>
      </c>
      <c r="BT60" s="480" t="s">
        <v>32</v>
      </c>
      <c r="BU60" s="464">
        <f>'Master Calculator'!K45</f>
        <v>8</v>
      </c>
      <c r="BV60" s="522">
        <f>'Master Calculator'!L45</f>
        <v>8</v>
      </c>
      <c r="BW60" s="471" t="str">
        <f t="shared" si="57"/>
        <v>A</v>
      </c>
      <c r="BX60" s="471" t="str">
        <f t="shared" si="58"/>
        <v>A</v>
      </c>
      <c r="BY60" s="482"/>
    </row>
    <row r="61" spans="44:85" ht="15" thickBot="1" x14ac:dyDescent="0.35">
      <c r="AR61" s="465">
        <v>91</v>
      </c>
      <c r="BO61" s="464">
        <v>48</v>
      </c>
      <c r="BP61" s="470" t="s">
        <v>23</v>
      </c>
      <c r="BT61" s="484" t="s">
        <v>35</v>
      </c>
      <c r="BU61" s="485">
        <f>'Master Calculator'!K46</f>
        <v>25</v>
      </c>
      <c r="BV61" s="522">
        <f>'Master Calculator'!L46</f>
        <v>7</v>
      </c>
      <c r="BW61" s="471" t="str">
        <f t="shared" si="57"/>
        <v>VG</v>
      </c>
      <c r="BX61" s="471" t="str">
        <f t="shared" si="58"/>
        <v>VG</v>
      </c>
      <c r="BY61" s="503"/>
      <c r="BZ61" s="639" t="s">
        <v>36</v>
      </c>
      <c r="CA61" s="640"/>
      <c r="CB61" s="640"/>
      <c r="CC61" s="640"/>
      <c r="CD61" s="640"/>
      <c r="CE61" s="640"/>
      <c r="CF61" s="640"/>
      <c r="CG61" s="641"/>
    </row>
    <row r="62" spans="44:85" ht="15" thickBot="1" x14ac:dyDescent="0.35">
      <c r="AR62" s="465">
        <v>93</v>
      </c>
      <c r="BO62" s="464">
        <v>49</v>
      </c>
      <c r="BP62" s="470" t="s">
        <v>23</v>
      </c>
      <c r="BW62" s="521" t="s">
        <v>38</v>
      </c>
      <c r="BX62" s="504"/>
      <c r="BZ62" s="488" t="s">
        <v>24</v>
      </c>
      <c r="CA62" s="489" t="s">
        <v>112</v>
      </c>
      <c r="CB62" s="489" t="s">
        <v>39</v>
      </c>
      <c r="CC62" s="490" t="s">
        <v>40</v>
      </c>
      <c r="CD62" s="465" t="s">
        <v>61</v>
      </c>
      <c r="CE62" s="465" t="s">
        <v>27</v>
      </c>
      <c r="CF62" s="505" t="s">
        <v>136</v>
      </c>
      <c r="CG62" s="506" t="s">
        <v>137</v>
      </c>
    </row>
    <row r="63" spans="44:85" x14ac:dyDescent="0.3">
      <c r="AR63" s="465">
        <v>96</v>
      </c>
      <c r="BO63" s="464">
        <v>50</v>
      </c>
      <c r="BP63" s="470" t="s">
        <v>67</v>
      </c>
      <c r="BT63" s="524" t="s">
        <v>42</v>
      </c>
      <c r="BU63" s="525">
        <f>AX57+AX61</f>
        <v>0</v>
      </c>
      <c r="BV63" s="526">
        <f>IF(LEN(BU63)&gt;1,LEFT(BU63,1)+RIGHT(BU63,1),BU63)</f>
        <v>0</v>
      </c>
      <c r="BW63" s="464">
        <v>1</v>
      </c>
      <c r="BX63" s="481">
        <f>COUNTIF(C$23:AL$23,BW63)+COUNTIF(C$25:AL$25,BW63)+COUNTIF(C$27:AL$27,BW63)</f>
        <v>5</v>
      </c>
      <c r="BZ63" s="471">
        <f>IFERROR(HLOOKUP(BW63,$C$23:$AL$23,1,0),0)</f>
        <v>1</v>
      </c>
      <c r="CA63" s="464">
        <f>IFERROR(HLOOKUP(BW63,$C$25:$AL$25,1,0),0)</f>
        <v>1</v>
      </c>
      <c r="CB63" s="464">
        <f>IFERROR(HLOOKUP(BW63,$C$27:$AL$27,1,0),0)</f>
        <v>0</v>
      </c>
      <c r="CC63" s="481">
        <f ca="1">IFERROR(VLOOKUP(BW63,$BV$56:$BV$61,1,0),0)</f>
        <v>0</v>
      </c>
      <c r="CD63" s="465">
        <f>IF(SUM(BZ63:CB63)&gt;=BW63,BW63,0)</f>
        <v>1</v>
      </c>
      <c r="CE63" s="465">
        <f ca="1">IF(CC63=BW63,BW63,0)</f>
        <v>0</v>
      </c>
      <c r="CF63" s="493">
        <f ca="1">IF(SUM(CD63:CE63)&lt;=0,BW63,0)</f>
        <v>0</v>
      </c>
      <c r="CG63" s="481">
        <f>IF(CD63=BW63,0,CE63)</f>
        <v>0</v>
      </c>
    </row>
    <row r="64" spans="44:85" x14ac:dyDescent="0.3">
      <c r="AR64" s="465">
        <v>100</v>
      </c>
      <c r="BO64" s="464">
        <v>51</v>
      </c>
      <c r="BP64" s="470" t="s">
        <v>67</v>
      </c>
      <c r="BT64" s="521" t="s">
        <v>45</v>
      </c>
      <c r="BU64" s="522">
        <f ca="1">BV57+BV59</f>
        <v>8</v>
      </c>
      <c r="BV64" s="523">
        <f ca="1">IF(LEN(BU64)&gt;1,LEFT(BU64,1)+RIGHT(BU64,1),BU64)</f>
        <v>8</v>
      </c>
      <c r="BW64" s="464">
        <v>2</v>
      </c>
      <c r="BX64" s="481">
        <f t="shared" ref="BX64:BX71" si="59">COUNTIF(C$23:AL$23,BW64)+COUNTIF(C$25:AL$25,BW64)+COUNTIF(C$27:AL$27,BW64)</f>
        <v>1</v>
      </c>
      <c r="BZ64" s="471">
        <f t="shared" ref="BZ64:BZ71" si="60">IFERROR(HLOOKUP(BW64,$C$23:$AL$23,1,0),0)</f>
        <v>2</v>
      </c>
      <c r="CA64" s="464">
        <f t="shared" ref="CA64:CA71" si="61">IFERROR(HLOOKUP(BW64,$C$25:$AL$25,1,0),0)</f>
        <v>0</v>
      </c>
      <c r="CB64" s="464">
        <f t="shared" ref="CB64:CB71" si="62">IFERROR(HLOOKUP(BW64,$C$27:$AL$27,1,0),0)</f>
        <v>0</v>
      </c>
      <c r="CC64" s="481">
        <f t="shared" ref="CC64:CC71" si="63">IFERROR(VLOOKUP(BW64,$BV$56:$BV$61,1,0),0)</f>
        <v>2</v>
      </c>
      <c r="CD64" s="465">
        <f t="shared" ref="CD64:CD71" si="64">IF(SUM(BZ64:CB64)&gt;=BW64,BW64,0)</f>
        <v>2</v>
      </c>
      <c r="CE64" s="465">
        <f t="shared" ref="CE64:CE71" si="65">IF(CC64=BW64,BW64,0)</f>
        <v>2</v>
      </c>
      <c r="CF64" s="493">
        <f t="shared" ref="CF64:CF71" si="66">IF(SUM(CD64:CE64)&lt;=0,BW64,0)</f>
        <v>0</v>
      </c>
      <c r="CG64" s="481">
        <f t="shared" ref="CG64:CG71" si="67">IF(CD64=BW64,0,CE64)</f>
        <v>0</v>
      </c>
    </row>
    <row r="65" spans="40:85" ht="15" thickBot="1" x14ac:dyDescent="0.35">
      <c r="BO65" s="464">
        <v>52</v>
      </c>
      <c r="BP65" s="470" t="s">
        <v>67</v>
      </c>
      <c r="BT65" s="494" t="s">
        <v>49</v>
      </c>
      <c r="BU65" s="495">
        <f>+AX26+BA26</f>
        <v>0</v>
      </c>
      <c r="BV65" s="507">
        <f>IF(LEN(BU65)&gt;1,LEFT(BU65,1)+RIGHT(BU65,1),BU65)</f>
        <v>0</v>
      </c>
      <c r="BW65" s="464">
        <v>3</v>
      </c>
      <c r="BX65" s="481">
        <f t="shared" si="59"/>
        <v>2</v>
      </c>
      <c r="BZ65" s="471">
        <f t="shared" si="60"/>
        <v>3</v>
      </c>
      <c r="CA65" s="464">
        <f t="shared" si="61"/>
        <v>0</v>
      </c>
      <c r="CB65" s="464">
        <f t="shared" si="62"/>
        <v>0</v>
      </c>
      <c r="CC65" s="481">
        <f t="shared" ca="1" si="63"/>
        <v>0</v>
      </c>
      <c r="CD65" s="465">
        <f t="shared" si="64"/>
        <v>3</v>
      </c>
      <c r="CE65" s="465">
        <f t="shared" ca="1" si="65"/>
        <v>0</v>
      </c>
      <c r="CF65" s="493">
        <f t="shared" ca="1" si="66"/>
        <v>0</v>
      </c>
      <c r="CG65" s="481">
        <f t="shared" si="67"/>
        <v>0</v>
      </c>
    </row>
    <row r="66" spans="40:85" x14ac:dyDescent="0.3">
      <c r="BW66" s="471">
        <v>4</v>
      </c>
      <c r="BX66" s="481">
        <f t="shared" si="59"/>
        <v>1</v>
      </c>
      <c r="BZ66" s="471">
        <f t="shared" si="60"/>
        <v>4</v>
      </c>
      <c r="CA66" s="464">
        <f t="shared" si="61"/>
        <v>0</v>
      </c>
      <c r="CB66" s="464">
        <f t="shared" si="62"/>
        <v>0</v>
      </c>
      <c r="CC66" s="481">
        <f t="shared" ca="1" si="63"/>
        <v>0</v>
      </c>
      <c r="CD66" s="465">
        <f t="shared" si="64"/>
        <v>4</v>
      </c>
      <c r="CE66" s="465">
        <f t="shared" ca="1" si="65"/>
        <v>0</v>
      </c>
      <c r="CF66" s="493">
        <f t="shared" ca="1" si="66"/>
        <v>0</v>
      </c>
      <c r="CG66" s="481">
        <f t="shared" si="67"/>
        <v>0</v>
      </c>
    </row>
    <row r="67" spans="40:85" x14ac:dyDescent="0.3">
      <c r="BO67" s="465" t="s">
        <v>89</v>
      </c>
      <c r="BP67" s="466" t="s">
        <v>16</v>
      </c>
      <c r="BW67" s="471">
        <v>5</v>
      </c>
      <c r="BX67" s="481">
        <f t="shared" si="59"/>
        <v>2</v>
      </c>
      <c r="BZ67" s="471">
        <f t="shared" si="60"/>
        <v>5</v>
      </c>
      <c r="CA67" s="464">
        <f t="shared" si="61"/>
        <v>0</v>
      </c>
      <c r="CB67" s="464">
        <f t="shared" si="62"/>
        <v>0</v>
      </c>
      <c r="CC67" s="481">
        <f t="shared" ca="1" si="63"/>
        <v>5</v>
      </c>
      <c r="CD67" s="465">
        <f t="shared" si="64"/>
        <v>5</v>
      </c>
      <c r="CE67" s="465">
        <f t="shared" ca="1" si="65"/>
        <v>5</v>
      </c>
      <c r="CF67" s="493">
        <f t="shared" ca="1" si="66"/>
        <v>0</v>
      </c>
      <c r="CG67" s="481">
        <f t="shared" si="67"/>
        <v>0</v>
      </c>
    </row>
    <row r="68" spans="40:85" x14ac:dyDescent="0.3">
      <c r="BO68" s="465">
        <v>1</v>
      </c>
      <c r="BP68" s="470" t="s">
        <v>67</v>
      </c>
      <c r="BW68" s="471">
        <v>6</v>
      </c>
      <c r="BX68" s="481">
        <f t="shared" si="59"/>
        <v>1</v>
      </c>
      <c r="BZ68" s="471">
        <f t="shared" si="60"/>
        <v>0</v>
      </c>
      <c r="CA68" s="464">
        <f t="shared" si="61"/>
        <v>6</v>
      </c>
      <c r="CB68" s="464">
        <f t="shared" si="62"/>
        <v>0</v>
      </c>
      <c r="CC68" s="481">
        <f t="shared" ca="1" si="63"/>
        <v>6</v>
      </c>
      <c r="CD68" s="465">
        <f t="shared" si="64"/>
        <v>6</v>
      </c>
      <c r="CE68" s="465">
        <f t="shared" ca="1" si="65"/>
        <v>6</v>
      </c>
      <c r="CF68" s="493">
        <f t="shared" ca="1" si="66"/>
        <v>0</v>
      </c>
      <c r="CG68" s="481">
        <f t="shared" si="67"/>
        <v>0</v>
      </c>
    </row>
    <row r="69" spans="40:85" x14ac:dyDescent="0.3">
      <c r="BO69" s="465">
        <v>3</v>
      </c>
      <c r="BP69" s="470" t="s">
        <v>67</v>
      </c>
      <c r="BT69" s="508"/>
      <c r="BW69" s="471">
        <v>7</v>
      </c>
      <c r="BX69" s="481">
        <f t="shared" si="59"/>
        <v>0</v>
      </c>
      <c r="BZ69" s="471">
        <f t="shared" si="60"/>
        <v>0</v>
      </c>
      <c r="CA69" s="464">
        <f t="shared" si="61"/>
        <v>0</v>
      </c>
      <c r="CB69" s="464">
        <f t="shared" si="62"/>
        <v>0</v>
      </c>
      <c r="CC69" s="481">
        <f t="shared" ca="1" si="63"/>
        <v>7</v>
      </c>
      <c r="CD69" s="465">
        <f t="shared" si="64"/>
        <v>0</v>
      </c>
      <c r="CE69" s="465">
        <f t="shared" ca="1" si="65"/>
        <v>7</v>
      </c>
      <c r="CF69" s="493">
        <f t="shared" ca="1" si="66"/>
        <v>0</v>
      </c>
      <c r="CG69" s="481">
        <f t="shared" ca="1" si="67"/>
        <v>7</v>
      </c>
    </row>
    <row r="70" spans="40:85" x14ac:dyDescent="0.3">
      <c r="BO70" s="465">
        <v>5</v>
      </c>
      <c r="BP70" s="470" t="s">
        <v>67</v>
      </c>
      <c r="BW70" s="471">
        <v>8</v>
      </c>
      <c r="BX70" s="481">
        <f t="shared" si="59"/>
        <v>0</v>
      </c>
      <c r="BZ70" s="471">
        <f t="shared" si="60"/>
        <v>0</v>
      </c>
      <c r="CA70" s="464">
        <f t="shared" si="61"/>
        <v>0</v>
      </c>
      <c r="CB70" s="464">
        <f t="shared" si="62"/>
        <v>0</v>
      </c>
      <c r="CC70" s="481">
        <f t="shared" ca="1" si="63"/>
        <v>8</v>
      </c>
      <c r="CD70" s="465">
        <f t="shared" si="64"/>
        <v>0</v>
      </c>
      <c r="CE70" s="465">
        <f t="shared" ca="1" si="65"/>
        <v>8</v>
      </c>
      <c r="CF70" s="493">
        <f t="shared" ca="1" si="66"/>
        <v>0</v>
      </c>
      <c r="CG70" s="481">
        <f t="shared" ca="1" si="67"/>
        <v>8</v>
      </c>
    </row>
    <row r="71" spans="40:85" ht="15" thickBot="1" x14ac:dyDescent="0.35">
      <c r="BO71" s="465">
        <v>6</v>
      </c>
      <c r="BP71" s="470" t="s">
        <v>67</v>
      </c>
      <c r="BW71" s="471">
        <v>9</v>
      </c>
      <c r="BX71" s="481">
        <f t="shared" si="59"/>
        <v>0</v>
      </c>
      <c r="BZ71" s="471">
        <f t="shared" si="60"/>
        <v>0</v>
      </c>
      <c r="CA71" s="464">
        <f t="shared" si="61"/>
        <v>0</v>
      </c>
      <c r="CB71" s="464">
        <f t="shared" si="62"/>
        <v>0</v>
      </c>
      <c r="CC71" s="481">
        <f t="shared" ca="1" si="63"/>
        <v>0</v>
      </c>
      <c r="CD71" s="509">
        <f t="shared" si="64"/>
        <v>0</v>
      </c>
      <c r="CE71" s="509">
        <f t="shared" ca="1" si="65"/>
        <v>0</v>
      </c>
      <c r="CF71" s="491">
        <f t="shared" ca="1" si="66"/>
        <v>9</v>
      </c>
      <c r="CG71" s="492">
        <f t="shared" ca="1" si="67"/>
        <v>0</v>
      </c>
    </row>
    <row r="72" spans="40:85" x14ac:dyDescent="0.3">
      <c r="BO72" s="465">
        <v>2</v>
      </c>
      <c r="BP72" s="476" t="s">
        <v>33</v>
      </c>
    </row>
    <row r="73" spans="40:85" x14ac:dyDescent="0.3">
      <c r="BO73" s="465">
        <v>7</v>
      </c>
      <c r="BP73" s="476" t="s">
        <v>33</v>
      </c>
      <c r="BQ73" s="465" t="s">
        <v>18</v>
      </c>
    </row>
    <row r="74" spans="40:85" ht="15" thickBot="1" x14ac:dyDescent="0.35">
      <c r="BO74" s="465">
        <v>4</v>
      </c>
      <c r="BP74" s="470" t="s">
        <v>23</v>
      </c>
      <c r="BQ74" s="465" t="s">
        <v>25</v>
      </c>
      <c r="BW74" s="636" t="s">
        <v>100</v>
      </c>
      <c r="BX74" s="637"/>
      <c r="BY74" s="638"/>
    </row>
    <row r="75" spans="40:85" x14ac:dyDescent="0.3">
      <c r="BO75" s="465">
        <v>8</v>
      </c>
      <c r="BP75" s="470" t="s">
        <v>23</v>
      </c>
      <c r="BT75" s="499" t="s">
        <v>193</v>
      </c>
      <c r="BU75" s="478"/>
      <c r="BV75" s="500"/>
      <c r="BW75" s="522" t="s">
        <v>12</v>
      </c>
      <c r="BX75" s="522" t="s">
        <v>13</v>
      </c>
      <c r="BY75" s="523"/>
    </row>
    <row r="76" spans="40:85" x14ac:dyDescent="0.3">
      <c r="BO76" s="465">
        <v>9</v>
      </c>
      <c r="BP76" s="476" t="s">
        <v>33</v>
      </c>
      <c r="BT76" s="480" t="s">
        <v>18</v>
      </c>
      <c r="BU76" s="464">
        <f>'Master Calculator'!K52</f>
        <v>0</v>
      </c>
      <c r="BV76" s="501">
        <f>'Master Calculator'!L52</f>
        <v>2</v>
      </c>
      <c r="BW76" s="471" t="str">
        <f>IF(AY51&lt;=35,"Active",0)</f>
        <v>Active</v>
      </c>
      <c r="BX76" s="522">
        <f>IF(AY51&gt;35,"Active",0)</f>
        <v>0</v>
      </c>
      <c r="BY76" s="481"/>
    </row>
    <row r="77" spans="40:85" x14ac:dyDescent="0.3">
      <c r="BP77" s="470"/>
      <c r="BT77" s="480" t="s">
        <v>25</v>
      </c>
      <c r="BU77" s="464">
        <f>'Master Calculator'!K53</f>
        <v>0</v>
      </c>
      <c r="BV77" s="501">
        <f ca="1">'Master Calculator'!L53</f>
        <v>2</v>
      </c>
      <c r="BW77" s="464"/>
      <c r="BX77" s="464"/>
      <c r="BY77" s="481"/>
    </row>
    <row r="78" spans="40:85" x14ac:dyDescent="0.3">
      <c r="BP78" s="470"/>
      <c r="BT78" s="480" t="s">
        <v>24</v>
      </c>
      <c r="BU78" s="464">
        <f>'Master Calculator'!K54</f>
        <v>0</v>
      </c>
      <c r="BV78" s="522">
        <f>'Master Calculator'!L54</f>
        <v>9</v>
      </c>
      <c r="BW78" s="471" t="str">
        <f>INDEX(BB$14:BJ$22,MATCH(IF(LEN(BV$35)&gt;1,LEFT(BV$35,1)+RIGHT(BV$35,1),BV$35),BA$14:BA$22,0),MATCH(IF(LEN(BV78)&gt;1,LEFT(BV78,1)+RIGHT(BV78,1),BV78),BB$13:BJ$13,0))</f>
        <v>A</v>
      </c>
      <c r="BX78" s="471" t="str">
        <f>INDEX(BB$14:BJ$22,MATCH(IF(LEN(BV$35)&gt;1,LEFT(BV$35,1)+RIGHT(BV$35,1),BV$35),BA$14:BA$22,0),MATCH(IF(LEN(BV78)&gt;1,LEFT(BV78,1)+RIGHT(BV78,1),BV78),BB$13:BJ$13,0))</f>
        <v>A</v>
      </c>
      <c r="BY78" s="482"/>
    </row>
    <row r="79" spans="40:85" x14ac:dyDescent="0.3">
      <c r="AN79" s="464"/>
      <c r="AO79" s="464"/>
      <c r="AP79" s="464"/>
      <c r="AQ79" s="464"/>
      <c r="AR79" s="470"/>
      <c r="AS79" s="464"/>
      <c r="BP79" s="476"/>
      <c r="BT79" s="480" t="s">
        <v>31</v>
      </c>
      <c r="BU79" s="464">
        <f>'Master Calculator'!K55</f>
        <v>0</v>
      </c>
      <c r="BV79" s="522">
        <f>'Master Calculator'!L55</f>
        <v>9</v>
      </c>
      <c r="BW79" s="471" t="str">
        <f t="shared" ref="BW79:BW81" si="68">INDEX(BB$14:BJ$22,MATCH(IF(LEN(BV$35)&gt;1,LEFT(BV$35,1)+RIGHT(BV$35,1),BV$35),BA$14:BA$22,0),MATCH(IF(LEN(BV79)&gt;1,LEFT(BV79,1)+RIGHT(BV79,1),BV79),BB$13:BJ$13,0))</f>
        <v>A</v>
      </c>
      <c r="BX79" s="471" t="str">
        <f t="shared" ref="BX79:BX81" si="69">INDEX(BB$14:BJ$22,MATCH(IF(LEN(BV$35)&gt;1,LEFT(BV$35,1)+RIGHT(BV$35,1),BV$35),BA$14:BA$22,0),MATCH(IF(LEN(BV79)&gt;1,LEFT(BV79,1)+RIGHT(BV79,1),BV79),BB$13:BJ$13,0))</f>
        <v>A</v>
      </c>
      <c r="BY79" s="482"/>
    </row>
    <row r="80" spans="40:85" ht="15" thickBot="1" x14ac:dyDescent="0.35">
      <c r="AN80" s="464"/>
      <c r="AO80" s="464"/>
      <c r="AP80" s="464"/>
      <c r="AQ80" s="464"/>
      <c r="BT80" s="480" t="s">
        <v>32</v>
      </c>
      <c r="BU80" s="464">
        <f>'Master Calculator'!K56</f>
        <v>0</v>
      </c>
      <c r="BV80" s="522">
        <f>'Master Calculator'!L56</f>
        <v>9</v>
      </c>
      <c r="BW80" s="471" t="str">
        <f t="shared" si="68"/>
        <v>A</v>
      </c>
      <c r="BX80" s="471" t="str">
        <f t="shared" si="69"/>
        <v>A</v>
      </c>
      <c r="BY80" s="482"/>
    </row>
    <row r="81" spans="72:85" ht="15" thickBot="1" x14ac:dyDescent="0.35">
      <c r="BT81" s="484" t="s">
        <v>35</v>
      </c>
      <c r="BU81" s="485">
        <f>'Master Calculator'!K57</f>
        <v>0</v>
      </c>
      <c r="BV81" s="522">
        <f>'Master Calculator'!L57</f>
        <v>9</v>
      </c>
      <c r="BW81" s="471" t="str">
        <f t="shared" si="68"/>
        <v>A</v>
      </c>
      <c r="BX81" s="471" t="str">
        <f t="shared" si="69"/>
        <v>A</v>
      </c>
      <c r="BY81" s="503"/>
      <c r="BZ81" s="639" t="s">
        <v>36</v>
      </c>
      <c r="CA81" s="640"/>
      <c r="CB81" s="640"/>
      <c r="CC81" s="640"/>
      <c r="CD81" s="640"/>
      <c r="CE81" s="640"/>
      <c r="CF81" s="640"/>
      <c r="CG81" s="641"/>
    </row>
    <row r="82" spans="72:85" ht="15" thickBot="1" x14ac:dyDescent="0.35">
      <c r="BW82" s="521" t="s">
        <v>38</v>
      </c>
      <c r="BX82" s="504"/>
      <c r="BZ82" s="488" t="s">
        <v>24</v>
      </c>
      <c r="CA82" s="489" t="s">
        <v>112</v>
      </c>
      <c r="CB82" s="489" t="s">
        <v>39</v>
      </c>
      <c r="CC82" s="490" t="s">
        <v>40</v>
      </c>
      <c r="CD82" s="465" t="s">
        <v>61</v>
      </c>
      <c r="CE82" s="465" t="s">
        <v>27</v>
      </c>
      <c r="CF82" s="505" t="s">
        <v>136</v>
      </c>
      <c r="CG82" s="506" t="s">
        <v>137</v>
      </c>
    </row>
    <row r="83" spans="72:85" x14ac:dyDescent="0.3">
      <c r="BT83" s="524" t="s">
        <v>42</v>
      </c>
      <c r="BU83" s="525">
        <f>AX77+AX81</f>
        <v>0</v>
      </c>
      <c r="BV83" s="526">
        <f>IF(LEN(BU83)&gt;1,LEFT(BU83,1)+RIGHT(BU83,1),BU83)</f>
        <v>0</v>
      </c>
      <c r="BW83" s="464">
        <v>1</v>
      </c>
      <c r="BX83" s="481">
        <f>COUNTIF(C$33:AL$33,BW83)+COUNTIF(C$35:AL$35,BW83)+COUNTIF(C$37:AL$37,BW83)</f>
        <v>0</v>
      </c>
      <c r="BZ83" s="471">
        <f>IFERROR(HLOOKUP(BW83,$C$33:$AL$33,1,0),0)</f>
        <v>0</v>
      </c>
      <c r="CA83" s="464">
        <f>IFERROR(HLOOKUP(BW83,$C$35:$AL$35,1,0),0)</f>
        <v>0</v>
      </c>
      <c r="CB83" s="464">
        <f>IFERROR(HLOOKUP(BW83,$C$37:$AL$37,1,0),0)</f>
        <v>0</v>
      </c>
      <c r="CC83" s="481">
        <f ca="1">IFERROR(VLOOKUP(BW83,$BV$76:$BV$81,1,0),0)</f>
        <v>0</v>
      </c>
      <c r="CD83" s="465">
        <f>IF(SUM(BZ83:CB83)&gt;=BW83,BW83,0)</f>
        <v>0</v>
      </c>
      <c r="CE83" s="465">
        <f ca="1">IF(CC83=BW83,BW83,0)</f>
        <v>0</v>
      </c>
      <c r="CF83" s="493">
        <f ca="1">IF(SUM(CD83:CE83)&lt;=0,BW83,0)</f>
        <v>1</v>
      </c>
      <c r="CG83" s="481">
        <f ca="1">IF(CD83=BW83,0,CE83)</f>
        <v>0</v>
      </c>
    </row>
    <row r="84" spans="72:85" x14ac:dyDescent="0.3">
      <c r="BT84" s="521" t="s">
        <v>45</v>
      </c>
      <c r="BU84" s="522">
        <f ca="1">BV77+BV79</f>
        <v>11</v>
      </c>
      <c r="BV84" s="523">
        <f ca="1">IF(LEN(BU84)&gt;1,LEFT(BU84,1)+RIGHT(BU84,1),BU84)</f>
        <v>2</v>
      </c>
      <c r="BW84" s="464">
        <v>2</v>
      </c>
      <c r="BX84" s="481">
        <f t="shared" ref="BX84:BX91" si="70">COUNTIF(C$33:AL$33,BW84)+COUNTIF(C$35:AL$35,BW84)+COUNTIF(C$37:AL$37,BW84)</f>
        <v>0</v>
      </c>
      <c r="BZ84" s="471">
        <f t="shared" ref="BZ84:BZ91" si="71">IFERROR(HLOOKUP(BW84,$C$33:$AL$33,1,0),0)</f>
        <v>0</v>
      </c>
      <c r="CA84" s="464">
        <f t="shared" ref="CA84:CA91" si="72">IFERROR(HLOOKUP(BW84,$C$35:$AL$35,1,0),0)</f>
        <v>0</v>
      </c>
      <c r="CB84" s="464">
        <f t="shared" ref="CB84:CB91" si="73">IFERROR(HLOOKUP(BW84,$C$37:$AL$37,1,0),0)</f>
        <v>0</v>
      </c>
      <c r="CC84" s="481">
        <f t="shared" ref="CC84:CC91" si="74">IFERROR(VLOOKUP(BW84,$BV$76:$BV$81,1,0),0)</f>
        <v>2</v>
      </c>
      <c r="CD84" s="465">
        <f t="shared" ref="CD84:CD91" si="75">IF(SUM(BZ84:CB84)&gt;=BW84,BW84,0)</f>
        <v>0</v>
      </c>
      <c r="CE84" s="465">
        <f t="shared" ref="CE84:CE91" si="76">IF(CC84=BW84,BW84,0)</f>
        <v>2</v>
      </c>
      <c r="CF84" s="493">
        <f t="shared" ref="CF84:CF91" si="77">IF(SUM(CD84:CE84)&lt;=0,BW84,0)</f>
        <v>0</v>
      </c>
      <c r="CG84" s="481">
        <f t="shared" ref="CG84:CG91" si="78">IF(CD84=BW84,0,CE84)</f>
        <v>2</v>
      </c>
    </row>
    <row r="85" spans="72:85" ht="15" thickBot="1" x14ac:dyDescent="0.35">
      <c r="BT85" s="494" t="s">
        <v>49</v>
      </c>
      <c r="BU85" s="495">
        <f>+AX46+BA46</f>
        <v>0</v>
      </c>
      <c r="BV85" s="507">
        <f>IF(LEN(BU85)&gt;1,LEFT(BU85,1)+RIGHT(BU85,1),BU85)</f>
        <v>0</v>
      </c>
      <c r="BW85" s="464">
        <v>3</v>
      </c>
      <c r="BX85" s="481">
        <f t="shared" si="70"/>
        <v>0</v>
      </c>
      <c r="BZ85" s="471">
        <f t="shared" si="71"/>
        <v>0</v>
      </c>
      <c r="CA85" s="464">
        <f t="shared" si="72"/>
        <v>0</v>
      </c>
      <c r="CB85" s="464">
        <f t="shared" si="73"/>
        <v>0</v>
      </c>
      <c r="CC85" s="481">
        <f t="shared" ca="1" si="74"/>
        <v>0</v>
      </c>
      <c r="CD85" s="465">
        <f t="shared" si="75"/>
        <v>0</v>
      </c>
      <c r="CE85" s="465">
        <f t="shared" ca="1" si="76"/>
        <v>0</v>
      </c>
      <c r="CF85" s="493">
        <f t="shared" ca="1" si="77"/>
        <v>3</v>
      </c>
      <c r="CG85" s="481">
        <f t="shared" ca="1" si="78"/>
        <v>0</v>
      </c>
    </row>
    <row r="86" spans="72:85" x14ac:dyDescent="0.3">
      <c r="BW86" s="471">
        <v>4</v>
      </c>
      <c r="BX86" s="481">
        <f t="shared" si="70"/>
        <v>0</v>
      </c>
      <c r="BZ86" s="471">
        <f t="shared" si="71"/>
        <v>0</v>
      </c>
      <c r="CA86" s="464">
        <f t="shared" si="72"/>
        <v>0</v>
      </c>
      <c r="CB86" s="464">
        <f t="shared" si="73"/>
        <v>0</v>
      </c>
      <c r="CC86" s="481">
        <f t="shared" ca="1" si="74"/>
        <v>0</v>
      </c>
      <c r="CD86" s="465">
        <f t="shared" si="75"/>
        <v>0</v>
      </c>
      <c r="CE86" s="465">
        <f t="shared" ca="1" si="76"/>
        <v>0</v>
      </c>
      <c r="CF86" s="493">
        <f t="shared" ca="1" si="77"/>
        <v>4</v>
      </c>
      <c r="CG86" s="481">
        <f t="shared" ca="1" si="78"/>
        <v>0</v>
      </c>
    </row>
    <row r="87" spans="72:85" x14ac:dyDescent="0.3">
      <c r="BW87" s="471">
        <v>5</v>
      </c>
      <c r="BX87" s="481">
        <f t="shared" si="70"/>
        <v>0</v>
      </c>
      <c r="BZ87" s="471">
        <f t="shared" si="71"/>
        <v>0</v>
      </c>
      <c r="CA87" s="464">
        <f t="shared" si="72"/>
        <v>0</v>
      </c>
      <c r="CB87" s="464">
        <f t="shared" si="73"/>
        <v>0</v>
      </c>
      <c r="CC87" s="481">
        <f t="shared" ca="1" si="74"/>
        <v>0</v>
      </c>
      <c r="CD87" s="465">
        <f t="shared" si="75"/>
        <v>0</v>
      </c>
      <c r="CE87" s="465">
        <f t="shared" ca="1" si="76"/>
        <v>0</v>
      </c>
      <c r="CF87" s="493">
        <f t="shared" ca="1" si="77"/>
        <v>5</v>
      </c>
      <c r="CG87" s="481">
        <f t="shared" ca="1" si="78"/>
        <v>0</v>
      </c>
    </row>
    <row r="88" spans="72:85" x14ac:dyDescent="0.3">
      <c r="BW88" s="471">
        <v>6</v>
      </c>
      <c r="BX88" s="481">
        <f t="shared" si="70"/>
        <v>0</v>
      </c>
      <c r="BZ88" s="471">
        <f t="shared" si="71"/>
        <v>0</v>
      </c>
      <c r="CA88" s="464">
        <f t="shared" si="72"/>
        <v>0</v>
      </c>
      <c r="CB88" s="464">
        <f t="shared" si="73"/>
        <v>0</v>
      </c>
      <c r="CC88" s="481">
        <f t="shared" ca="1" si="74"/>
        <v>0</v>
      </c>
      <c r="CD88" s="465">
        <f t="shared" si="75"/>
        <v>0</v>
      </c>
      <c r="CE88" s="465">
        <f t="shared" ca="1" si="76"/>
        <v>0</v>
      </c>
      <c r="CF88" s="493">
        <f t="shared" ca="1" si="77"/>
        <v>6</v>
      </c>
      <c r="CG88" s="481">
        <f t="shared" ca="1" si="78"/>
        <v>0</v>
      </c>
    </row>
    <row r="89" spans="72:85" x14ac:dyDescent="0.3">
      <c r="BT89" s="508"/>
      <c r="BW89" s="471">
        <v>7</v>
      </c>
      <c r="BX89" s="481">
        <f t="shared" si="70"/>
        <v>0</v>
      </c>
      <c r="BZ89" s="471">
        <f t="shared" si="71"/>
        <v>0</v>
      </c>
      <c r="CA89" s="464">
        <f t="shared" si="72"/>
        <v>0</v>
      </c>
      <c r="CB89" s="464">
        <f t="shared" si="73"/>
        <v>0</v>
      </c>
      <c r="CC89" s="481">
        <f t="shared" ca="1" si="74"/>
        <v>0</v>
      </c>
      <c r="CD89" s="465">
        <f t="shared" si="75"/>
        <v>0</v>
      </c>
      <c r="CE89" s="465">
        <f t="shared" ca="1" si="76"/>
        <v>0</v>
      </c>
      <c r="CF89" s="493">
        <f t="shared" ca="1" si="77"/>
        <v>7</v>
      </c>
      <c r="CG89" s="481">
        <f t="shared" ca="1" si="78"/>
        <v>0</v>
      </c>
    </row>
    <row r="90" spans="72:85" x14ac:dyDescent="0.3">
      <c r="BW90" s="471">
        <v>8</v>
      </c>
      <c r="BX90" s="481">
        <f t="shared" si="70"/>
        <v>0</v>
      </c>
      <c r="BZ90" s="471">
        <f t="shared" si="71"/>
        <v>0</v>
      </c>
      <c r="CA90" s="464">
        <f t="shared" si="72"/>
        <v>0</v>
      </c>
      <c r="CB90" s="464">
        <f t="shared" si="73"/>
        <v>0</v>
      </c>
      <c r="CC90" s="481">
        <f t="shared" ca="1" si="74"/>
        <v>0</v>
      </c>
      <c r="CD90" s="465">
        <f t="shared" si="75"/>
        <v>0</v>
      </c>
      <c r="CE90" s="465">
        <f t="shared" ca="1" si="76"/>
        <v>0</v>
      </c>
      <c r="CF90" s="493">
        <f t="shared" ca="1" si="77"/>
        <v>8</v>
      </c>
      <c r="CG90" s="481">
        <f t="shared" ca="1" si="78"/>
        <v>0</v>
      </c>
    </row>
    <row r="91" spans="72:85" ht="15" thickBot="1" x14ac:dyDescent="0.35">
      <c r="BW91" s="471">
        <v>9</v>
      </c>
      <c r="BX91" s="481">
        <f t="shared" si="70"/>
        <v>0</v>
      </c>
      <c r="BZ91" s="471">
        <f t="shared" si="71"/>
        <v>0</v>
      </c>
      <c r="CA91" s="464">
        <f t="shared" si="72"/>
        <v>0</v>
      </c>
      <c r="CB91" s="464">
        <f t="shared" si="73"/>
        <v>0</v>
      </c>
      <c r="CC91" s="481">
        <f t="shared" ca="1" si="74"/>
        <v>9</v>
      </c>
      <c r="CD91" s="509">
        <f t="shared" si="75"/>
        <v>0</v>
      </c>
      <c r="CE91" s="509">
        <f t="shared" ca="1" si="76"/>
        <v>9</v>
      </c>
      <c r="CF91" s="491">
        <f t="shared" ca="1" si="77"/>
        <v>0</v>
      </c>
      <c r="CG91" s="492">
        <f t="shared" ca="1" si="78"/>
        <v>9</v>
      </c>
    </row>
    <row r="92" spans="72:85" x14ac:dyDescent="0.3">
      <c r="BX92" s="470"/>
      <c r="BY92" s="464"/>
    </row>
    <row r="97" spans="1:74" x14ac:dyDescent="0.3">
      <c r="A97" s="463" t="s">
        <v>17</v>
      </c>
      <c r="B97" s="464" t="str">
        <f>'Mobile-Vehicle-House-Bank-CoNam'!B23</f>
        <v>Avaa Enterprises Limited</v>
      </c>
      <c r="C97" s="464" t="str">
        <f>MID($B97,COLUMNS($B$13:B$13),1)</f>
        <v>A</v>
      </c>
      <c r="D97" s="464" t="str">
        <f>MID($B97,COLUMNS($B$13:C$13),1)</f>
        <v>v</v>
      </c>
      <c r="E97" s="464" t="str">
        <f>MID($B97,COLUMNS($B$13:D$13),1)</f>
        <v>a</v>
      </c>
      <c r="F97" s="464" t="str">
        <f>MID($B97,COLUMNS($B$13:E$13),1)</f>
        <v>a</v>
      </c>
      <c r="G97" s="464" t="str">
        <f>MID($B97,COLUMNS($B$13:F$13),1)</f>
        <v xml:space="preserve"> </v>
      </c>
      <c r="H97" s="464" t="str">
        <f>MID($B97,COLUMNS($B$13:G$13),1)</f>
        <v>E</v>
      </c>
      <c r="I97" s="464" t="str">
        <f>MID($B97,COLUMNS($B$13:H$13),1)</f>
        <v>n</v>
      </c>
      <c r="J97" s="464" t="str">
        <f>MID($B97,COLUMNS($B$13:I$13),1)</f>
        <v>t</v>
      </c>
      <c r="K97" s="464" t="str">
        <f>MID($B97,COLUMNS($B$13:J$13),1)</f>
        <v>e</v>
      </c>
      <c r="L97" s="464" t="str">
        <f>MID($B97,COLUMNS($B$13:K$13),1)</f>
        <v>r</v>
      </c>
      <c r="M97" s="464" t="str">
        <f>MID($B97,COLUMNS($B$13:L$13),1)</f>
        <v>p</v>
      </c>
      <c r="N97" s="464" t="str">
        <f>MID($B97,COLUMNS($B$13:M$13),1)</f>
        <v>r</v>
      </c>
      <c r="O97" s="464" t="str">
        <f>MID($B97,COLUMNS($B$13:N$13),1)</f>
        <v>i</v>
      </c>
      <c r="P97" s="464" t="str">
        <f>MID($B97,COLUMNS($B$13:O$13),1)</f>
        <v>s</v>
      </c>
      <c r="Q97" s="464" t="str">
        <f>MID($B97,COLUMNS($B$13:P$13),1)</f>
        <v>e</v>
      </c>
      <c r="R97" s="464" t="str">
        <f>MID($B97,COLUMNS($B$13:Q$13),1)</f>
        <v>s</v>
      </c>
      <c r="S97" s="464" t="str">
        <f>MID($B97,COLUMNS($B$13:R$13),1)</f>
        <v xml:space="preserve"> </v>
      </c>
      <c r="T97" s="464" t="str">
        <f>MID($B97,COLUMNS($B$13:S$13),1)</f>
        <v>L</v>
      </c>
      <c r="U97" s="464" t="str">
        <f>MID($B97,COLUMNS($B$13:T$13),1)</f>
        <v>i</v>
      </c>
      <c r="V97" s="464" t="str">
        <f>MID($B97,COLUMNS($B$13:U$13),1)</f>
        <v>m</v>
      </c>
      <c r="W97" s="464" t="str">
        <f>MID($B97,COLUMNS($B$13:V$13),1)</f>
        <v>i</v>
      </c>
      <c r="X97" s="464" t="str">
        <f>MID($B97,COLUMNS($B$13:W$13),1)</f>
        <v>t</v>
      </c>
      <c r="Y97" s="464" t="str">
        <f>MID($B97,COLUMNS($B$13:X$13),1)</f>
        <v>e</v>
      </c>
      <c r="Z97" s="464" t="str">
        <f>MID($B97,COLUMNS($B$13:Y$13),1)</f>
        <v>d</v>
      </c>
      <c r="AA97" s="464" t="str">
        <f>MID($B97,COLUMNS($B$13:Z$13),1)</f>
        <v/>
      </c>
      <c r="AB97" s="464" t="str">
        <f>MID($B97,COLUMNS($B$13:AA$13),1)</f>
        <v/>
      </c>
      <c r="AC97" s="464" t="str">
        <f>MID($B97,COLUMNS($B$13:AB$13),1)</f>
        <v/>
      </c>
      <c r="AD97" s="464" t="str">
        <f>MID($B97,COLUMNS($B$13:AC$13),1)</f>
        <v/>
      </c>
      <c r="AE97" s="464" t="str">
        <f>MID($B97,COLUMNS($B$13:AD$13),1)</f>
        <v/>
      </c>
      <c r="AF97" s="464" t="str">
        <f>MID($B97,COLUMNS($B$13:AE$13),1)</f>
        <v/>
      </c>
      <c r="AG97" s="464" t="str">
        <f>MID($B97,COLUMNS($B$13:AF$13),1)</f>
        <v/>
      </c>
      <c r="AH97" s="464" t="str">
        <f>MID($B97,COLUMNS($B$13:AG$13),1)</f>
        <v/>
      </c>
      <c r="AI97" s="464" t="str">
        <f>MID($B97,COLUMNS($B$13:AH$13),1)</f>
        <v/>
      </c>
      <c r="AJ97" s="464" t="str">
        <f>MID($B97,COLUMNS($B$13:AI$13),1)</f>
        <v/>
      </c>
      <c r="AK97" s="464" t="str">
        <f>MID($B97,COLUMNS($B$13:AJ$13),1)</f>
        <v/>
      </c>
      <c r="AL97" s="464" t="str">
        <f>MID($B97,COLUMNS($B$13:AK$13),1)</f>
        <v/>
      </c>
      <c r="AM97" s="464" t="str">
        <f>MID($B97,COLUMNS($B$13:AL$13),1)</f>
        <v/>
      </c>
      <c r="AN97" s="464" t="str">
        <f>MID($B97,COLUMNS($B$13:AM$13),1)</f>
        <v/>
      </c>
      <c r="AO97" s="464" t="str">
        <f>MID($B97,COLUMNS($B$13:AN$13),1)</f>
        <v/>
      </c>
      <c r="AP97" s="464" t="str">
        <f>MID($B97,COLUMNS($B$13:AO$13),1)</f>
        <v/>
      </c>
      <c r="AQ97" s="464" t="str">
        <f>MID($B97,COLUMNS($B$13:AP$13),1)</f>
        <v/>
      </c>
      <c r="AR97" s="464" t="str">
        <f>MID($B97,COLUMNS($B$13:AQ$13),1)</f>
        <v/>
      </c>
      <c r="AS97" s="464" t="str">
        <f>MID($B97,COLUMNS($B$13:AR$13),1)</f>
        <v/>
      </c>
      <c r="AT97" s="464" t="str">
        <f>MID($B97,COLUMNS($B$13:AS$13),1)</f>
        <v/>
      </c>
      <c r="AU97" s="464" t="str">
        <f>MID($B97,COLUMNS($B$13:AT$13),1)</f>
        <v/>
      </c>
      <c r="AV97" s="464" t="str">
        <f>MID($B97,COLUMNS($B$13:AU$13),1)</f>
        <v/>
      </c>
      <c r="AW97" s="464" t="str">
        <f>MID($B97,COLUMNS($B$13:AV$13),1)</f>
        <v/>
      </c>
      <c r="AX97" s="464" t="str">
        <f>MID($B97,COLUMNS($B$13:AW$13),1)</f>
        <v/>
      </c>
      <c r="AY97" s="464" t="str">
        <f>MID($B97,COLUMNS($B$13:AX$13),1)</f>
        <v/>
      </c>
      <c r="AZ97" s="464" t="str">
        <f>MID($B97,COLUMNS($B$13:AY$13),1)</f>
        <v/>
      </c>
      <c r="BA97" s="464" t="str">
        <f>MID($B97,COLUMNS($B$13:AZ$13),1)</f>
        <v/>
      </c>
      <c r="BB97" s="464" t="str">
        <f>MID($B97,COLUMNS($B$13:BA$13),1)</f>
        <v/>
      </c>
      <c r="BC97" s="464" t="str">
        <f>MID($B97,COLUMNS($B$13:BB$13),1)</f>
        <v/>
      </c>
      <c r="BD97" s="464" t="str">
        <f>MID($B97,COLUMNS($B$13:BC$13),1)</f>
        <v/>
      </c>
      <c r="BE97" s="464" t="str">
        <f>MID($B97,COLUMNS($B$13:BD$13),1)</f>
        <v/>
      </c>
      <c r="BF97" s="464" t="str">
        <f>MID($B97,COLUMNS($B$13:BE$13),1)</f>
        <v/>
      </c>
      <c r="BG97" s="464" t="str">
        <f>MID($B97,COLUMNS($B$13:BF$13),1)</f>
        <v/>
      </c>
      <c r="BH97" s="464" t="str">
        <f>MID($B97,COLUMNS($B$13:BG$13),1)</f>
        <v/>
      </c>
      <c r="BI97" s="464" t="str">
        <f>MID($B97,COLUMNS($B$13:BH$13),1)</f>
        <v/>
      </c>
      <c r="BJ97" s="464" t="str">
        <f>MID($B97,COLUMNS($B$13:BI$13),1)</f>
        <v/>
      </c>
      <c r="BK97" s="464" t="str">
        <f>MID($B97,COLUMNS($B$13:BJ$13),1)</f>
        <v/>
      </c>
      <c r="BL97" s="464" t="str">
        <f>MID($B97,COLUMNS($B$13:BK$13),1)</f>
        <v/>
      </c>
      <c r="BM97" s="464" t="str">
        <f>MID($B97,COLUMNS($B$13:BL$13),1)</f>
        <v/>
      </c>
      <c r="BN97" s="464" t="str">
        <f>MID($B97,COLUMNS($B$13:BM$13),1)</f>
        <v/>
      </c>
      <c r="BO97" s="464" t="str">
        <f>MID($B97,COLUMNS($B$13:BN$13),1)</f>
        <v/>
      </c>
      <c r="BP97" s="464" t="str">
        <f>MID($B97,COLUMNS($B$13:BO$13),1)</f>
        <v/>
      </c>
      <c r="BQ97" s="464" t="str">
        <f>MID($B97,COLUMNS($B$13:BP$13),1)</f>
        <v/>
      </c>
      <c r="BR97" s="464" t="str">
        <f>MID($B97,COLUMNS($B$13:BQ$13),1)</f>
        <v/>
      </c>
      <c r="BS97" s="464" t="str">
        <f>MID($B97,COLUMNS($B$13:BR$13),1)</f>
        <v/>
      </c>
      <c r="BT97" s="464" t="str">
        <f>MID($B97,COLUMNS($B$13:BS$13),1)</f>
        <v/>
      </c>
    </row>
    <row r="98" spans="1:74" x14ac:dyDescent="0.3">
      <c r="A98" s="463"/>
      <c r="C98" s="464">
        <f>IFERROR(VLOOKUP(C97,$BL:$BM,2,0),0)</f>
        <v>1</v>
      </c>
      <c r="D98" s="464">
        <f t="shared" ref="D98:BO98" si="79">IFERROR(VLOOKUP(D97,$BL:$BM,2,0),0)</f>
        <v>6</v>
      </c>
      <c r="E98" s="464">
        <f t="shared" si="79"/>
        <v>1</v>
      </c>
      <c r="F98" s="464">
        <f t="shared" si="79"/>
        <v>1</v>
      </c>
      <c r="G98" s="464">
        <f t="shared" si="79"/>
        <v>0</v>
      </c>
      <c r="H98" s="464">
        <f t="shared" si="79"/>
        <v>5</v>
      </c>
      <c r="I98" s="464">
        <f t="shared" si="79"/>
        <v>5</v>
      </c>
      <c r="J98" s="464">
        <f t="shared" si="79"/>
        <v>4</v>
      </c>
      <c r="K98" s="464">
        <f t="shared" si="79"/>
        <v>5</v>
      </c>
      <c r="L98" s="464">
        <f t="shared" si="79"/>
        <v>2</v>
      </c>
      <c r="M98" s="464">
        <f t="shared" si="79"/>
        <v>8</v>
      </c>
      <c r="N98" s="464">
        <f t="shared" si="79"/>
        <v>2</v>
      </c>
      <c r="O98" s="464">
        <f t="shared" si="79"/>
        <v>1</v>
      </c>
      <c r="P98" s="464">
        <f t="shared" si="79"/>
        <v>3</v>
      </c>
      <c r="Q98" s="464">
        <f t="shared" si="79"/>
        <v>5</v>
      </c>
      <c r="R98" s="464">
        <f t="shared" si="79"/>
        <v>3</v>
      </c>
      <c r="S98" s="464">
        <f t="shared" si="79"/>
        <v>0</v>
      </c>
      <c r="T98" s="464">
        <f t="shared" si="79"/>
        <v>3</v>
      </c>
      <c r="U98" s="464">
        <f t="shared" si="79"/>
        <v>1</v>
      </c>
      <c r="V98" s="464">
        <f t="shared" si="79"/>
        <v>4</v>
      </c>
      <c r="W98" s="464">
        <f t="shared" si="79"/>
        <v>1</v>
      </c>
      <c r="X98" s="464">
        <f t="shared" si="79"/>
        <v>4</v>
      </c>
      <c r="Y98" s="464">
        <f t="shared" si="79"/>
        <v>5</v>
      </c>
      <c r="Z98" s="464">
        <f t="shared" si="79"/>
        <v>4</v>
      </c>
      <c r="AA98" s="464" t="str">
        <f t="shared" si="79"/>
        <v/>
      </c>
      <c r="AB98" s="464" t="str">
        <f t="shared" si="79"/>
        <v/>
      </c>
      <c r="AC98" s="464" t="str">
        <f t="shared" si="79"/>
        <v/>
      </c>
      <c r="AD98" s="464" t="str">
        <f t="shared" si="79"/>
        <v/>
      </c>
      <c r="AE98" s="464" t="str">
        <f t="shared" si="79"/>
        <v/>
      </c>
      <c r="AF98" s="464" t="str">
        <f t="shared" si="79"/>
        <v/>
      </c>
      <c r="AG98" s="464" t="str">
        <f t="shared" si="79"/>
        <v/>
      </c>
      <c r="AH98" s="464" t="str">
        <f t="shared" si="79"/>
        <v/>
      </c>
      <c r="AI98" s="464" t="str">
        <f t="shared" si="79"/>
        <v/>
      </c>
      <c r="AJ98" s="464" t="str">
        <f t="shared" si="79"/>
        <v/>
      </c>
      <c r="AK98" s="464" t="str">
        <f t="shared" si="79"/>
        <v/>
      </c>
      <c r="AL98" s="464" t="str">
        <f t="shared" si="79"/>
        <v/>
      </c>
      <c r="AM98" s="464" t="str">
        <f t="shared" si="79"/>
        <v/>
      </c>
      <c r="AN98" s="464" t="str">
        <f t="shared" si="79"/>
        <v/>
      </c>
      <c r="AO98" s="464" t="str">
        <f t="shared" si="79"/>
        <v/>
      </c>
      <c r="AP98" s="464" t="str">
        <f t="shared" si="79"/>
        <v/>
      </c>
      <c r="AQ98" s="464" t="str">
        <f t="shared" si="79"/>
        <v/>
      </c>
      <c r="AR98" s="464" t="str">
        <f t="shared" si="79"/>
        <v/>
      </c>
      <c r="AS98" s="464" t="str">
        <f t="shared" si="79"/>
        <v/>
      </c>
      <c r="AT98" s="464" t="str">
        <f t="shared" si="79"/>
        <v/>
      </c>
      <c r="AU98" s="464" t="str">
        <f t="shared" si="79"/>
        <v/>
      </c>
      <c r="AV98" s="464" t="str">
        <f t="shared" si="79"/>
        <v/>
      </c>
      <c r="AW98" s="464" t="str">
        <f t="shared" si="79"/>
        <v/>
      </c>
      <c r="AX98" s="464" t="str">
        <f t="shared" si="79"/>
        <v/>
      </c>
      <c r="AY98" s="464" t="str">
        <f t="shared" si="79"/>
        <v/>
      </c>
      <c r="AZ98" s="464" t="str">
        <f t="shared" si="79"/>
        <v/>
      </c>
      <c r="BA98" s="464" t="str">
        <f t="shared" si="79"/>
        <v/>
      </c>
      <c r="BB98" s="464" t="str">
        <f t="shared" si="79"/>
        <v/>
      </c>
      <c r="BC98" s="464" t="str">
        <f t="shared" si="79"/>
        <v/>
      </c>
      <c r="BD98" s="464" t="str">
        <f t="shared" si="79"/>
        <v/>
      </c>
      <c r="BE98" s="464" t="str">
        <f t="shared" si="79"/>
        <v/>
      </c>
      <c r="BF98" s="464" t="str">
        <f t="shared" si="79"/>
        <v/>
      </c>
      <c r="BG98" s="464" t="str">
        <f t="shared" si="79"/>
        <v/>
      </c>
      <c r="BH98" s="464" t="str">
        <f t="shared" si="79"/>
        <v/>
      </c>
      <c r="BI98" s="464" t="str">
        <f t="shared" si="79"/>
        <v/>
      </c>
      <c r="BJ98" s="464" t="str">
        <f t="shared" si="79"/>
        <v/>
      </c>
      <c r="BK98" s="464" t="str">
        <f t="shared" si="79"/>
        <v/>
      </c>
      <c r="BL98" s="464" t="str">
        <f t="shared" si="79"/>
        <v/>
      </c>
      <c r="BM98" s="464" t="str">
        <f t="shared" si="79"/>
        <v/>
      </c>
      <c r="BN98" s="464" t="str">
        <f t="shared" si="79"/>
        <v/>
      </c>
      <c r="BO98" s="464" t="str">
        <f t="shared" si="79"/>
        <v/>
      </c>
      <c r="BP98" s="464" t="str">
        <f t="shared" ref="BP98:BT98" si="80">IFERROR(VLOOKUP(BP97,$BL:$BM,2,0),0)</f>
        <v/>
      </c>
      <c r="BQ98" s="464" t="str">
        <f t="shared" si="80"/>
        <v/>
      </c>
      <c r="BR98" s="464" t="str">
        <f t="shared" si="80"/>
        <v/>
      </c>
      <c r="BS98" s="464" t="str">
        <f t="shared" si="80"/>
        <v/>
      </c>
      <c r="BT98" s="464" t="str">
        <f t="shared" si="80"/>
        <v/>
      </c>
      <c r="BU98" s="465">
        <f>SUM(C98:BT98)</f>
        <v>74</v>
      </c>
      <c r="BV98" s="483">
        <f>MOD(BU98-1,9)+1</f>
        <v>2</v>
      </c>
    </row>
    <row r="99" spans="1:74" x14ac:dyDescent="0.3">
      <c r="BL99" s="465"/>
      <c r="BM99" s="465"/>
      <c r="BP99" s="465"/>
    </row>
    <row r="100" spans="1:74" x14ac:dyDescent="0.3">
      <c r="BL100" s="465"/>
      <c r="BM100" s="465"/>
      <c r="BP100" s="465"/>
    </row>
    <row r="101" spans="1:74" x14ac:dyDescent="0.3">
      <c r="A101" s="463" t="s">
        <v>17</v>
      </c>
      <c r="B101" s="464" t="str">
        <f>'Mobile-Vehicle-House-Bank-CoNam'!B30</f>
        <v>ChaganBahi Maganbhai Chimanlal Financial Services Private Limited</v>
      </c>
      <c r="C101" s="464" t="str">
        <f>MID($B101,COLUMNS($B$13:B$13),1)</f>
        <v>C</v>
      </c>
      <c r="D101" s="464" t="str">
        <f>MID($B101,COLUMNS($B$13:C$13),1)</f>
        <v>h</v>
      </c>
      <c r="E101" s="464" t="str">
        <f>MID($B101,COLUMNS($B$13:D$13),1)</f>
        <v>a</v>
      </c>
      <c r="F101" s="464" t="str">
        <f>MID($B101,COLUMNS($B$13:E$13),1)</f>
        <v>g</v>
      </c>
      <c r="G101" s="464" t="str">
        <f>MID($B101,COLUMNS($B$13:F$13),1)</f>
        <v>a</v>
      </c>
      <c r="H101" s="464" t="str">
        <f>MID($B101,COLUMNS($B$13:G$13),1)</f>
        <v>n</v>
      </c>
      <c r="I101" s="464" t="str">
        <f>MID($B101,COLUMNS($B$13:H$13),1)</f>
        <v>B</v>
      </c>
      <c r="J101" s="464" t="str">
        <f>MID($B101,COLUMNS($B$13:I$13),1)</f>
        <v>a</v>
      </c>
      <c r="K101" s="464" t="str">
        <f>MID($B101,COLUMNS($B$13:J$13),1)</f>
        <v>h</v>
      </c>
      <c r="L101" s="464" t="str">
        <f>MID($B101,COLUMNS($B$13:K$13),1)</f>
        <v>i</v>
      </c>
      <c r="M101" s="464" t="str">
        <f>MID($B101,COLUMNS($B$13:L$13),1)</f>
        <v xml:space="preserve"> </v>
      </c>
      <c r="N101" s="464" t="str">
        <f>MID($B101,COLUMNS($B$13:M$13),1)</f>
        <v>M</v>
      </c>
      <c r="O101" s="464" t="str">
        <f>MID($B101,COLUMNS($B$13:N$13),1)</f>
        <v>a</v>
      </c>
      <c r="P101" s="464" t="str">
        <f>MID($B101,COLUMNS($B$13:O$13),1)</f>
        <v>g</v>
      </c>
      <c r="Q101" s="464" t="str">
        <f>MID($B101,COLUMNS($B$13:P$13),1)</f>
        <v>a</v>
      </c>
      <c r="R101" s="464" t="str">
        <f>MID($B101,COLUMNS($B$13:Q$13),1)</f>
        <v>n</v>
      </c>
      <c r="S101" s="464" t="str">
        <f>MID($B101,COLUMNS($B$13:R$13),1)</f>
        <v>b</v>
      </c>
      <c r="T101" s="464" t="str">
        <f>MID($B101,COLUMNS($B$13:S$13),1)</f>
        <v>h</v>
      </c>
      <c r="U101" s="464" t="str">
        <f>MID($B101,COLUMNS($B$13:T$13),1)</f>
        <v>a</v>
      </c>
      <c r="V101" s="464" t="str">
        <f>MID($B101,COLUMNS($B$13:U$13),1)</f>
        <v>i</v>
      </c>
      <c r="W101" s="464" t="str">
        <f>MID($B101,COLUMNS($B$13:V$13),1)</f>
        <v xml:space="preserve"> </v>
      </c>
      <c r="X101" s="464" t="str">
        <f>MID($B101,COLUMNS($B$13:W$13),1)</f>
        <v>C</v>
      </c>
      <c r="Y101" s="464" t="str">
        <f>MID($B101,COLUMNS($B$13:X$13),1)</f>
        <v>h</v>
      </c>
      <c r="Z101" s="464" t="str">
        <f>MID($B101,COLUMNS($B$13:Y$13),1)</f>
        <v>i</v>
      </c>
      <c r="AA101" s="464" t="str">
        <f>MID($B101,COLUMNS($B$13:Z$13),1)</f>
        <v>m</v>
      </c>
      <c r="AB101" s="464" t="str">
        <f>MID($B101,COLUMNS($B$13:AA$13),1)</f>
        <v>a</v>
      </c>
      <c r="AC101" s="464" t="str">
        <f>MID($B101,COLUMNS($B$13:AB$13),1)</f>
        <v>n</v>
      </c>
      <c r="AD101" s="464" t="str">
        <f>MID($B101,COLUMNS($B$13:AC$13),1)</f>
        <v>l</v>
      </c>
      <c r="AE101" s="464" t="str">
        <f>MID($B101,COLUMNS($B$13:AD$13),1)</f>
        <v>a</v>
      </c>
      <c r="AF101" s="464" t="str">
        <f>MID($B101,COLUMNS($B$13:AE$13),1)</f>
        <v>l</v>
      </c>
      <c r="AG101" s="464" t="str">
        <f>MID($B101,COLUMNS($B$13:AF$13),1)</f>
        <v xml:space="preserve"> </v>
      </c>
      <c r="AH101" s="464" t="str">
        <f>MID($B101,COLUMNS($B$13:AG$13),1)</f>
        <v>F</v>
      </c>
      <c r="AI101" s="464" t="str">
        <f>MID($B101,COLUMNS($B$13:AH$13),1)</f>
        <v>i</v>
      </c>
      <c r="AJ101" s="464" t="str">
        <f>MID($B101,COLUMNS($B$13:AI$13),1)</f>
        <v>n</v>
      </c>
      <c r="AK101" s="464" t="str">
        <f>MID($B101,COLUMNS($B$13:AJ$13),1)</f>
        <v>a</v>
      </c>
      <c r="AL101" s="464" t="str">
        <f>MID($B101,COLUMNS($B$13:AK$13),1)</f>
        <v>n</v>
      </c>
      <c r="AM101" s="464" t="str">
        <f>MID($B101,COLUMNS($B$13:AL$13),1)</f>
        <v>c</v>
      </c>
      <c r="AN101" s="464" t="str">
        <f>MID($B101,COLUMNS($B$13:AM$13),1)</f>
        <v>i</v>
      </c>
      <c r="AO101" s="464" t="str">
        <f>MID($B101,COLUMNS($B$13:AN$13),1)</f>
        <v>a</v>
      </c>
      <c r="AP101" s="464" t="str">
        <f>MID($B101,COLUMNS($B$13:AO$13),1)</f>
        <v>l</v>
      </c>
      <c r="AQ101" s="464" t="str">
        <f>MID($B101,COLUMNS($B$13:AP$13),1)</f>
        <v xml:space="preserve"> </v>
      </c>
      <c r="AR101" s="464" t="str">
        <f>MID($B101,COLUMNS($B$13:AQ$13),1)</f>
        <v>S</v>
      </c>
      <c r="AS101" s="464" t="str">
        <f>MID($B101,COLUMNS($B$13:AR$13),1)</f>
        <v>e</v>
      </c>
      <c r="AT101" s="464" t="str">
        <f>MID($B101,COLUMNS($B$13:AS$13),1)</f>
        <v>r</v>
      </c>
      <c r="AU101" s="464" t="str">
        <f>MID($B101,COLUMNS($B$13:AT$13),1)</f>
        <v>v</v>
      </c>
      <c r="AV101" s="464" t="str">
        <f>MID($B101,COLUMNS($B$13:AU$13),1)</f>
        <v>i</v>
      </c>
      <c r="AW101" s="464" t="str">
        <f>MID($B101,COLUMNS($B$13:AV$13),1)</f>
        <v>c</v>
      </c>
      <c r="AX101" s="464" t="str">
        <f>MID($B101,COLUMNS($B$13:AW$13),1)</f>
        <v>e</v>
      </c>
      <c r="AY101" s="464" t="str">
        <f>MID($B101,COLUMNS($B$13:AX$13),1)</f>
        <v>s</v>
      </c>
      <c r="AZ101" s="464" t="str">
        <f>MID($B101,COLUMNS($B$13:AY$13),1)</f>
        <v xml:space="preserve"> </v>
      </c>
      <c r="BA101" s="464" t="str">
        <f>MID($B101,COLUMNS($B$13:AZ$13),1)</f>
        <v>P</v>
      </c>
      <c r="BB101" s="464" t="str">
        <f>MID($B101,COLUMNS($B$13:BA$13),1)</f>
        <v>r</v>
      </c>
      <c r="BC101" s="464" t="str">
        <f>MID($B101,COLUMNS($B$13:BB$13),1)</f>
        <v>i</v>
      </c>
      <c r="BD101" s="464" t="str">
        <f>MID($B101,COLUMNS($B$13:BC$13),1)</f>
        <v>v</v>
      </c>
      <c r="BE101" s="464" t="str">
        <f>MID($B101,COLUMNS($B$13:BD$13),1)</f>
        <v>a</v>
      </c>
      <c r="BF101" s="464" t="str">
        <f>MID($B101,COLUMNS($B$13:BE$13),1)</f>
        <v>t</v>
      </c>
      <c r="BG101" s="464" t="str">
        <f>MID($B101,COLUMNS($B$13:BF$13),1)</f>
        <v>e</v>
      </c>
      <c r="BH101" s="464" t="str">
        <f>MID($B101,COLUMNS($B$13:BG$13),1)</f>
        <v xml:space="preserve"> </v>
      </c>
      <c r="BI101" s="464" t="str">
        <f>MID($B101,COLUMNS($B$13:BH$13),1)</f>
        <v>L</v>
      </c>
      <c r="BJ101" s="464" t="str">
        <f>MID($B101,COLUMNS($B$13:BI$13),1)</f>
        <v>i</v>
      </c>
      <c r="BK101" s="464" t="str">
        <f>MID($B101,COLUMNS($B$13:BJ$13),1)</f>
        <v>m</v>
      </c>
      <c r="BL101" s="464" t="str">
        <f>MID($B101,COLUMNS($B$13:BK$13),1)</f>
        <v>i</v>
      </c>
      <c r="BM101" s="464" t="str">
        <f>MID($B101,COLUMNS($B$13:BL$13),1)</f>
        <v>t</v>
      </c>
      <c r="BN101" s="464" t="str">
        <f>MID($B101,COLUMNS($B$13:BM$13),1)</f>
        <v>e</v>
      </c>
      <c r="BO101" s="464" t="str">
        <f>MID($B101,COLUMNS($B$13:BN$13),1)</f>
        <v>d</v>
      </c>
      <c r="BP101" s="464" t="str">
        <f>MID($B101,COLUMNS($B$13:BO$13),1)</f>
        <v/>
      </c>
      <c r="BQ101" s="464" t="str">
        <f>MID($B101,COLUMNS($B$13:BP$13),1)</f>
        <v/>
      </c>
      <c r="BR101" s="464" t="str">
        <f>MID($B101,COLUMNS($B$13:BQ$13),1)</f>
        <v/>
      </c>
      <c r="BS101" s="464" t="str">
        <f>MID($B101,COLUMNS($B$13:BR$13),1)</f>
        <v/>
      </c>
      <c r="BT101" s="464" t="str">
        <f>MID($B101,COLUMNS($B$13:BS$13),1)</f>
        <v/>
      </c>
    </row>
    <row r="102" spans="1:74" x14ac:dyDescent="0.3">
      <c r="A102" s="463"/>
      <c r="C102" s="464">
        <f>IFERROR(VLOOKUP(C101,$BL:$BM,2,0),0)</f>
        <v>3</v>
      </c>
      <c r="D102" s="464">
        <f t="shared" ref="D102:BO102" si="81">IFERROR(VLOOKUP(D101,$BL:$BM,2,0),0)</f>
        <v>5</v>
      </c>
      <c r="E102" s="464">
        <f t="shared" si="81"/>
        <v>1</v>
      </c>
      <c r="F102" s="464">
        <f t="shared" si="81"/>
        <v>3</v>
      </c>
      <c r="G102" s="464">
        <f t="shared" si="81"/>
        <v>1</v>
      </c>
      <c r="H102" s="464">
        <f t="shared" si="81"/>
        <v>5</v>
      </c>
      <c r="I102" s="464">
        <f t="shared" si="81"/>
        <v>2</v>
      </c>
      <c r="J102" s="464">
        <f t="shared" si="81"/>
        <v>1</v>
      </c>
      <c r="K102" s="464">
        <f t="shared" si="81"/>
        <v>5</v>
      </c>
      <c r="L102" s="464">
        <f t="shared" si="81"/>
        <v>1</v>
      </c>
      <c r="M102" s="464">
        <f t="shared" si="81"/>
        <v>0</v>
      </c>
      <c r="N102" s="464">
        <f t="shared" si="81"/>
        <v>4</v>
      </c>
      <c r="O102" s="464">
        <f t="shared" si="81"/>
        <v>1</v>
      </c>
      <c r="P102" s="464">
        <f t="shared" si="81"/>
        <v>3</v>
      </c>
      <c r="Q102" s="464">
        <f t="shared" si="81"/>
        <v>1</v>
      </c>
      <c r="R102" s="464">
        <f t="shared" si="81"/>
        <v>5</v>
      </c>
      <c r="S102" s="464">
        <f t="shared" si="81"/>
        <v>2</v>
      </c>
      <c r="T102" s="464">
        <f t="shared" si="81"/>
        <v>5</v>
      </c>
      <c r="U102" s="464">
        <f t="shared" si="81"/>
        <v>1</v>
      </c>
      <c r="V102" s="464">
        <f t="shared" si="81"/>
        <v>1</v>
      </c>
      <c r="W102" s="464">
        <f t="shared" si="81"/>
        <v>0</v>
      </c>
      <c r="X102" s="464">
        <f t="shared" si="81"/>
        <v>3</v>
      </c>
      <c r="Y102" s="464">
        <f t="shared" si="81"/>
        <v>5</v>
      </c>
      <c r="Z102" s="464">
        <f t="shared" si="81"/>
        <v>1</v>
      </c>
      <c r="AA102" s="464">
        <f t="shared" si="81"/>
        <v>4</v>
      </c>
      <c r="AB102" s="464">
        <f t="shared" si="81"/>
        <v>1</v>
      </c>
      <c r="AC102" s="464">
        <f t="shared" si="81"/>
        <v>5</v>
      </c>
      <c r="AD102" s="464">
        <f t="shared" si="81"/>
        <v>3</v>
      </c>
      <c r="AE102" s="464">
        <f t="shared" si="81"/>
        <v>1</v>
      </c>
      <c r="AF102" s="464">
        <f t="shared" si="81"/>
        <v>3</v>
      </c>
      <c r="AG102" s="464">
        <f t="shared" si="81"/>
        <v>0</v>
      </c>
      <c r="AH102" s="464">
        <f t="shared" si="81"/>
        <v>8</v>
      </c>
      <c r="AI102" s="464">
        <f t="shared" si="81"/>
        <v>1</v>
      </c>
      <c r="AJ102" s="464">
        <f t="shared" si="81"/>
        <v>5</v>
      </c>
      <c r="AK102" s="464">
        <f t="shared" si="81"/>
        <v>1</v>
      </c>
      <c r="AL102" s="464">
        <f t="shared" si="81"/>
        <v>5</v>
      </c>
      <c r="AM102" s="464">
        <f t="shared" si="81"/>
        <v>3</v>
      </c>
      <c r="AN102" s="464">
        <f t="shared" si="81"/>
        <v>1</v>
      </c>
      <c r="AO102" s="464">
        <f t="shared" si="81"/>
        <v>1</v>
      </c>
      <c r="AP102" s="464">
        <f t="shared" si="81"/>
        <v>3</v>
      </c>
      <c r="AQ102" s="464">
        <f t="shared" si="81"/>
        <v>0</v>
      </c>
      <c r="AR102" s="464">
        <f t="shared" si="81"/>
        <v>3</v>
      </c>
      <c r="AS102" s="464">
        <f t="shared" si="81"/>
        <v>5</v>
      </c>
      <c r="AT102" s="464">
        <f t="shared" si="81"/>
        <v>2</v>
      </c>
      <c r="AU102" s="464">
        <f t="shared" si="81"/>
        <v>6</v>
      </c>
      <c r="AV102" s="464">
        <f t="shared" si="81"/>
        <v>1</v>
      </c>
      <c r="AW102" s="464">
        <f t="shared" si="81"/>
        <v>3</v>
      </c>
      <c r="AX102" s="464">
        <f t="shared" si="81"/>
        <v>5</v>
      </c>
      <c r="AY102" s="464">
        <f t="shared" si="81"/>
        <v>3</v>
      </c>
      <c r="AZ102" s="464">
        <f t="shared" si="81"/>
        <v>0</v>
      </c>
      <c r="BA102" s="464">
        <f t="shared" si="81"/>
        <v>8</v>
      </c>
      <c r="BB102" s="464">
        <f t="shared" si="81"/>
        <v>2</v>
      </c>
      <c r="BC102" s="464">
        <f t="shared" si="81"/>
        <v>1</v>
      </c>
      <c r="BD102" s="464">
        <f t="shared" si="81"/>
        <v>6</v>
      </c>
      <c r="BE102" s="464">
        <f t="shared" si="81"/>
        <v>1</v>
      </c>
      <c r="BF102" s="464">
        <f t="shared" si="81"/>
        <v>4</v>
      </c>
      <c r="BG102" s="464">
        <f t="shared" si="81"/>
        <v>5</v>
      </c>
      <c r="BH102" s="464">
        <f t="shared" si="81"/>
        <v>0</v>
      </c>
      <c r="BI102" s="464">
        <f t="shared" si="81"/>
        <v>3</v>
      </c>
      <c r="BJ102" s="464">
        <f t="shared" si="81"/>
        <v>1</v>
      </c>
      <c r="BK102" s="464">
        <f t="shared" si="81"/>
        <v>4</v>
      </c>
      <c r="BL102" s="464">
        <f t="shared" si="81"/>
        <v>1</v>
      </c>
      <c r="BM102" s="464">
        <f t="shared" si="81"/>
        <v>4</v>
      </c>
      <c r="BN102" s="464">
        <f t="shared" si="81"/>
        <v>5</v>
      </c>
      <c r="BO102" s="464">
        <f t="shared" si="81"/>
        <v>4</v>
      </c>
      <c r="BP102" s="464" t="str">
        <f t="shared" ref="BP102:BT102" si="82">IFERROR(VLOOKUP(BP101,$BL:$BM,2,0),0)</f>
        <v/>
      </c>
      <c r="BQ102" s="464" t="str">
        <f t="shared" si="82"/>
        <v/>
      </c>
      <c r="BR102" s="464" t="str">
        <f t="shared" si="82"/>
        <v/>
      </c>
      <c r="BS102" s="464" t="str">
        <f t="shared" si="82"/>
        <v/>
      </c>
      <c r="BT102" s="464" t="str">
        <f t="shared" si="82"/>
        <v/>
      </c>
      <c r="BU102" s="465">
        <f>SUM(C102:BT102)</f>
        <v>181</v>
      </c>
      <c r="BV102" s="483">
        <f>MOD(BU102-1,9)+1</f>
        <v>1</v>
      </c>
    </row>
  </sheetData>
  <mergeCells count="11">
    <mergeCell ref="BW74:BY74"/>
    <mergeCell ref="BZ81:CG81"/>
    <mergeCell ref="BA12:BJ12"/>
    <mergeCell ref="BO12:BP12"/>
    <mergeCell ref="BW54:BY54"/>
    <mergeCell ref="BZ61:CG61"/>
    <mergeCell ref="BW12:BY12"/>
    <mergeCell ref="BZ19:CG19"/>
    <mergeCell ref="BW33:BY33"/>
    <mergeCell ref="BZ40:CG40"/>
    <mergeCell ref="BT51:BW51"/>
  </mergeCells>
  <conditionalFormatting sqref="AP2">
    <cfRule type="cellIs" dxfId="92" priority="138" operator="equal">
      <formula>"√"</formula>
    </cfRule>
    <cfRule type="cellIs" dxfId="91" priority="139" operator="equal">
      <formula>"*"</formula>
    </cfRule>
    <cfRule type="cellIs" dxfId="90" priority="140" operator="equal">
      <formula>"X"</formula>
    </cfRule>
  </conditionalFormatting>
  <conditionalFormatting sqref="AP7">
    <cfRule type="cellIs" dxfId="89" priority="135" operator="equal">
      <formula>"√"</formula>
    </cfRule>
    <cfRule type="cellIs" dxfId="88" priority="136" operator="equal">
      <formula>"*"</formula>
    </cfRule>
    <cfRule type="cellIs" dxfId="87" priority="137" operator="equal">
      <formula>"X"</formula>
    </cfRule>
  </conditionalFormatting>
  <conditionalFormatting sqref="AP13">
    <cfRule type="cellIs" dxfId="86" priority="132" operator="equal">
      <formula>"√"</formula>
    </cfRule>
    <cfRule type="cellIs" dxfId="85" priority="133" operator="equal">
      <formula>"*"</formula>
    </cfRule>
    <cfRule type="cellIs" dxfId="84" priority="134" operator="equal">
      <formula>"X"</formula>
    </cfRule>
  </conditionalFormatting>
  <conditionalFormatting sqref="AP18">
    <cfRule type="cellIs" dxfId="83" priority="129" operator="equal">
      <formula>"√"</formula>
    </cfRule>
    <cfRule type="cellIs" dxfId="82" priority="130" operator="equal">
      <formula>"*"</formula>
    </cfRule>
    <cfRule type="cellIs" dxfId="81" priority="131" operator="equal">
      <formula>"X"</formula>
    </cfRule>
  </conditionalFormatting>
  <conditionalFormatting sqref="AP23">
    <cfRule type="cellIs" dxfId="80" priority="126" operator="equal">
      <formula>"√"</formula>
    </cfRule>
    <cfRule type="cellIs" dxfId="79" priority="127" operator="equal">
      <formula>"*"</formula>
    </cfRule>
    <cfRule type="cellIs" dxfId="78" priority="128" operator="equal">
      <formula>"X"</formula>
    </cfRule>
  </conditionalFormatting>
  <conditionalFormatting sqref="AP28">
    <cfRule type="cellIs" dxfId="77" priority="123" operator="equal">
      <formula>"√"</formula>
    </cfRule>
    <cfRule type="cellIs" dxfId="76" priority="124" operator="equal">
      <formula>"*"</formula>
    </cfRule>
    <cfRule type="cellIs" dxfId="75" priority="125" operator="equal">
      <formula>"X"</formula>
    </cfRule>
  </conditionalFormatting>
  <conditionalFormatting sqref="AP33">
    <cfRule type="cellIs" dxfId="74" priority="120" operator="equal">
      <formula>"√"</formula>
    </cfRule>
    <cfRule type="cellIs" dxfId="73" priority="121" operator="equal">
      <formula>"*"</formula>
    </cfRule>
    <cfRule type="cellIs" dxfId="72" priority="122" operator="equal">
      <formula>"X"</formula>
    </cfRule>
  </conditionalFormatting>
  <conditionalFormatting sqref="AP38">
    <cfRule type="cellIs" dxfId="71" priority="117" operator="equal">
      <formula>"√"</formula>
    </cfRule>
    <cfRule type="cellIs" dxfId="70" priority="118" operator="equal">
      <formula>"*"</formula>
    </cfRule>
    <cfRule type="cellIs" dxfId="69" priority="119" operator="equal">
      <formula>"X"</formula>
    </cfRule>
  </conditionalFormatting>
  <conditionalFormatting sqref="BW37:BW40">
    <cfRule type="cellIs" dxfId="68" priority="108" operator="equal">
      <formula>"A"</formula>
    </cfRule>
  </conditionalFormatting>
  <conditionalFormatting sqref="BX21:BX28">
    <cfRule type="colorScale" priority="101">
      <colorScale>
        <cfvo type="min"/>
        <cfvo type="max"/>
        <color rgb="FFFF3399"/>
        <color theme="8" tint="0.79998168889431442"/>
      </colorScale>
    </cfRule>
  </conditionalFormatting>
  <conditionalFormatting sqref="CF21:CF32">
    <cfRule type="cellIs" dxfId="67" priority="100" operator="greaterThan">
      <formula>1</formula>
    </cfRule>
  </conditionalFormatting>
  <conditionalFormatting sqref="CG21:CG32">
    <cfRule type="cellIs" dxfId="66" priority="99" operator="greaterThan">
      <formula>1</formula>
    </cfRule>
  </conditionalFormatting>
  <conditionalFormatting sqref="CF42:CF50">
    <cfRule type="cellIs" dxfId="65" priority="98" operator="greaterThan">
      <formula>1</formula>
    </cfRule>
  </conditionalFormatting>
  <conditionalFormatting sqref="CG42:CG50">
    <cfRule type="cellIs" dxfId="64" priority="97" operator="greaterThan">
      <formula>1</formula>
    </cfRule>
  </conditionalFormatting>
  <conditionalFormatting sqref="BZ21:CC29">
    <cfRule type="cellIs" dxfId="63" priority="96" operator="equal">
      <formula>0</formula>
    </cfRule>
  </conditionalFormatting>
  <conditionalFormatting sqref="BW14">
    <cfRule type="cellIs" dxfId="62" priority="94" operator="equal">
      <formula>"Active"</formula>
    </cfRule>
  </conditionalFormatting>
  <conditionalFormatting sqref="BX14">
    <cfRule type="cellIs" dxfId="61" priority="93" operator="equal">
      <formula>"Active"</formula>
    </cfRule>
  </conditionalFormatting>
  <conditionalFormatting sqref="BW35">
    <cfRule type="cellIs" dxfId="60" priority="92" operator="equal">
      <formula>"Active"</formula>
    </cfRule>
  </conditionalFormatting>
  <conditionalFormatting sqref="BX35">
    <cfRule type="cellIs" dxfId="59" priority="91" operator="equal">
      <formula>"Active"</formula>
    </cfRule>
  </conditionalFormatting>
  <conditionalFormatting sqref="BW37:BW40">
    <cfRule type="cellIs" dxfId="58" priority="89" operator="equal">
      <formula>"SA"</formula>
    </cfRule>
    <cfRule type="cellIs" dxfId="57" priority="90" operator="equal">
      <formula>"A"</formula>
    </cfRule>
  </conditionalFormatting>
  <conditionalFormatting sqref="BZ30:CC32">
    <cfRule type="cellIs" dxfId="56" priority="88" operator="greaterThan">
      <formula>1</formula>
    </cfRule>
  </conditionalFormatting>
  <conditionalFormatting sqref="BX42">
    <cfRule type="colorScale" priority="87">
      <colorScale>
        <cfvo type="min"/>
        <cfvo type="max"/>
        <color rgb="FFFF3399"/>
        <color theme="8" tint="0.79998168889431442"/>
      </colorScale>
    </cfRule>
  </conditionalFormatting>
  <conditionalFormatting sqref="BX43:BX49">
    <cfRule type="colorScale" priority="85">
      <colorScale>
        <cfvo type="min"/>
        <cfvo type="max"/>
        <color rgb="FFFF3399"/>
        <color theme="8" tint="0.79998168889431442"/>
      </colorScale>
    </cfRule>
  </conditionalFormatting>
  <conditionalFormatting sqref="BZ64:CC71">
    <cfRule type="cellIs" dxfId="55" priority="61" operator="equal">
      <formula>0</formula>
    </cfRule>
  </conditionalFormatting>
  <conditionalFormatting sqref="BZ42:CC42">
    <cfRule type="cellIs" dxfId="54" priority="81" operator="equal">
      <formula>0</formula>
    </cfRule>
  </conditionalFormatting>
  <conditionalFormatting sqref="BZ43:CC50">
    <cfRule type="cellIs" dxfId="53" priority="80" operator="equal">
      <formula>0</formula>
    </cfRule>
  </conditionalFormatting>
  <conditionalFormatting sqref="CF53">
    <cfRule type="cellIs" dxfId="52" priority="75" operator="greaterThan">
      <formula>1</formula>
    </cfRule>
  </conditionalFormatting>
  <conditionalFormatting sqref="CG53">
    <cfRule type="cellIs" dxfId="51" priority="74" operator="greaterThan">
      <formula>1</formula>
    </cfRule>
  </conditionalFormatting>
  <conditionalFormatting sqref="CF63:CF71">
    <cfRule type="cellIs" dxfId="50" priority="73" operator="greaterThan">
      <formula>1</formula>
    </cfRule>
  </conditionalFormatting>
  <conditionalFormatting sqref="CG63:CG71">
    <cfRule type="cellIs" dxfId="49" priority="72" operator="greaterThan">
      <formula>1</formula>
    </cfRule>
  </conditionalFormatting>
  <conditionalFormatting sqref="BW56">
    <cfRule type="cellIs" dxfId="48" priority="71" operator="equal">
      <formula>"Active"</formula>
    </cfRule>
  </conditionalFormatting>
  <conditionalFormatting sqref="BX56">
    <cfRule type="cellIs" dxfId="47" priority="70" operator="equal">
      <formula>"Active"</formula>
    </cfRule>
  </conditionalFormatting>
  <conditionalFormatting sqref="BZ53:CC53">
    <cfRule type="cellIs" dxfId="46" priority="67" operator="greaterThan">
      <formula>1</formula>
    </cfRule>
  </conditionalFormatting>
  <conditionalFormatting sqref="BX63">
    <cfRule type="colorScale" priority="66">
      <colorScale>
        <cfvo type="min"/>
        <cfvo type="max"/>
        <color rgb="FFFF3399"/>
        <color theme="8" tint="0.79998168889431442"/>
      </colorScale>
    </cfRule>
  </conditionalFormatting>
  <conditionalFormatting sqref="BZ63:CC63">
    <cfRule type="cellIs" dxfId="45" priority="64" operator="equal">
      <formula>0</formula>
    </cfRule>
  </conditionalFormatting>
  <conditionalFormatting sqref="BX64:BX71">
    <cfRule type="colorScale" priority="62">
      <colorScale>
        <cfvo type="min"/>
        <cfvo type="max"/>
        <color rgb="FFFF3399"/>
        <color theme="8" tint="0.79998168889431442"/>
      </colorScale>
    </cfRule>
  </conditionalFormatting>
  <conditionalFormatting sqref="CF83:CF91">
    <cfRule type="cellIs" dxfId="44" priority="56" operator="greaterThan">
      <formula>1</formula>
    </cfRule>
  </conditionalFormatting>
  <conditionalFormatting sqref="CG83:CG91">
    <cfRule type="cellIs" dxfId="43" priority="55" operator="greaterThan">
      <formula>1</formula>
    </cfRule>
  </conditionalFormatting>
  <conditionalFormatting sqref="BW76">
    <cfRule type="cellIs" dxfId="42" priority="54" operator="equal">
      <formula>"Active"</formula>
    </cfRule>
  </conditionalFormatting>
  <conditionalFormatting sqref="BX76">
    <cfRule type="cellIs" dxfId="41" priority="53" operator="equal">
      <formula>"Active"</formula>
    </cfRule>
  </conditionalFormatting>
  <conditionalFormatting sqref="BZ83:CC83">
    <cfRule type="cellIs" dxfId="40" priority="49" operator="equal">
      <formula>0</formula>
    </cfRule>
  </conditionalFormatting>
  <conditionalFormatting sqref="BZ84:CC91">
    <cfRule type="cellIs" dxfId="39" priority="44" operator="equal">
      <formula>0</formula>
    </cfRule>
  </conditionalFormatting>
  <conditionalFormatting sqref="BX83:BX91">
    <cfRule type="colorScale" priority="43">
      <colorScale>
        <cfvo type="min"/>
        <cfvo type="max"/>
        <color rgb="FFFF3399"/>
        <color theme="8" tint="0.79998168889431442"/>
      </colorScale>
    </cfRule>
  </conditionalFormatting>
  <conditionalFormatting sqref="BX37">
    <cfRule type="cellIs" dxfId="38" priority="42" operator="equal">
      <formula>"A"</formula>
    </cfRule>
  </conditionalFormatting>
  <conditionalFormatting sqref="BX37">
    <cfRule type="cellIs" dxfId="37" priority="40" operator="equal">
      <formula>"SA"</formula>
    </cfRule>
    <cfRule type="cellIs" dxfId="36" priority="41" operator="equal">
      <formula>"A"</formula>
    </cfRule>
  </conditionalFormatting>
  <conditionalFormatting sqref="BX38:BX40">
    <cfRule type="cellIs" dxfId="35" priority="36" operator="equal">
      <formula>"A"</formula>
    </cfRule>
  </conditionalFormatting>
  <conditionalFormatting sqref="BX38:BX40">
    <cfRule type="cellIs" dxfId="34" priority="34" operator="equal">
      <formula>"SA"</formula>
    </cfRule>
    <cfRule type="cellIs" dxfId="33" priority="35" operator="equal">
      <formula>"A"</formula>
    </cfRule>
  </conditionalFormatting>
  <conditionalFormatting sqref="BW16:BW19">
    <cfRule type="cellIs" dxfId="32" priority="33" operator="equal">
      <formula>"A"</formula>
    </cfRule>
  </conditionalFormatting>
  <conditionalFormatting sqref="BW16:BW19">
    <cfRule type="cellIs" dxfId="31" priority="31" operator="equal">
      <formula>"SA"</formula>
    </cfRule>
    <cfRule type="cellIs" dxfId="30" priority="32" operator="equal">
      <formula>"A"</formula>
    </cfRule>
  </conditionalFormatting>
  <conditionalFormatting sqref="BX16">
    <cfRule type="cellIs" dxfId="29" priority="30" operator="equal">
      <formula>"A"</formula>
    </cfRule>
  </conditionalFormatting>
  <conditionalFormatting sqref="BX16">
    <cfRule type="cellIs" dxfId="28" priority="28" operator="equal">
      <formula>"SA"</formula>
    </cfRule>
    <cfRule type="cellIs" dxfId="27" priority="29" operator="equal">
      <formula>"A"</formula>
    </cfRule>
  </conditionalFormatting>
  <conditionalFormatting sqref="BX17:BX19">
    <cfRule type="cellIs" dxfId="26" priority="27" operator="equal">
      <formula>"A"</formula>
    </cfRule>
  </conditionalFormatting>
  <conditionalFormatting sqref="BX17:BX19">
    <cfRule type="cellIs" dxfId="25" priority="25" operator="equal">
      <formula>"SA"</formula>
    </cfRule>
    <cfRule type="cellIs" dxfId="24" priority="26" operator="equal">
      <formula>"A"</formula>
    </cfRule>
  </conditionalFormatting>
  <conditionalFormatting sqref="BW58:BW61">
    <cfRule type="cellIs" dxfId="23" priority="24" operator="equal">
      <formula>"A"</formula>
    </cfRule>
  </conditionalFormatting>
  <conditionalFormatting sqref="BW58:BW61">
    <cfRule type="cellIs" dxfId="22" priority="22" operator="equal">
      <formula>"SA"</formula>
    </cfRule>
    <cfRule type="cellIs" dxfId="21" priority="23" operator="equal">
      <formula>"A"</formula>
    </cfRule>
  </conditionalFormatting>
  <conditionalFormatting sqref="BX58">
    <cfRule type="cellIs" dxfId="20" priority="21" operator="equal">
      <formula>"A"</formula>
    </cfRule>
  </conditionalFormatting>
  <conditionalFormatting sqref="BX58">
    <cfRule type="cellIs" dxfId="19" priority="19" operator="equal">
      <formula>"SA"</formula>
    </cfRule>
    <cfRule type="cellIs" dxfId="18" priority="20" operator="equal">
      <formula>"A"</formula>
    </cfRule>
  </conditionalFormatting>
  <conditionalFormatting sqref="BX59:BX61">
    <cfRule type="cellIs" dxfId="17" priority="18" operator="equal">
      <formula>"A"</formula>
    </cfRule>
  </conditionalFormatting>
  <conditionalFormatting sqref="BX59:BX61">
    <cfRule type="cellIs" dxfId="16" priority="16" operator="equal">
      <formula>"SA"</formula>
    </cfRule>
    <cfRule type="cellIs" dxfId="15" priority="17" operator="equal">
      <formula>"A"</formula>
    </cfRule>
  </conditionalFormatting>
  <conditionalFormatting sqref="BW78:BW81">
    <cfRule type="cellIs" dxfId="14" priority="15" operator="equal">
      <formula>"A"</formula>
    </cfRule>
  </conditionalFormatting>
  <conditionalFormatting sqref="BW78:BW81">
    <cfRule type="cellIs" dxfId="13" priority="13" operator="equal">
      <formula>"SA"</formula>
    </cfRule>
    <cfRule type="cellIs" dxfId="12" priority="14" operator="equal">
      <formula>"A"</formula>
    </cfRule>
  </conditionalFormatting>
  <conditionalFormatting sqref="BX78">
    <cfRule type="cellIs" dxfId="11" priority="12" operator="equal">
      <formula>"A"</formula>
    </cfRule>
  </conditionalFormatting>
  <conditionalFormatting sqref="BX78">
    <cfRule type="cellIs" dxfId="10" priority="10" operator="equal">
      <formula>"SA"</formula>
    </cfRule>
    <cfRule type="cellIs" dxfId="9" priority="11" operator="equal">
      <formula>"A"</formula>
    </cfRule>
  </conditionalFormatting>
  <conditionalFormatting sqref="BX79:BX81">
    <cfRule type="cellIs" dxfId="8" priority="9" operator="equal">
      <formula>"A"</formula>
    </cfRule>
  </conditionalFormatting>
  <conditionalFormatting sqref="BX79:BX81">
    <cfRule type="cellIs" dxfId="7" priority="7" operator="equal">
      <formula>"SA"</formula>
    </cfRule>
    <cfRule type="cellIs" dxfId="6" priority="8" operator="equal">
      <formula>"A"</formula>
    </cfRule>
  </conditionalFormatting>
  <conditionalFormatting sqref="BB14:BJ22">
    <cfRule type="containsText" dxfId="5" priority="1" operator="containsText" text="SA">
      <formula>NOT(ISERROR(SEARCH("SA",BB14)))</formula>
    </cfRule>
    <cfRule type="containsText" dxfId="4" priority="2" operator="containsText" text="A">
      <formula>NOT(ISERROR(SEARCH("A",BB14)))</formula>
    </cfRule>
    <cfRule type="containsText" dxfId="3" priority="3" operator="containsText" text="VG">
      <formula>NOT(ISERROR(SEARCH("VG",BB14)))</formula>
    </cfRule>
    <cfRule type="containsText" dxfId="2" priority="4" operator="containsText" text="G">
      <formula>NOT(ISERROR(SEARCH("G",BB14)))</formula>
    </cfRule>
    <cfRule type="containsText" dxfId="1" priority="5" operator="containsText" text="VG">
      <formula>NOT(ISERROR(SEARCH("VG",BB14)))</formula>
    </cfRule>
    <cfRule type="containsText" dxfId="0" priority="6" operator="containsText" text="E">
      <formula>NOT(ISERROR(SEARCH("E",BB14)))</formula>
    </cfRule>
  </conditionalFormatting>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GC31"/>
  <sheetViews>
    <sheetView zoomScale="73" zoomScaleNormal="73" workbookViewId="0">
      <selection activeCell="B8" sqref="B8"/>
    </sheetView>
  </sheetViews>
  <sheetFormatPr defaultRowHeight="14.4" x14ac:dyDescent="0.3"/>
  <cols>
    <col min="1" max="1" width="23.44140625" bestFit="1" customWidth="1"/>
    <col min="2" max="2" width="14.33203125" style="557" bestFit="1" customWidth="1"/>
    <col min="3" max="3" width="22.109375" bestFit="1" customWidth="1"/>
    <col min="4" max="4" width="21.109375" bestFit="1" customWidth="1"/>
    <col min="5" max="5" width="7.109375" style="442" customWidth="1"/>
    <col min="6" max="6" width="18.88671875" bestFit="1" customWidth="1"/>
    <col min="7" max="7" width="17" bestFit="1" customWidth="1"/>
    <col min="8" max="8" width="13.5546875" bestFit="1" customWidth="1"/>
    <col min="9" max="9" width="17.77734375" bestFit="1" customWidth="1"/>
  </cols>
  <sheetData>
    <row r="1" spans="1:185" s="570" customFormat="1" ht="35.549999999999997" customHeight="1" x14ac:dyDescent="0.55000000000000004">
      <c r="A1" s="646" t="s">
        <v>277</v>
      </c>
      <c r="B1" s="646"/>
      <c r="C1" s="646"/>
      <c r="D1" s="646"/>
      <c r="E1" s="646"/>
      <c r="F1" s="646"/>
      <c r="G1" s="646"/>
      <c r="H1" s="646"/>
      <c r="I1" s="646"/>
      <c r="J1" s="646"/>
      <c r="K1" s="646"/>
      <c r="L1" s="646"/>
      <c r="M1" s="646"/>
      <c r="N1" s="646"/>
      <c r="O1" s="646"/>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row>
    <row r="2" spans="1:185" ht="19.8" x14ac:dyDescent="0.5">
      <c r="A2" s="647"/>
      <c r="B2" s="648"/>
      <c r="C2" s="648"/>
      <c r="D2" s="648"/>
      <c r="E2" s="648"/>
      <c r="F2" s="648"/>
      <c r="G2" s="648"/>
      <c r="H2" s="648"/>
      <c r="I2" s="648"/>
      <c r="J2" s="648"/>
      <c r="K2" s="648"/>
      <c r="L2" s="648"/>
      <c r="M2" s="648"/>
      <c r="N2" s="648"/>
      <c r="O2" s="648"/>
    </row>
    <row r="3" spans="1:185" ht="16.2" x14ac:dyDescent="0.3">
      <c r="A3" s="567" t="s">
        <v>269</v>
      </c>
      <c r="B3" s="551">
        <f>'Master Calculator'!B19</f>
        <v>0</v>
      </c>
      <c r="C3" s="551"/>
      <c r="D3" s="551"/>
      <c r="E3" s="551"/>
      <c r="F3" s="543"/>
      <c r="G3" s="649" t="s">
        <v>279</v>
      </c>
      <c r="H3" s="650"/>
      <c r="I3" s="651"/>
      <c r="J3" s="547"/>
      <c r="K3" s="543"/>
      <c r="L3" s="649" t="s">
        <v>280</v>
      </c>
      <c r="M3" s="650"/>
      <c r="N3" s="650"/>
      <c r="O3" s="650"/>
    </row>
    <row r="4" spans="1:185" x14ac:dyDescent="0.3">
      <c r="A4" s="571" t="s">
        <v>270</v>
      </c>
      <c r="B4" s="552" t="s">
        <v>289</v>
      </c>
      <c r="C4" s="552"/>
      <c r="D4" s="552"/>
      <c r="E4" s="552"/>
      <c r="F4" s="540"/>
      <c r="G4" s="545" t="s">
        <v>273</v>
      </c>
      <c r="H4" s="558">
        <f>'Master Calculator'!C62</f>
        <v>1</v>
      </c>
      <c r="I4" s="545" t="str">
        <f>'Master Calculator'!D62</f>
        <v>0 to 35 yrs</v>
      </c>
      <c r="J4" s="540"/>
      <c r="K4" s="540"/>
      <c r="L4" s="655" t="s">
        <v>271</v>
      </c>
      <c r="M4" s="656"/>
      <c r="N4" s="659">
        <f ca="1">'Master Calculator'!E22</f>
        <v>5</v>
      </c>
      <c r="O4" s="660"/>
    </row>
    <row r="5" spans="1:185" x14ac:dyDescent="0.3">
      <c r="A5" s="567" t="s">
        <v>278</v>
      </c>
      <c r="B5" s="551" t="s">
        <v>290</v>
      </c>
      <c r="C5" s="551"/>
      <c r="D5" s="551"/>
      <c r="E5" s="551"/>
      <c r="F5" s="543"/>
      <c r="G5" s="542" t="s">
        <v>274</v>
      </c>
      <c r="H5" s="559">
        <f ca="1">'Master Calculator'!C63</f>
        <v>6</v>
      </c>
      <c r="I5" s="550" t="str">
        <f>'Master Calculator'!D63</f>
        <v>35 to 55 yrs</v>
      </c>
      <c r="J5" s="543"/>
      <c r="K5" s="543"/>
      <c r="L5" s="657" t="s">
        <v>272</v>
      </c>
      <c r="M5" s="658"/>
      <c r="N5" s="661">
        <f>'Master Calculator'!G10</f>
        <v>5</v>
      </c>
      <c r="O5" s="662"/>
    </row>
    <row r="6" spans="1:185" x14ac:dyDescent="0.3">
      <c r="A6" s="571" t="s">
        <v>278</v>
      </c>
      <c r="B6" s="553" t="s">
        <v>291</v>
      </c>
      <c r="C6" s="553"/>
      <c r="D6" s="553"/>
      <c r="E6" s="553"/>
      <c r="F6" s="540"/>
      <c r="G6" s="545" t="s">
        <v>275</v>
      </c>
      <c r="H6" s="558">
        <f ca="1">'Master Calculator'!C64</f>
        <v>5</v>
      </c>
      <c r="I6" s="545" t="str">
        <f>'Master Calculator'!D64</f>
        <v>Birth to Death</v>
      </c>
      <c r="J6" s="540"/>
      <c r="K6" s="540"/>
      <c r="L6" s="655" t="s">
        <v>288</v>
      </c>
      <c r="M6" s="656"/>
      <c r="N6" s="659">
        <f>'Master Calculator'!G11</f>
        <v>3</v>
      </c>
      <c r="O6" s="660"/>
    </row>
    <row r="7" spans="1:185" x14ac:dyDescent="0.3">
      <c r="A7" s="567" t="s">
        <v>281</v>
      </c>
      <c r="B7" s="554">
        <v>27958</v>
      </c>
      <c r="C7" s="554"/>
      <c r="D7" s="554"/>
      <c r="E7" s="554"/>
      <c r="F7" s="543"/>
      <c r="G7" s="542" t="s">
        <v>276</v>
      </c>
      <c r="H7" s="559">
        <f ca="1">'Master Calculator'!C65</f>
        <v>7</v>
      </c>
      <c r="I7" s="550" t="str">
        <f>'Master Calculator'!D65</f>
        <v>55 till Death</v>
      </c>
      <c r="J7" s="543"/>
      <c r="K7" s="543"/>
      <c r="L7" s="543"/>
      <c r="M7" s="543"/>
      <c r="N7" s="544"/>
      <c r="O7" s="544"/>
    </row>
    <row r="8" spans="1:185" x14ac:dyDescent="0.3">
      <c r="A8" s="565" t="s">
        <v>111</v>
      </c>
      <c r="B8" s="569">
        <f ca="1">'Master Calculator'!N5</f>
        <v>46.471232876712328</v>
      </c>
      <c r="C8" s="540"/>
      <c r="D8" s="540"/>
      <c r="E8" s="540"/>
      <c r="F8" s="540"/>
      <c r="G8" s="560"/>
      <c r="H8" s="540"/>
      <c r="I8" s="540"/>
      <c r="J8" s="540"/>
      <c r="K8" s="540"/>
      <c r="L8" s="540"/>
      <c r="M8" s="541"/>
      <c r="N8" s="541"/>
      <c r="O8" s="541"/>
    </row>
    <row r="9" spans="1:185" x14ac:dyDescent="0.3">
      <c r="A9" s="567"/>
      <c r="B9" s="554"/>
      <c r="C9" s="543"/>
      <c r="D9" s="543"/>
      <c r="E9" s="543"/>
      <c r="F9" s="542"/>
      <c r="G9" s="548"/>
      <c r="H9" s="542"/>
      <c r="I9" s="543"/>
      <c r="J9" s="543"/>
      <c r="K9" s="543"/>
      <c r="L9" s="543"/>
      <c r="M9" s="544"/>
      <c r="N9" s="544"/>
      <c r="O9" s="544"/>
    </row>
    <row r="10" spans="1:185" x14ac:dyDescent="0.3">
      <c r="A10" s="565" t="s">
        <v>18</v>
      </c>
      <c r="B10" s="552">
        <f>'Master Calculator'!L17</f>
        <v>2</v>
      </c>
      <c r="C10" s="552"/>
      <c r="D10" s="552"/>
      <c r="E10" s="552"/>
      <c r="F10" s="540"/>
      <c r="G10" s="652" t="s">
        <v>282</v>
      </c>
      <c r="H10" s="653"/>
      <c r="I10" s="653"/>
      <c r="J10" s="654"/>
      <c r="K10" s="540"/>
      <c r="L10" s="540"/>
      <c r="M10" s="540"/>
      <c r="N10" s="541"/>
      <c r="O10" s="541"/>
    </row>
    <row r="11" spans="1:185" x14ac:dyDescent="0.3">
      <c r="A11" s="567" t="s">
        <v>25</v>
      </c>
      <c r="B11" s="555">
        <f ca="1">'Master Calculator'!L18</f>
        <v>2</v>
      </c>
      <c r="C11" s="555"/>
      <c r="D11" s="555"/>
      <c r="E11" s="555"/>
      <c r="F11" s="543"/>
      <c r="G11" s="562"/>
      <c r="H11" s="563"/>
      <c r="I11" s="563" t="s">
        <v>133</v>
      </c>
      <c r="J11" s="564" t="s">
        <v>134</v>
      </c>
      <c r="K11" s="543"/>
      <c r="L11" s="543"/>
      <c r="M11" s="543"/>
      <c r="N11" s="544"/>
      <c r="O11" s="544"/>
    </row>
    <row r="12" spans="1:185" x14ac:dyDescent="0.3">
      <c r="A12" s="565" t="s">
        <v>24</v>
      </c>
      <c r="B12" s="552">
        <f>'Master Calculator'!L19</f>
        <v>5</v>
      </c>
      <c r="C12" s="552"/>
      <c r="D12" s="552"/>
      <c r="E12" s="552"/>
      <c r="F12" s="540"/>
      <c r="G12" s="565" t="s">
        <v>266</v>
      </c>
      <c r="H12" s="565">
        <f>'Master Calculator'!H88</f>
        <v>1</v>
      </c>
      <c r="I12" s="565">
        <f>'Master Calculator'!J88</f>
        <v>0</v>
      </c>
      <c r="J12" s="565">
        <f ca="1">'Master Calculator'!K88</f>
        <v>25</v>
      </c>
      <c r="K12" s="540"/>
      <c r="L12" s="540"/>
      <c r="M12" s="540"/>
      <c r="N12" s="541"/>
      <c r="O12" s="541"/>
    </row>
    <row r="13" spans="1:185" x14ac:dyDescent="0.3">
      <c r="A13" s="567" t="s">
        <v>31</v>
      </c>
      <c r="B13" s="555">
        <f>'Master Calculator'!L20</f>
        <v>3</v>
      </c>
      <c r="C13" s="555"/>
      <c r="D13" s="555"/>
      <c r="E13" s="555"/>
      <c r="F13" s="543"/>
      <c r="G13" s="566" t="s">
        <v>267</v>
      </c>
      <c r="H13" s="566">
        <f>'Master Calculator'!H89</f>
        <v>2</v>
      </c>
      <c r="I13" s="566">
        <f ca="1">'Master Calculator'!J89</f>
        <v>30</v>
      </c>
      <c r="J13" s="566">
        <f ca="1">'Master Calculator'!K89</f>
        <v>52</v>
      </c>
      <c r="K13" s="543"/>
      <c r="L13" s="543"/>
      <c r="M13" s="543"/>
      <c r="N13" s="544"/>
      <c r="O13" s="544"/>
    </row>
    <row r="14" spans="1:185" x14ac:dyDescent="0.3">
      <c r="A14" s="571" t="s">
        <v>32</v>
      </c>
      <c r="B14" s="552">
        <f>'Master Calculator'!L21</f>
        <v>2</v>
      </c>
      <c r="C14" s="552"/>
      <c r="D14" s="552"/>
      <c r="E14" s="552"/>
      <c r="F14" s="540"/>
      <c r="G14" s="565" t="s">
        <v>268</v>
      </c>
      <c r="H14" s="565">
        <f ca="1">'Master Calculator'!H90</f>
        <v>8</v>
      </c>
      <c r="I14" s="565">
        <f ca="1">'Master Calculator'!J90</f>
        <v>57</v>
      </c>
      <c r="J14" s="565" t="str">
        <f>'Master Calculator'!K90</f>
        <v>till death</v>
      </c>
      <c r="K14" s="540"/>
      <c r="L14" s="540"/>
      <c r="M14" s="540"/>
      <c r="N14" s="541"/>
      <c r="O14" s="541"/>
    </row>
    <row r="15" spans="1:185" x14ac:dyDescent="0.3">
      <c r="A15" s="567" t="s">
        <v>35</v>
      </c>
      <c r="B15" s="555">
        <f>'Master Calculator'!L22</f>
        <v>1</v>
      </c>
      <c r="C15" s="543"/>
      <c r="D15" s="543"/>
      <c r="E15" s="543"/>
      <c r="F15" s="543"/>
      <c r="G15" s="561"/>
      <c r="H15" s="543"/>
      <c r="I15" s="543"/>
      <c r="J15" s="543"/>
      <c r="K15" s="543"/>
      <c r="L15" s="543"/>
      <c r="M15" s="544"/>
      <c r="N15" s="544"/>
      <c r="O15" s="544"/>
    </row>
    <row r="16" spans="1:185" ht="18.45" customHeight="1" x14ac:dyDescent="0.3">
      <c r="A16" s="552"/>
      <c r="B16" s="552"/>
      <c r="C16" s="552"/>
      <c r="D16" s="552"/>
      <c r="E16" s="552"/>
      <c r="F16" s="540"/>
      <c r="G16" s="552"/>
      <c r="H16" s="540"/>
      <c r="I16" s="540"/>
      <c r="J16" s="552"/>
      <c r="K16" s="540"/>
      <c r="L16" s="552"/>
      <c r="M16" s="540"/>
      <c r="N16" s="541"/>
      <c r="O16" s="541"/>
    </row>
    <row r="17" spans="1:15" x14ac:dyDescent="0.3">
      <c r="A17" s="554"/>
      <c r="B17" s="543"/>
      <c r="C17" s="554"/>
      <c r="D17" s="555"/>
      <c r="E17" s="555"/>
      <c r="F17" s="542"/>
      <c r="G17" s="554"/>
      <c r="H17" s="542"/>
      <c r="I17" s="542"/>
      <c r="J17" s="554"/>
      <c r="K17" s="542"/>
      <c r="L17" s="554"/>
      <c r="M17" s="542"/>
      <c r="N17" s="544"/>
      <c r="O17" s="544"/>
    </row>
    <row r="18" spans="1:15" x14ac:dyDescent="0.3">
      <c r="A18" s="552"/>
      <c r="B18" s="552"/>
      <c r="C18" s="552"/>
      <c r="D18" s="552"/>
      <c r="E18" s="552"/>
      <c r="F18" s="540"/>
      <c r="G18" s="552"/>
      <c r="H18" s="540"/>
      <c r="I18" s="540"/>
      <c r="J18" s="552"/>
      <c r="K18" s="540"/>
      <c r="L18" s="552"/>
      <c r="M18" s="540"/>
      <c r="N18" s="541"/>
      <c r="O18" s="541"/>
    </row>
    <row r="19" spans="1:15" x14ac:dyDescent="0.3">
      <c r="A19" s="554"/>
      <c r="B19" s="543"/>
      <c r="C19" s="554"/>
      <c r="D19" s="555"/>
      <c r="E19" s="555"/>
      <c r="F19" s="542"/>
      <c r="G19" s="554"/>
      <c r="H19" s="542"/>
      <c r="I19" s="542"/>
      <c r="J19" s="554"/>
      <c r="K19" s="542"/>
      <c r="L19" s="554"/>
      <c r="M19" s="542"/>
      <c r="N19" s="544"/>
      <c r="O19" s="544"/>
    </row>
    <row r="20" spans="1:15" x14ac:dyDescent="0.3">
      <c r="A20" s="541" t="s">
        <v>286</v>
      </c>
      <c r="B20" s="549" t="s">
        <v>284</v>
      </c>
      <c r="C20" s="568" t="s">
        <v>285</v>
      </c>
      <c r="D20" s="568" t="s">
        <v>287</v>
      </c>
      <c r="E20" s="568"/>
      <c r="F20" s="540"/>
      <c r="G20" s="652" t="s">
        <v>283</v>
      </c>
      <c r="H20" s="653"/>
      <c r="I20" s="653"/>
      <c r="J20" s="654"/>
      <c r="K20" s="540"/>
      <c r="L20" s="540"/>
      <c r="M20" s="540"/>
      <c r="N20" s="541"/>
      <c r="O20" s="541"/>
    </row>
    <row r="21" spans="1:15" x14ac:dyDescent="0.3">
      <c r="A21" s="544">
        <f>'Master Calculator'!Q16</f>
        <v>1</v>
      </c>
      <c r="B21" s="543">
        <f ca="1">'Master Calculator'!R16</f>
        <v>0</v>
      </c>
      <c r="C21" s="555">
        <f>'Master Calculator'!S16</f>
        <v>0</v>
      </c>
      <c r="D21" s="555">
        <f>'Master Calculator'!U16</f>
        <v>6</v>
      </c>
      <c r="E21" s="555"/>
      <c r="F21" s="543"/>
      <c r="G21" s="562"/>
      <c r="H21" s="563"/>
      <c r="I21" s="563" t="s">
        <v>133</v>
      </c>
      <c r="J21" s="564" t="s">
        <v>134</v>
      </c>
      <c r="K21" s="543"/>
      <c r="L21" s="543"/>
      <c r="M21" s="543"/>
      <c r="N21" s="544"/>
      <c r="O21" s="544"/>
    </row>
    <row r="22" spans="1:15" x14ac:dyDescent="0.3">
      <c r="A22" s="541">
        <f>A21+1</f>
        <v>2</v>
      </c>
      <c r="B22" s="552">
        <f>'Master Calculator'!R17</f>
        <v>0</v>
      </c>
      <c r="C22" s="552">
        <f>'Master Calculator'!S17</f>
        <v>0</v>
      </c>
      <c r="D22" s="552">
        <f>'Master Calculator'!U17</f>
        <v>2</v>
      </c>
      <c r="E22" s="552"/>
      <c r="F22" s="540"/>
      <c r="G22" s="565" t="str">
        <f>'Master Calculator'!A68</f>
        <v>P1</v>
      </c>
      <c r="H22" s="565">
        <f>'Master Calculator'!C68</f>
        <v>3</v>
      </c>
      <c r="I22" s="565">
        <f>'Master Calculator'!D68</f>
        <v>0</v>
      </c>
      <c r="J22" s="565">
        <f ca="1">'Master Calculator'!E68</f>
        <v>34</v>
      </c>
      <c r="K22" s="540"/>
      <c r="L22" s="540"/>
      <c r="M22" s="540"/>
      <c r="N22" s="541"/>
      <c r="O22" s="541"/>
    </row>
    <row r="23" spans="1:15" x14ac:dyDescent="0.3">
      <c r="A23" s="544">
        <f>A21+2</f>
        <v>3</v>
      </c>
      <c r="B23" s="543">
        <f ca="1">'Master Calculator'!R18</f>
        <v>0</v>
      </c>
      <c r="C23" s="543">
        <f>'Master Calculator'!S18</f>
        <v>0</v>
      </c>
      <c r="D23" s="555">
        <f>'Master Calculator'!U18</f>
        <v>3</v>
      </c>
      <c r="E23" s="556"/>
      <c r="F23" s="546"/>
      <c r="G23" s="566" t="str">
        <f>'Master Calculator'!A69</f>
        <v>P2</v>
      </c>
      <c r="H23" s="566">
        <f ca="1">'Master Calculator'!C69</f>
        <v>1</v>
      </c>
      <c r="I23" s="566">
        <f ca="1">+'Master Calculator'!D69</f>
        <v>35</v>
      </c>
      <c r="J23" s="566">
        <f ca="1">'Master Calculator'!E69</f>
        <v>43</v>
      </c>
      <c r="K23" s="546"/>
      <c r="L23" s="546"/>
      <c r="M23" s="546"/>
      <c r="N23" s="544"/>
      <c r="O23" s="544"/>
    </row>
    <row r="24" spans="1:15" x14ac:dyDescent="0.3">
      <c r="A24" s="541">
        <f>A23+1</f>
        <v>4</v>
      </c>
      <c r="B24" s="552">
        <f ca="1">'Master Calculator'!R19</f>
        <v>0</v>
      </c>
      <c r="C24" s="552">
        <f>'Master Calculator'!S19</f>
        <v>0</v>
      </c>
      <c r="D24" s="552">
        <f>'Master Calculator'!U19</f>
        <v>2</v>
      </c>
      <c r="E24" s="552"/>
      <c r="F24" s="540"/>
      <c r="G24" s="565" t="str">
        <f>'Master Calculator'!A70</f>
        <v>P3</v>
      </c>
      <c r="H24" s="565">
        <f ca="1">'Master Calculator'!C70</f>
        <v>4</v>
      </c>
      <c r="I24" s="565">
        <f ca="1">'Master Calculator'!D70</f>
        <v>44</v>
      </c>
      <c r="J24" s="565">
        <f ca="1">'Master Calculator'!E70</f>
        <v>52</v>
      </c>
      <c r="K24" s="540"/>
      <c r="L24" s="552"/>
      <c r="M24" s="540"/>
      <c r="N24" s="541"/>
      <c r="O24" s="541"/>
    </row>
    <row r="25" spans="1:15" x14ac:dyDescent="0.3">
      <c r="A25" s="544">
        <f>A23+2</f>
        <v>5</v>
      </c>
      <c r="B25" s="543">
        <f ca="1">'Master Calculator'!R20</f>
        <v>0</v>
      </c>
      <c r="C25" s="543">
        <f>'Master Calculator'!S20</f>
        <v>0</v>
      </c>
      <c r="D25" s="555">
        <f>'Master Calculator'!U20</f>
        <v>6</v>
      </c>
      <c r="E25" s="555"/>
      <c r="F25" s="543"/>
      <c r="G25" s="566" t="str">
        <f>'Master Calculator'!A71</f>
        <v>P4</v>
      </c>
      <c r="H25" s="566">
        <f ca="1">'Master Calculator'!C71</f>
        <v>9</v>
      </c>
      <c r="I25" s="566">
        <f ca="1">'Master Calculator'!D71</f>
        <v>53</v>
      </c>
      <c r="J25" s="543" t="str">
        <f>'Master Calculator'!E71</f>
        <v>-</v>
      </c>
      <c r="K25" s="543"/>
      <c r="L25" s="543"/>
      <c r="M25" s="543"/>
      <c r="N25" s="544"/>
      <c r="O25" s="544"/>
    </row>
    <row r="26" spans="1:15" x14ac:dyDescent="0.3">
      <c r="A26" s="541">
        <f t="shared" ref="A26:A28" si="0">A25+1</f>
        <v>6</v>
      </c>
      <c r="B26" s="552">
        <f ca="1">'Master Calculator'!R21</f>
        <v>6</v>
      </c>
      <c r="C26" s="552">
        <f ca="1">'Master Calculator'!S21</f>
        <v>0</v>
      </c>
      <c r="D26" s="552">
        <f>'Master Calculator'!U21</f>
        <v>0</v>
      </c>
      <c r="E26" s="552"/>
      <c r="F26" s="549"/>
      <c r="G26" s="552"/>
      <c r="H26" s="549"/>
      <c r="I26" s="549"/>
      <c r="J26" s="552"/>
      <c r="K26" s="549"/>
      <c r="L26" s="552"/>
      <c r="M26" s="549"/>
      <c r="N26" s="541"/>
      <c r="O26" s="541"/>
    </row>
    <row r="27" spans="1:15" x14ac:dyDescent="0.3">
      <c r="A27" s="544">
        <f>A25+2</f>
        <v>7</v>
      </c>
      <c r="B27" s="543">
        <f ca="1">'Master Calculator'!R22</f>
        <v>7</v>
      </c>
      <c r="C27" s="543">
        <f ca="1">'Master Calculator'!S22</f>
        <v>0</v>
      </c>
      <c r="D27" s="555">
        <f>'Master Calculator'!U22</f>
        <v>0</v>
      </c>
      <c r="E27" s="555"/>
      <c r="F27" s="543"/>
      <c r="G27" s="555"/>
      <c r="H27" s="543"/>
      <c r="I27" s="543"/>
      <c r="J27" s="555"/>
      <c r="K27" s="543"/>
      <c r="L27" s="555"/>
      <c r="M27" s="543"/>
      <c r="N27" s="544"/>
      <c r="O27" s="544"/>
    </row>
    <row r="28" spans="1:15" x14ac:dyDescent="0.3">
      <c r="A28" s="541">
        <f t="shared" si="0"/>
        <v>8</v>
      </c>
      <c r="B28" s="552">
        <f ca="1">'Master Calculator'!R23</f>
        <v>8</v>
      </c>
      <c r="C28" s="552">
        <f ca="1">'Master Calculator'!S23</f>
        <v>0</v>
      </c>
      <c r="D28" s="552">
        <f>'Master Calculator'!U23</f>
        <v>0</v>
      </c>
      <c r="E28" s="552"/>
      <c r="F28" s="540"/>
      <c r="G28" s="552"/>
      <c r="H28" s="540"/>
      <c r="I28" s="540"/>
      <c r="J28" s="552"/>
      <c r="K28" s="540"/>
      <c r="L28" s="552"/>
      <c r="M28" s="540"/>
      <c r="N28" s="541"/>
      <c r="O28" s="541"/>
    </row>
    <row r="29" spans="1:15" x14ac:dyDescent="0.3">
      <c r="A29" s="544">
        <f>A27+2</f>
        <v>9</v>
      </c>
      <c r="B29" s="543">
        <f ca="1">'Master Calculator'!R24</f>
        <v>9</v>
      </c>
      <c r="C29" s="543">
        <f ca="1">'Master Calculator'!S24</f>
        <v>0</v>
      </c>
      <c r="D29" s="555">
        <f>'Master Calculator'!U24</f>
        <v>0</v>
      </c>
      <c r="E29" s="556"/>
      <c r="F29" s="546"/>
      <c r="G29" s="556"/>
      <c r="H29" s="546"/>
      <c r="I29" s="546"/>
      <c r="J29" s="556"/>
      <c r="K29" s="546"/>
      <c r="L29" s="556"/>
      <c r="M29" s="546"/>
      <c r="N29" s="544"/>
      <c r="O29" s="544"/>
    </row>
    <row r="30" spans="1:15" x14ac:dyDescent="0.3">
      <c r="A30" s="552"/>
      <c r="B30" s="552"/>
      <c r="C30" s="552"/>
      <c r="D30" s="552"/>
      <c r="E30" s="552"/>
      <c r="F30" s="540"/>
      <c r="G30" s="552"/>
      <c r="H30" s="540"/>
      <c r="I30" s="540"/>
      <c r="J30" s="552"/>
      <c r="K30" s="540"/>
      <c r="L30" s="552"/>
      <c r="M30" s="540"/>
      <c r="N30" s="541"/>
      <c r="O30" s="541"/>
    </row>
    <row r="31" spans="1:15" x14ac:dyDescent="0.3">
      <c r="A31" s="554"/>
      <c r="B31" s="543"/>
      <c r="C31" s="554"/>
      <c r="D31" s="555"/>
      <c r="E31" s="555"/>
      <c r="F31" s="542"/>
      <c r="G31" s="554"/>
      <c r="H31" s="542"/>
      <c r="I31" s="542"/>
      <c r="J31" s="554"/>
      <c r="K31" s="542"/>
      <c r="L31" s="554"/>
      <c r="M31" s="542"/>
      <c r="N31" s="544"/>
      <c r="O31" s="544"/>
    </row>
  </sheetData>
  <mergeCells count="12">
    <mergeCell ref="A1:O1"/>
    <mergeCell ref="A2:O2"/>
    <mergeCell ref="G3:I3"/>
    <mergeCell ref="G10:J10"/>
    <mergeCell ref="G20:J20"/>
    <mergeCell ref="L3:O3"/>
    <mergeCell ref="L4:M4"/>
    <mergeCell ref="L6:M6"/>
    <mergeCell ref="L5:M5"/>
    <mergeCell ref="N4:O4"/>
    <mergeCell ref="N5:O5"/>
    <mergeCell ref="N6:O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 &amp; Glossary</vt:lpstr>
      <vt:lpstr>Master Calculator</vt:lpstr>
      <vt:lpstr>Lo-Shu</vt:lpstr>
      <vt:lpstr>Personal Year-Month-Day</vt:lpstr>
      <vt:lpstr>Mobile-Vehicle-House-Bank-CoNam</vt:lpstr>
      <vt:lpstr>Past - Future PY-PM-PD</vt:lpstr>
      <vt:lpstr>MasterTables</vt:lpstr>
      <vt:lpstr>Output</vt:lpstr>
    </vt:vector>
  </TitlesOfParts>
  <Company>Workline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Manoaj Kasturia</dc:creator>
  <cp:lastModifiedBy>Kartavya Jharwal</cp:lastModifiedBy>
  <cp:lastPrinted>2020-06-23T14:08:57Z</cp:lastPrinted>
  <dcterms:created xsi:type="dcterms:W3CDTF">2020-02-08T12:44:24Z</dcterms:created>
  <dcterms:modified xsi:type="dcterms:W3CDTF">2025-07-07T23:43:43Z</dcterms:modified>
</cp:coreProperties>
</file>