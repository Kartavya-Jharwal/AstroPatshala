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bookViews>
    <workbookView xWindow="0" yWindow="0" windowWidth="19420" windowHeight="7760" tabRatio="900" activeTab="2"/>
  </bookViews>
  <sheets>
    <sheet name="Instructions &amp; Glossary" sheetId="2" r:id="rId1"/>
    <sheet name="Working File" sheetId="8" state="veryHidden" r:id="rId2"/>
    <sheet name="Master Calculator" sheetId="11" r:id="rId3"/>
    <sheet name="Lo-Shu" sheetId="4" r:id="rId4"/>
    <sheet name="Personal Year-Month-Day" sheetId="5" r:id="rId5"/>
    <sheet name="Mobile-Vehicle-House-Bank-CoNam" sheetId="7" r:id="rId6"/>
    <sheet name="Past - Future PY-PM-PD" sheetId="6" r:id="rId7"/>
    <sheet name="MasterTables" sheetId="10" state="hidden" r:id="rId8"/>
    <sheet name="Output" sheetId="15" r:id="rId9"/>
  </sheets>
  <definedNames>
    <definedName name="_xlnm._FilterDatabase" localSheetId="1" hidden="1">'Working File'!$HG$12:$HI$378</definedName>
  </definedNames>
  <calcPr calcId="1257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 i="15"/>
  <c r="J25"/>
  <c r="G25"/>
  <c r="G24"/>
  <c r="A21"/>
  <c r="A22" s="1"/>
  <c r="I22"/>
  <c r="G22"/>
  <c r="G23"/>
  <c r="J14"/>
  <c r="I12"/>
  <c r="I5"/>
  <c r="I7"/>
  <c r="I6"/>
  <c r="I4"/>
  <c r="B3"/>
  <c r="A23" l="1"/>
  <c r="A40" i="5"/>
  <c r="A39"/>
  <c r="A38"/>
  <c r="A37"/>
  <c r="A36"/>
  <c r="A35"/>
  <c r="A34"/>
  <c r="A33"/>
  <c r="A32"/>
  <c r="A31"/>
  <c r="A30"/>
  <c r="A29"/>
  <c r="A28"/>
  <c r="A27"/>
  <c r="A26"/>
  <c r="A40" i="6"/>
  <c r="A39"/>
  <c r="A38"/>
  <c r="A37"/>
  <c r="A36"/>
  <c r="A35"/>
  <c r="A34"/>
  <c r="A33"/>
  <c r="A32"/>
  <c r="A31"/>
  <c r="A30"/>
  <c r="A29"/>
  <c r="A28"/>
  <c r="A27"/>
  <c r="A26"/>
  <c r="A24" i="15" l="1"/>
  <c r="A25"/>
  <c r="B12" i="4"/>
  <c r="A27" i="15" l="1"/>
  <c r="A26"/>
  <c r="A12" i="5"/>
  <c r="A28" i="15" l="1"/>
  <c r="A29"/>
  <c r="T2" i="7"/>
  <c r="U2"/>
  <c r="C3" i="4" l="1"/>
  <c r="F4" s="1"/>
  <c r="C9" s="1"/>
  <c r="B15"/>
  <c r="CE367" i="6" l="1"/>
  <c r="CB367"/>
  <c r="CE366"/>
  <c r="CB366"/>
  <c r="CE365"/>
  <c r="CB365"/>
  <c r="CE364"/>
  <c r="CB364"/>
  <c r="CE363"/>
  <c r="CB363"/>
  <c r="CE362"/>
  <c r="CB362"/>
  <c r="CE361"/>
  <c r="CB361"/>
  <c r="CE360"/>
  <c r="CB360"/>
  <c r="CE359"/>
  <c r="CB359"/>
  <c r="CE358"/>
  <c r="CB358"/>
  <c r="CE357"/>
  <c r="CB357"/>
  <c r="CE356"/>
  <c r="CB356"/>
  <c r="CE355"/>
  <c r="CB355"/>
  <c r="CE354"/>
  <c r="CB354"/>
  <c r="CE353"/>
  <c r="CB353"/>
  <c r="CE352"/>
  <c r="CB352"/>
  <c r="CE351"/>
  <c r="CB351"/>
  <c r="CE350"/>
  <c r="CB350"/>
  <c r="CE349"/>
  <c r="CB349"/>
  <c r="CE348"/>
  <c r="CB348"/>
  <c r="CE347"/>
  <c r="CB347"/>
  <c r="CE346"/>
  <c r="CB346"/>
  <c r="CE345"/>
  <c r="CB345"/>
  <c r="CE344"/>
  <c r="CB344"/>
  <c r="CE343"/>
  <c r="CB343"/>
  <c r="CE342"/>
  <c r="CB342"/>
  <c r="CE341"/>
  <c r="CB341"/>
  <c r="CE340"/>
  <c r="CB340"/>
  <c r="CE339"/>
  <c r="CB339"/>
  <c r="CE338"/>
  <c r="CB338"/>
  <c r="CE337"/>
  <c r="CB337"/>
  <c r="CE336"/>
  <c r="CB336"/>
  <c r="CE335"/>
  <c r="CB335"/>
  <c r="CE334"/>
  <c r="CB334"/>
  <c r="CE333"/>
  <c r="CB333"/>
  <c r="CE332"/>
  <c r="CB332"/>
  <c r="CE331"/>
  <c r="CB331"/>
  <c r="CE330"/>
  <c r="CB330"/>
  <c r="CE329"/>
  <c r="CB329"/>
  <c r="CE328"/>
  <c r="CB328"/>
  <c r="CE327"/>
  <c r="CB327"/>
  <c r="CE326"/>
  <c r="CB326"/>
  <c r="CE325"/>
  <c r="CB325"/>
  <c r="CE324"/>
  <c r="CB324"/>
  <c r="CE323"/>
  <c r="CB323"/>
  <c r="CE322"/>
  <c r="CB322"/>
  <c r="CE321"/>
  <c r="CB321"/>
  <c r="CE320"/>
  <c r="CB320"/>
  <c r="CE319"/>
  <c r="CB319"/>
  <c r="CE318"/>
  <c r="CB318"/>
  <c r="CE317"/>
  <c r="CB317"/>
  <c r="CE316"/>
  <c r="CB316"/>
  <c r="CE315"/>
  <c r="CB315"/>
  <c r="CE314"/>
  <c r="CB314"/>
  <c r="CE313"/>
  <c r="CB313"/>
  <c r="CE312"/>
  <c r="CB312"/>
  <c r="CE311"/>
  <c r="CB311"/>
  <c r="CE310"/>
  <c r="CB310"/>
  <c r="CE309"/>
  <c r="CB309"/>
  <c r="CE308"/>
  <c r="CB308"/>
  <c r="CE307"/>
  <c r="CB307"/>
  <c r="CE306"/>
  <c r="CB306"/>
  <c r="CE305"/>
  <c r="CB305"/>
  <c r="CE304"/>
  <c r="CB304"/>
  <c r="CE303"/>
  <c r="CB303"/>
  <c r="CE302"/>
  <c r="CB302"/>
  <c r="CE301"/>
  <c r="CB301"/>
  <c r="CE300"/>
  <c r="CB300"/>
  <c r="CE299"/>
  <c r="CB299"/>
  <c r="CE298"/>
  <c r="CB298"/>
  <c r="CE297"/>
  <c r="CB297"/>
  <c r="CE296"/>
  <c r="CB296"/>
  <c r="CE295"/>
  <c r="CB295"/>
  <c r="CE294"/>
  <c r="CB294"/>
  <c r="CE293"/>
  <c r="CB293"/>
  <c r="CE292"/>
  <c r="CB292"/>
  <c r="CE291"/>
  <c r="CB291"/>
  <c r="CE290"/>
  <c r="CB290"/>
  <c r="CE289"/>
  <c r="CB289"/>
  <c r="CE288"/>
  <c r="CB288"/>
  <c r="CE287"/>
  <c r="CB287"/>
  <c r="CE286"/>
  <c r="CB286"/>
  <c r="CE285"/>
  <c r="CB285"/>
  <c r="CE284"/>
  <c r="CB284"/>
  <c r="CE283"/>
  <c r="CB283"/>
  <c r="CE282"/>
  <c r="CB282"/>
  <c r="CE281"/>
  <c r="CB281"/>
  <c r="CE280"/>
  <c r="CB280"/>
  <c r="CE279"/>
  <c r="CB279"/>
  <c r="CE278"/>
  <c r="CB278"/>
  <c r="CE277"/>
  <c r="CB277"/>
  <c r="CE276"/>
  <c r="CB276"/>
  <c r="CE275"/>
  <c r="CB275"/>
  <c r="CE274"/>
  <c r="CB274"/>
  <c r="CE273"/>
  <c r="CB273"/>
  <c r="CE272"/>
  <c r="CB272"/>
  <c r="CE271"/>
  <c r="CB271"/>
  <c r="CE270"/>
  <c r="CB270"/>
  <c r="CE269"/>
  <c r="CB269"/>
  <c r="CE268"/>
  <c r="CB268"/>
  <c r="CE267"/>
  <c r="CB267"/>
  <c r="CE266"/>
  <c r="CB266"/>
  <c r="CE265"/>
  <c r="CB265"/>
  <c r="CE264"/>
  <c r="CB264"/>
  <c r="CE263"/>
  <c r="CB263"/>
  <c r="CE262"/>
  <c r="CB262"/>
  <c r="CE261"/>
  <c r="CB261"/>
  <c r="CE260"/>
  <c r="CB260"/>
  <c r="CE259"/>
  <c r="CB259"/>
  <c r="CE258"/>
  <c r="CB258"/>
  <c r="CE257"/>
  <c r="CB257"/>
  <c r="CE256"/>
  <c r="CB256"/>
  <c r="CE255"/>
  <c r="CB255"/>
  <c r="CE254"/>
  <c r="CB254"/>
  <c r="CE253"/>
  <c r="CB253"/>
  <c r="CE252"/>
  <c r="CB252"/>
  <c r="CE251"/>
  <c r="CB251"/>
  <c r="CE250"/>
  <c r="CB250"/>
  <c r="CE249"/>
  <c r="CB249"/>
  <c r="CE248"/>
  <c r="CB248"/>
  <c r="CE247"/>
  <c r="CB247"/>
  <c r="CE246"/>
  <c r="CB246"/>
  <c r="CE245"/>
  <c r="CB245"/>
  <c r="CE244"/>
  <c r="CB244"/>
  <c r="CE243"/>
  <c r="CB243"/>
  <c r="CE242"/>
  <c r="CB242"/>
  <c r="CE241"/>
  <c r="CB241"/>
  <c r="CE240"/>
  <c r="CB240"/>
  <c r="CE239"/>
  <c r="CB239"/>
  <c r="CE238"/>
  <c r="CB238"/>
  <c r="CE237"/>
  <c r="CB237"/>
  <c r="CE236"/>
  <c r="CB236"/>
  <c r="CE235"/>
  <c r="CB235"/>
  <c r="CE234"/>
  <c r="CB234"/>
  <c r="CE233"/>
  <c r="CB233"/>
  <c r="CE232"/>
  <c r="CB232"/>
  <c r="CE231"/>
  <c r="CB231"/>
  <c r="CE230"/>
  <c r="CB230"/>
  <c r="CE229"/>
  <c r="CB229"/>
  <c r="CE228"/>
  <c r="CB228"/>
  <c r="CE227"/>
  <c r="CB227"/>
  <c r="CE226"/>
  <c r="CB226"/>
  <c r="CE225"/>
  <c r="CB225"/>
  <c r="CE224"/>
  <c r="CB224"/>
  <c r="CE223"/>
  <c r="CB223"/>
  <c r="CE222"/>
  <c r="CB222"/>
  <c r="CE221"/>
  <c r="CB221"/>
  <c r="CE220"/>
  <c r="CB220"/>
  <c r="CE219"/>
  <c r="CB219"/>
  <c r="CE218"/>
  <c r="CB218"/>
  <c r="CE217"/>
  <c r="CB217"/>
  <c r="CE216"/>
  <c r="CB216"/>
  <c r="CE215"/>
  <c r="CB215"/>
  <c r="CE214"/>
  <c r="CB214"/>
  <c r="CE213"/>
  <c r="CB213"/>
  <c r="CE212"/>
  <c r="CB212"/>
  <c r="CE211"/>
  <c r="CB211"/>
  <c r="CE210"/>
  <c r="CB210"/>
  <c r="CE209"/>
  <c r="CB209"/>
  <c r="CE208"/>
  <c r="CB208"/>
  <c r="CE207"/>
  <c r="CB207"/>
  <c r="CE206"/>
  <c r="CB206"/>
  <c r="CE205"/>
  <c r="CB205"/>
  <c r="CE204"/>
  <c r="CB204"/>
  <c r="CE203"/>
  <c r="CB203"/>
  <c r="CE202"/>
  <c r="CB202"/>
  <c r="CE201"/>
  <c r="CB201"/>
  <c r="CE200"/>
  <c r="CB200"/>
  <c r="CE199"/>
  <c r="CB199"/>
  <c r="CE198"/>
  <c r="CB198"/>
  <c r="CE197"/>
  <c r="CB197"/>
  <c r="CE196"/>
  <c r="CB196"/>
  <c r="CE195"/>
  <c r="CB195"/>
  <c r="CE194"/>
  <c r="CB194"/>
  <c r="CE193"/>
  <c r="CB193"/>
  <c r="CE192"/>
  <c r="CB192"/>
  <c r="CE191"/>
  <c r="CB191"/>
  <c r="CE190"/>
  <c r="CB190"/>
  <c r="CE189"/>
  <c r="CB189"/>
  <c r="CE188"/>
  <c r="CB188"/>
  <c r="CE187"/>
  <c r="CB187"/>
  <c r="CE186"/>
  <c r="CB186"/>
  <c r="CE185"/>
  <c r="CB185"/>
  <c r="CE184"/>
  <c r="CB184"/>
  <c r="CE183"/>
  <c r="CB183"/>
  <c r="CE182"/>
  <c r="CB182"/>
  <c r="CE181"/>
  <c r="CB181"/>
  <c r="CE180"/>
  <c r="CB180"/>
  <c r="CE179"/>
  <c r="CB179"/>
  <c r="CE178"/>
  <c r="CB178"/>
  <c r="CE177"/>
  <c r="CB177"/>
  <c r="CE176"/>
  <c r="CB176"/>
  <c r="CE175"/>
  <c r="CB175"/>
  <c r="CE174"/>
  <c r="CB174"/>
  <c r="CE173"/>
  <c r="CB173"/>
  <c r="CE172"/>
  <c r="CB172"/>
  <c r="CE171"/>
  <c r="CB171"/>
  <c r="CE170"/>
  <c r="CB170"/>
  <c r="CE169"/>
  <c r="CB169"/>
  <c r="CE168"/>
  <c r="CB168"/>
  <c r="CE167"/>
  <c r="CB167"/>
  <c r="CE166"/>
  <c r="CB166"/>
  <c r="CE165"/>
  <c r="CB165"/>
  <c r="CE164"/>
  <c r="CB164"/>
  <c r="CE163"/>
  <c r="CB163"/>
  <c r="CE162"/>
  <c r="CB162"/>
  <c r="CE161"/>
  <c r="CB161"/>
  <c r="CE160"/>
  <c r="CB160"/>
  <c r="CE159"/>
  <c r="CB159"/>
  <c r="CE158"/>
  <c r="CB158"/>
  <c r="CE157"/>
  <c r="CB157"/>
  <c r="CE156"/>
  <c r="CB156"/>
  <c r="CE155"/>
  <c r="CB155"/>
  <c r="CE154"/>
  <c r="CB154"/>
  <c r="CE153"/>
  <c r="CB153"/>
  <c r="CE152"/>
  <c r="CB152"/>
  <c r="CE151"/>
  <c r="CB151"/>
  <c r="CE150"/>
  <c r="CB150"/>
  <c r="CE149"/>
  <c r="CB149"/>
  <c r="CE148"/>
  <c r="CB148"/>
  <c r="CE147"/>
  <c r="CB147"/>
  <c r="CE146"/>
  <c r="CB146"/>
  <c r="CE145"/>
  <c r="CB145"/>
  <c r="CE144"/>
  <c r="CB144"/>
  <c r="CE143"/>
  <c r="CB143"/>
  <c r="CE142"/>
  <c r="CB142"/>
  <c r="CE141"/>
  <c r="CB141"/>
  <c r="CE140"/>
  <c r="CB140"/>
  <c r="CE139"/>
  <c r="CB139"/>
  <c r="CE138"/>
  <c r="CB138"/>
  <c r="CE137"/>
  <c r="CB137"/>
  <c r="CE136"/>
  <c r="CB136"/>
  <c r="CE135"/>
  <c r="CB135"/>
  <c r="CE134"/>
  <c r="CB134"/>
  <c r="CE133"/>
  <c r="CB133"/>
  <c r="CE132"/>
  <c r="CB132"/>
  <c r="CE131"/>
  <c r="CB131"/>
  <c r="CE130"/>
  <c r="CB130"/>
  <c r="CE129"/>
  <c r="CB129"/>
  <c r="CE128"/>
  <c r="CB128"/>
  <c r="CE127"/>
  <c r="CB127"/>
  <c r="CE126"/>
  <c r="CB126"/>
  <c r="CE125"/>
  <c r="CB125"/>
  <c r="CE124"/>
  <c r="CB124"/>
  <c r="CE123"/>
  <c r="CB123"/>
  <c r="CE122"/>
  <c r="CB122"/>
  <c r="CE121"/>
  <c r="CB121"/>
  <c r="CE120"/>
  <c r="CB120"/>
  <c r="CE119"/>
  <c r="CB119"/>
  <c r="CE118"/>
  <c r="CB118"/>
  <c r="CE117"/>
  <c r="CB117"/>
  <c r="CE116"/>
  <c r="CB116"/>
  <c r="CE115"/>
  <c r="CB115"/>
  <c r="CE114"/>
  <c r="CB114"/>
  <c r="CE113"/>
  <c r="CB113"/>
  <c r="CE112"/>
  <c r="CB112"/>
  <c r="CE111"/>
  <c r="CB111"/>
  <c r="CE110"/>
  <c r="CB110"/>
  <c r="CE109"/>
  <c r="CB109"/>
  <c r="CE108"/>
  <c r="CB108"/>
  <c r="CE107"/>
  <c r="CB107"/>
  <c r="CE106"/>
  <c r="CB106"/>
  <c r="CE105"/>
  <c r="CB105"/>
  <c r="CE104"/>
  <c r="CB104"/>
  <c r="CE103"/>
  <c r="CB103"/>
  <c r="CE102"/>
  <c r="CB102"/>
  <c r="CE101"/>
  <c r="CB101"/>
  <c r="CE100"/>
  <c r="CB100"/>
  <c r="CE99"/>
  <c r="CB99"/>
  <c r="CE98"/>
  <c r="CB98"/>
  <c r="CE97"/>
  <c r="CB97"/>
  <c r="CE96"/>
  <c r="CB96"/>
  <c r="CE95"/>
  <c r="CB95"/>
  <c r="CE94"/>
  <c r="CB94"/>
  <c r="CE93"/>
  <c r="CB93"/>
  <c r="CE92"/>
  <c r="CB92"/>
  <c r="CE91"/>
  <c r="CB91"/>
  <c r="CE90"/>
  <c r="CB90"/>
  <c r="CE89"/>
  <c r="CB89"/>
  <c r="CE88"/>
  <c r="CB88"/>
  <c r="CE87"/>
  <c r="CB87"/>
  <c r="CE86"/>
  <c r="CB86"/>
  <c r="CE85"/>
  <c r="CB85"/>
  <c r="CE84"/>
  <c r="CB84"/>
  <c r="CE83"/>
  <c r="CB83"/>
  <c r="CE82"/>
  <c r="CB82"/>
  <c r="CE81"/>
  <c r="CB81"/>
  <c r="CE80"/>
  <c r="CB80"/>
  <c r="CE79"/>
  <c r="CB79"/>
  <c r="CE78"/>
  <c r="CB78"/>
  <c r="CE77"/>
  <c r="CB77"/>
  <c r="CE76"/>
  <c r="CB76"/>
  <c r="CE75"/>
  <c r="CB75"/>
  <c r="CE74"/>
  <c r="CB74"/>
  <c r="CE73"/>
  <c r="CB73"/>
  <c r="CE72"/>
  <c r="CB72"/>
  <c r="CE71"/>
  <c r="CB71"/>
  <c r="CE70"/>
  <c r="CB70"/>
  <c r="CE69"/>
  <c r="CB69"/>
  <c r="CE68"/>
  <c r="CB68"/>
  <c r="CE67"/>
  <c r="CB67"/>
  <c r="CE66"/>
  <c r="CB66"/>
  <c r="CE65"/>
  <c r="CB65"/>
  <c r="CE64"/>
  <c r="CB64"/>
  <c r="CE63"/>
  <c r="CB63"/>
  <c r="CE62"/>
  <c r="CB62"/>
  <c r="CE61"/>
  <c r="CB61"/>
  <c r="CE60"/>
  <c r="CB60"/>
  <c r="CE59"/>
  <c r="CB59"/>
  <c r="CE58"/>
  <c r="CB58"/>
  <c r="CE57"/>
  <c r="CB57"/>
  <c r="CE56"/>
  <c r="CB56"/>
  <c r="CE55"/>
  <c r="CB55"/>
  <c r="CE54"/>
  <c r="CB54"/>
  <c r="CE53"/>
  <c r="CB53"/>
  <c r="CE52"/>
  <c r="CB52"/>
  <c r="CE51"/>
  <c r="CB51"/>
  <c r="CE50"/>
  <c r="CB50"/>
  <c r="CE49"/>
  <c r="CB49"/>
  <c r="CE48"/>
  <c r="CB48"/>
  <c r="CE47"/>
  <c r="CB47"/>
  <c r="CE46"/>
  <c r="CB46"/>
  <c r="CE45"/>
  <c r="CB45"/>
  <c r="CE44"/>
  <c r="CB44"/>
  <c r="CE43"/>
  <c r="CB43"/>
  <c r="CE42"/>
  <c r="CB42"/>
  <c r="CE41"/>
  <c r="CB41"/>
  <c r="CE40"/>
  <c r="CB40"/>
  <c r="CE39"/>
  <c r="CB39"/>
  <c r="CE38"/>
  <c r="CB38"/>
  <c r="CE37"/>
  <c r="CB37"/>
  <c r="CE36"/>
  <c r="CB36"/>
  <c r="CE35"/>
  <c r="CB35"/>
  <c r="CE34"/>
  <c r="CB34"/>
  <c r="CE33"/>
  <c r="CB33"/>
  <c r="CE32"/>
  <c r="CB32"/>
  <c r="CE31"/>
  <c r="CB31"/>
  <c r="CE30"/>
  <c r="CB30"/>
  <c r="CE29"/>
  <c r="CB29"/>
  <c r="CE28"/>
  <c r="CB28"/>
  <c r="CE27"/>
  <c r="CB27"/>
  <c r="CE26"/>
  <c r="CB26"/>
  <c r="CE25"/>
  <c r="CB25"/>
  <c r="CE24"/>
  <c r="CB24"/>
  <c r="CE23"/>
  <c r="CB23"/>
  <c r="CE22"/>
  <c r="CB22"/>
  <c r="CE21"/>
  <c r="CB21"/>
  <c r="CE20"/>
  <c r="CB20"/>
  <c r="CE19"/>
  <c r="CB19"/>
  <c r="CE18"/>
  <c r="CB18"/>
  <c r="CE17"/>
  <c r="CB17"/>
  <c r="CE16"/>
  <c r="CB16"/>
  <c r="CE15"/>
  <c r="CB15"/>
  <c r="CE14"/>
  <c r="CB14"/>
  <c r="CE13"/>
  <c r="CB13"/>
  <c r="CE12"/>
  <c r="CB12"/>
  <c r="CE11"/>
  <c r="CB11"/>
  <c r="CE10"/>
  <c r="CB10"/>
  <c r="CE9"/>
  <c r="CB9"/>
  <c r="CE8"/>
  <c r="CB8"/>
  <c r="CE7"/>
  <c r="CB7"/>
  <c r="CE6"/>
  <c r="CB6"/>
  <c r="CE5"/>
  <c r="CB5"/>
  <c r="CE4"/>
  <c r="CB4"/>
  <c r="CE3"/>
  <c r="CB3"/>
  <c r="CE2"/>
  <c r="CB2"/>
  <c r="CE1"/>
  <c r="CE367" i="5"/>
  <c r="CB367"/>
  <c r="CE366"/>
  <c r="CB366"/>
  <c r="CE365"/>
  <c r="CB365"/>
  <c r="CE364"/>
  <c r="CB364"/>
  <c r="CE363"/>
  <c r="CB363"/>
  <c r="CE362"/>
  <c r="CB362"/>
  <c r="CE361"/>
  <c r="CB361"/>
  <c r="CE360"/>
  <c r="CB360"/>
  <c r="CE359"/>
  <c r="CB359"/>
  <c r="CE358"/>
  <c r="CB358"/>
  <c r="CE357"/>
  <c r="CB357"/>
  <c r="CE356"/>
  <c r="CB356"/>
  <c r="CE355"/>
  <c r="CB355"/>
  <c r="CE354"/>
  <c r="CB354"/>
  <c r="CE353"/>
  <c r="CB353"/>
  <c r="CE352"/>
  <c r="CB352"/>
  <c r="CE351"/>
  <c r="CB351"/>
  <c r="CE350"/>
  <c r="CB350"/>
  <c r="CE349"/>
  <c r="CB349"/>
  <c r="CE348"/>
  <c r="CB348"/>
  <c r="CE347"/>
  <c r="CB347"/>
  <c r="CE346"/>
  <c r="CB346"/>
  <c r="CE345"/>
  <c r="CB345"/>
  <c r="CE344"/>
  <c r="CB344"/>
  <c r="CE343"/>
  <c r="CB343"/>
  <c r="CE342"/>
  <c r="CB342"/>
  <c r="CE341"/>
  <c r="CB341"/>
  <c r="CE340"/>
  <c r="CB340"/>
  <c r="CE339"/>
  <c r="CB339"/>
  <c r="CE338"/>
  <c r="CB338"/>
  <c r="CE337"/>
  <c r="CB337"/>
  <c r="CE336"/>
  <c r="CB336"/>
  <c r="CE335"/>
  <c r="CB335"/>
  <c r="CE334"/>
  <c r="CB334"/>
  <c r="CE333"/>
  <c r="CB333"/>
  <c r="CE332"/>
  <c r="CB332"/>
  <c r="CE331"/>
  <c r="CB331"/>
  <c r="CE330"/>
  <c r="CB330"/>
  <c r="CE329"/>
  <c r="CB329"/>
  <c r="CE328"/>
  <c r="CB328"/>
  <c r="CE327"/>
  <c r="CB327"/>
  <c r="CE326"/>
  <c r="CB326"/>
  <c r="CE325"/>
  <c r="CB325"/>
  <c r="CE324"/>
  <c r="CB324"/>
  <c r="CE323"/>
  <c r="CB323"/>
  <c r="CE322"/>
  <c r="CB322"/>
  <c r="CE321"/>
  <c r="CB321"/>
  <c r="CE320"/>
  <c r="CB320"/>
  <c r="CE319"/>
  <c r="CB319"/>
  <c r="CE318"/>
  <c r="CB318"/>
  <c r="CE317"/>
  <c r="CB317"/>
  <c r="CE316"/>
  <c r="CB316"/>
  <c r="CE315"/>
  <c r="CB315"/>
  <c r="CE314"/>
  <c r="CB314"/>
  <c r="CE313"/>
  <c r="CB313"/>
  <c r="CE312"/>
  <c r="CB312"/>
  <c r="CE311"/>
  <c r="CB311"/>
  <c r="CE310"/>
  <c r="CB310"/>
  <c r="CE309"/>
  <c r="CB309"/>
  <c r="CE308"/>
  <c r="CB308"/>
  <c r="CE307"/>
  <c r="CB307"/>
  <c r="CE306"/>
  <c r="CB306"/>
  <c r="CE305"/>
  <c r="CB305"/>
  <c r="CE304"/>
  <c r="CB304"/>
  <c r="CE303"/>
  <c r="CB303"/>
  <c r="CE302"/>
  <c r="CB302"/>
  <c r="CE301"/>
  <c r="CB301"/>
  <c r="CE300"/>
  <c r="CB300"/>
  <c r="CE299"/>
  <c r="CB299"/>
  <c r="CE298"/>
  <c r="CB298"/>
  <c r="CE297"/>
  <c r="CB297"/>
  <c r="CE296"/>
  <c r="CB296"/>
  <c r="CE295"/>
  <c r="CB295"/>
  <c r="CE294"/>
  <c r="CB294"/>
  <c r="CE293"/>
  <c r="CB293"/>
  <c r="CE292"/>
  <c r="CB292"/>
  <c r="CE291"/>
  <c r="CB291"/>
  <c r="CE290"/>
  <c r="CB290"/>
  <c r="CE289"/>
  <c r="CB289"/>
  <c r="CE288"/>
  <c r="CB288"/>
  <c r="CE287"/>
  <c r="CB287"/>
  <c r="CE286"/>
  <c r="CB286"/>
  <c r="CE285"/>
  <c r="CB285"/>
  <c r="CE284"/>
  <c r="CB284"/>
  <c r="CE283"/>
  <c r="CB283"/>
  <c r="CE282"/>
  <c r="CB282"/>
  <c r="CE281"/>
  <c r="CB281"/>
  <c r="CE280"/>
  <c r="CB280"/>
  <c r="CE279"/>
  <c r="CB279"/>
  <c r="CE278"/>
  <c r="CB278"/>
  <c r="CE277"/>
  <c r="CB277"/>
  <c r="CE276"/>
  <c r="CB276"/>
  <c r="CE275"/>
  <c r="CB275"/>
  <c r="CE274"/>
  <c r="CB274"/>
  <c r="CE273"/>
  <c r="CB273"/>
  <c r="CE272"/>
  <c r="CB272"/>
  <c r="CE271"/>
  <c r="CB271"/>
  <c r="CE270"/>
  <c r="CB270"/>
  <c r="CE269"/>
  <c r="CB269"/>
  <c r="CE268"/>
  <c r="CB268"/>
  <c r="CE267"/>
  <c r="CB267"/>
  <c r="CE266"/>
  <c r="CB266"/>
  <c r="CE265"/>
  <c r="CB265"/>
  <c r="CE264"/>
  <c r="CB264"/>
  <c r="CE263"/>
  <c r="CB263"/>
  <c r="CE262"/>
  <c r="CB262"/>
  <c r="CE261"/>
  <c r="CB261"/>
  <c r="CE260"/>
  <c r="CB260"/>
  <c r="CE259"/>
  <c r="CB259"/>
  <c r="CE258"/>
  <c r="CB258"/>
  <c r="CE257"/>
  <c r="CB257"/>
  <c r="CE256"/>
  <c r="CB256"/>
  <c r="CE255"/>
  <c r="CB255"/>
  <c r="CE254"/>
  <c r="CB254"/>
  <c r="CE253"/>
  <c r="CB253"/>
  <c r="CE252"/>
  <c r="CB252"/>
  <c r="CE251"/>
  <c r="CB251"/>
  <c r="CE250"/>
  <c r="CB250"/>
  <c r="CE249"/>
  <c r="CB249"/>
  <c r="CE248"/>
  <c r="CB248"/>
  <c r="CE247"/>
  <c r="CB247"/>
  <c r="CE246"/>
  <c r="CB246"/>
  <c r="CE245"/>
  <c r="CB245"/>
  <c r="CE244"/>
  <c r="CB244"/>
  <c r="CE243"/>
  <c r="CB243"/>
  <c r="CE242"/>
  <c r="CB242"/>
  <c r="CE241"/>
  <c r="CB241"/>
  <c r="CE240"/>
  <c r="CB240"/>
  <c r="CE239"/>
  <c r="CB239"/>
  <c r="CE238"/>
  <c r="CB238"/>
  <c r="CE237"/>
  <c r="CB237"/>
  <c r="CE236"/>
  <c r="CB236"/>
  <c r="CE235"/>
  <c r="CB235"/>
  <c r="CE234"/>
  <c r="CB234"/>
  <c r="CE233"/>
  <c r="CB233"/>
  <c r="CE232"/>
  <c r="CB232"/>
  <c r="CE231"/>
  <c r="CB231"/>
  <c r="CE230"/>
  <c r="CB230"/>
  <c r="CE229"/>
  <c r="CB229"/>
  <c r="CE228"/>
  <c r="CB228"/>
  <c r="CE227"/>
  <c r="CB227"/>
  <c r="CE226"/>
  <c r="CB226"/>
  <c r="CE225"/>
  <c r="CB225"/>
  <c r="CE224"/>
  <c r="CB224"/>
  <c r="CE223"/>
  <c r="CB223"/>
  <c r="CE222"/>
  <c r="CB222"/>
  <c r="CE221"/>
  <c r="CB221"/>
  <c r="CE220"/>
  <c r="CB220"/>
  <c r="CE219"/>
  <c r="CB219"/>
  <c r="CE218"/>
  <c r="CB218"/>
  <c r="CE217"/>
  <c r="CB217"/>
  <c r="CE216"/>
  <c r="CB216"/>
  <c r="CE215"/>
  <c r="CB215"/>
  <c r="CE214"/>
  <c r="CB214"/>
  <c r="CE213"/>
  <c r="CB213"/>
  <c r="CE212"/>
  <c r="CB212"/>
  <c r="CE211"/>
  <c r="CB211"/>
  <c r="CE210"/>
  <c r="CB210"/>
  <c r="CE209"/>
  <c r="CB209"/>
  <c r="CE208"/>
  <c r="CB208"/>
  <c r="CE207"/>
  <c r="CB207"/>
  <c r="CE206"/>
  <c r="CB206"/>
  <c r="CE205"/>
  <c r="CB205"/>
  <c r="CE204"/>
  <c r="CB204"/>
  <c r="CE203"/>
  <c r="CB203"/>
  <c r="CE202"/>
  <c r="CB202"/>
  <c r="CE201"/>
  <c r="CB201"/>
  <c r="CE200"/>
  <c r="CB200"/>
  <c r="CE199"/>
  <c r="CB199"/>
  <c r="CE198"/>
  <c r="CB198"/>
  <c r="CE197"/>
  <c r="CB197"/>
  <c r="CE196"/>
  <c r="CB196"/>
  <c r="CE195"/>
  <c r="CB195"/>
  <c r="CE194"/>
  <c r="CB194"/>
  <c r="CE193"/>
  <c r="CB193"/>
  <c r="CE192"/>
  <c r="CB192"/>
  <c r="CE191"/>
  <c r="CB191"/>
  <c r="CE190"/>
  <c r="CB190"/>
  <c r="CE189"/>
  <c r="CB189"/>
  <c r="CE188"/>
  <c r="CB188"/>
  <c r="CE187"/>
  <c r="CB187"/>
  <c r="CE186"/>
  <c r="CB186"/>
  <c r="CE185"/>
  <c r="CB185"/>
  <c r="CE184"/>
  <c r="CB184"/>
  <c r="CE183"/>
  <c r="CB183"/>
  <c r="CE182"/>
  <c r="CB182"/>
  <c r="CE181"/>
  <c r="CB181"/>
  <c r="CE180"/>
  <c r="CB180"/>
  <c r="CE179"/>
  <c r="CB179"/>
  <c r="CE178"/>
  <c r="CB178"/>
  <c r="CE177"/>
  <c r="CB177"/>
  <c r="CE176"/>
  <c r="CB176"/>
  <c r="CE175"/>
  <c r="CB175"/>
  <c r="CE174"/>
  <c r="CB174"/>
  <c r="CE173"/>
  <c r="CB173"/>
  <c r="CE172"/>
  <c r="CB172"/>
  <c r="CE171"/>
  <c r="CB171"/>
  <c r="CE170"/>
  <c r="CB170"/>
  <c r="CE169"/>
  <c r="CB169"/>
  <c r="CE168"/>
  <c r="CB168"/>
  <c r="CE167"/>
  <c r="CB167"/>
  <c r="CE166"/>
  <c r="CB166"/>
  <c r="CE165"/>
  <c r="CB165"/>
  <c r="CE164"/>
  <c r="CB164"/>
  <c r="CE163"/>
  <c r="CB163"/>
  <c r="CE162"/>
  <c r="CB162"/>
  <c r="CE161"/>
  <c r="CB161"/>
  <c r="CE160"/>
  <c r="CB160"/>
  <c r="CE159"/>
  <c r="CB159"/>
  <c r="CE158"/>
  <c r="CB158"/>
  <c r="CE157"/>
  <c r="CB157"/>
  <c r="CE156"/>
  <c r="CB156"/>
  <c r="CE155"/>
  <c r="CB155"/>
  <c r="CE154"/>
  <c r="CB154"/>
  <c r="CE153"/>
  <c r="CB153"/>
  <c r="CE152"/>
  <c r="CB152"/>
  <c r="CE151"/>
  <c r="CB151"/>
  <c r="CE150"/>
  <c r="CB150"/>
  <c r="CE149"/>
  <c r="CB149"/>
  <c r="CE148"/>
  <c r="CB148"/>
  <c r="CE147"/>
  <c r="CB147"/>
  <c r="CE146"/>
  <c r="CB146"/>
  <c r="CE145"/>
  <c r="CB145"/>
  <c r="CE144"/>
  <c r="CB144"/>
  <c r="CE143"/>
  <c r="CB143"/>
  <c r="CE142"/>
  <c r="CB142"/>
  <c r="CE141"/>
  <c r="CB141"/>
  <c r="CE140"/>
  <c r="CB140"/>
  <c r="CE139"/>
  <c r="CB139"/>
  <c r="CE138"/>
  <c r="CB138"/>
  <c r="CE137"/>
  <c r="CB137"/>
  <c r="CE136"/>
  <c r="CB136"/>
  <c r="CE135"/>
  <c r="CB135"/>
  <c r="CE134"/>
  <c r="CB134"/>
  <c r="CE133"/>
  <c r="CB133"/>
  <c r="CE132"/>
  <c r="CB132"/>
  <c r="CE131"/>
  <c r="CB131"/>
  <c r="CE130"/>
  <c r="CB130"/>
  <c r="CE129"/>
  <c r="CB129"/>
  <c r="CE128"/>
  <c r="CB128"/>
  <c r="CE127"/>
  <c r="CB127"/>
  <c r="CE126"/>
  <c r="CB126"/>
  <c r="CE125"/>
  <c r="CB125"/>
  <c r="CE124"/>
  <c r="CB124"/>
  <c r="CE123"/>
  <c r="CB123"/>
  <c r="CE122"/>
  <c r="CB122"/>
  <c r="CE121"/>
  <c r="CB121"/>
  <c r="CE120"/>
  <c r="CB120"/>
  <c r="CE119"/>
  <c r="CB119"/>
  <c r="CE118"/>
  <c r="CB118"/>
  <c r="CE117"/>
  <c r="CB117"/>
  <c r="CE116"/>
  <c r="CB116"/>
  <c r="CE115"/>
  <c r="CB115"/>
  <c r="CE114"/>
  <c r="CB114"/>
  <c r="CE113"/>
  <c r="CB113"/>
  <c r="CE112"/>
  <c r="CB112"/>
  <c r="CE111"/>
  <c r="CB111"/>
  <c r="CE110"/>
  <c r="CB110"/>
  <c r="CE109"/>
  <c r="CB109"/>
  <c r="CE108"/>
  <c r="CB108"/>
  <c r="CE107"/>
  <c r="CB107"/>
  <c r="CE106"/>
  <c r="CB106"/>
  <c r="CE105"/>
  <c r="CB105"/>
  <c r="CE104"/>
  <c r="CB104"/>
  <c r="CE103"/>
  <c r="CB103"/>
  <c r="CE102"/>
  <c r="CB102"/>
  <c r="CE101"/>
  <c r="CB101"/>
  <c r="CE100"/>
  <c r="CB100"/>
  <c r="CE99"/>
  <c r="CB99"/>
  <c r="CE98"/>
  <c r="CB98"/>
  <c r="CE97"/>
  <c r="CB97"/>
  <c r="CE96"/>
  <c r="CB96"/>
  <c r="CE95"/>
  <c r="CB95"/>
  <c r="CE94"/>
  <c r="CB94"/>
  <c r="CE93"/>
  <c r="CB93"/>
  <c r="CE92"/>
  <c r="CB92"/>
  <c r="CE91"/>
  <c r="CB91"/>
  <c r="CE90"/>
  <c r="CB90"/>
  <c r="CE89"/>
  <c r="CB89"/>
  <c r="CE88"/>
  <c r="CB88"/>
  <c r="CE87"/>
  <c r="CB87"/>
  <c r="CE86"/>
  <c r="CB86"/>
  <c r="CE85"/>
  <c r="CB85"/>
  <c r="CE84"/>
  <c r="CB84"/>
  <c r="CE83"/>
  <c r="CB83"/>
  <c r="CE82"/>
  <c r="CB82"/>
  <c r="CE81"/>
  <c r="CB81"/>
  <c r="CE80"/>
  <c r="CB80"/>
  <c r="CE79"/>
  <c r="CB79"/>
  <c r="CE78"/>
  <c r="CB78"/>
  <c r="CE77"/>
  <c r="CB77"/>
  <c r="CE76"/>
  <c r="CB76"/>
  <c r="CE75"/>
  <c r="CB75"/>
  <c r="CE74"/>
  <c r="CB74"/>
  <c r="CE73"/>
  <c r="CB73"/>
  <c r="CE72"/>
  <c r="CB72"/>
  <c r="CE71"/>
  <c r="CB71"/>
  <c r="CE70"/>
  <c r="CB70"/>
  <c r="CE69"/>
  <c r="CB69"/>
  <c r="CE68"/>
  <c r="CB68"/>
  <c r="CE67"/>
  <c r="CB67"/>
  <c r="CE66"/>
  <c r="CB66"/>
  <c r="CE65"/>
  <c r="CB65"/>
  <c r="CE64"/>
  <c r="CB64"/>
  <c r="CE63"/>
  <c r="CB63"/>
  <c r="CE62"/>
  <c r="CB62"/>
  <c r="CE61"/>
  <c r="CB61"/>
  <c r="CE60"/>
  <c r="CB60"/>
  <c r="CE59"/>
  <c r="CB59"/>
  <c r="CE58"/>
  <c r="CB58"/>
  <c r="CE57"/>
  <c r="CB57"/>
  <c r="CE56"/>
  <c r="CB56"/>
  <c r="CE55"/>
  <c r="CB55"/>
  <c r="CE54"/>
  <c r="CB54"/>
  <c r="CE53"/>
  <c r="CB53"/>
  <c r="CE52"/>
  <c r="CB52"/>
  <c r="CE51"/>
  <c r="CB51"/>
  <c r="CE50"/>
  <c r="CB50"/>
  <c r="CE49"/>
  <c r="CB49"/>
  <c r="CE48"/>
  <c r="CB48"/>
  <c r="CE47"/>
  <c r="CB47"/>
  <c r="CE46"/>
  <c r="CB46"/>
  <c r="CE45"/>
  <c r="CB45"/>
  <c r="CE44"/>
  <c r="CB44"/>
  <c r="CE43"/>
  <c r="CB43"/>
  <c r="CE42"/>
  <c r="CB42"/>
  <c r="CE41"/>
  <c r="CB41"/>
  <c r="CE40"/>
  <c r="CB40"/>
  <c r="CE39"/>
  <c r="CB39"/>
  <c r="CE38"/>
  <c r="CB38"/>
  <c r="CE37"/>
  <c r="CB37"/>
  <c r="CE36"/>
  <c r="CB36"/>
  <c r="CE35"/>
  <c r="CB35"/>
  <c r="CE34"/>
  <c r="CB34"/>
  <c r="CE33"/>
  <c r="CB33"/>
  <c r="CE32"/>
  <c r="CB32"/>
  <c r="CE31"/>
  <c r="CB31"/>
  <c r="CE30"/>
  <c r="CB30"/>
  <c r="CE29"/>
  <c r="CB29"/>
  <c r="CE28"/>
  <c r="CB28"/>
  <c r="CE27"/>
  <c r="CB27"/>
  <c r="CE26"/>
  <c r="CB26"/>
  <c r="CE25"/>
  <c r="CB25"/>
  <c r="CE24"/>
  <c r="CB24"/>
  <c r="CE23"/>
  <c r="CB23"/>
  <c r="CE22"/>
  <c r="CB22"/>
  <c r="CE21"/>
  <c r="CB21"/>
  <c r="CE20"/>
  <c r="CB20"/>
  <c r="CE19"/>
  <c r="CB19"/>
  <c r="CE18"/>
  <c r="CB18"/>
  <c r="CE17"/>
  <c r="CB17"/>
  <c r="CE16"/>
  <c r="CB16"/>
  <c r="CE15"/>
  <c r="CB15"/>
  <c r="CE14"/>
  <c r="CB14"/>
  <c r="CE13"/>
  <c r="CB13"/>
  <c r="CE12"/>
  <c r="CB12"/>
  <c r="CE11"/>
  <c r="CB11"/>
  <c r="CE10"/>
  <c r="CB10"/>
  <c r="CE9"/>
  <c r="CB9"/>
  <c r="CE8"/>
  <c r="CB8"/>
  <c r="CE7"/>
  <c r="CB7"/>
  <c r="CE6"/>
  <c r="CB6"/>
  <c r="CE5"/>
  <c r="CB5"/>
  <c r="CE4"/>
  <c r="CB4"/>
  <c r="CE3"/>
  <c r="CB3"/>
  <c r="CE2"/>
  <c r="CB2"/>
  <c r="CE1"/>
  <c r="E10" i="11"/>
  <c r="F10"/>
  <c r="F43" i="4"/>
  <c r="F46"/>
  <c r="B43"/>
  <c r="B44"/>
  <c r="B45"/>
  <c r="BU76" i="10"/>
  <c r="BU77"/>
  <c r="B101"/>
  <c r="BS101" s="1"/>
  <c r="B36"/>
  <c r="B34"/>
  <c r="B32"/>
  <c r="BU85"/>
  <c r="BV85" s="1"/>
  <c r="BU83"/>
  <c r="BV83" s="1"/>
  <c r="BX76"/>
  <c r="BW76"/>
  <c r="C3" i="5"/>
  <c r="B34" i="4"/>
  <c r="B35"/>
  <c r="B36"/>
  <c r="B25"/>
  <c r="B26"/>
  <c r="B27"/>
  <c r="B16"/>
  <c r="B17"/>
  <c r="F34"/>
  <c r="F37"/>
  <c r="F25"/>
  <c r="F28"/>
  <c r="B2"/>
  <c r="AB101" i="10" l="1"/>
  <c r="AB102" s="1"/>
  <c r="BH101"/>
  <c r="X101"/>
  <c r="X102" s="1"/>
  <c r="BD101"/>
  <c r="BD102" s="1"/>
  <c r="L101"/>
  <c r="L102" s="1"/>
  <c r="AR101"/>
  <c r="AR102" s="1"/>
  <c r="H101"/>
  <c r="H102" s="1"/>
  <c r="AN101"/>
  <c r="AN102" s="1"/>
  <c r="BT101"/>
  <c r="G10" i="11"/>
  <c r="N5" i="15" s="1"/>
  <c r="P101" i="10"/>
  <c r="P102" s="1"/>
  <c r="AF101"/>
  <c r="AF102" s="1"/>
  <c r="AV101"/>
  <c r="AV102" s="1"/>
  <c r="BL101"/>
  <c r="BL102" s="1"/>
  <c r="D101"/>
  <c r="D102" s="1"/>
  <c r="T101"/>
  <c r="T102" s="1"/>
  <c r="AJ101"/>
  <c r="AJ102" s="1"/>
  <c r="AZ101"/>
  <c r="BP101"/>
  <c r="I101"/>
  <c r="I102" s="1"/>
  <c r="Q101"/>
  <c r="Q102" s="1"/>
  <c r="AC101"/>
  <c r="AC102" s="1"/>
  <c r="AK101"/>
  <c r="AK102" s="1"/>
  <c r="AS101"/>
  <c r="AS102" s="1"/>
  <c r="BA101"/>
  <c r="BA102" s="1"/>
  <c r="BI101"/>
  <c r="BI102" s="1"/>
  <c r="BQ101"/>
  <c r="E101"/>
  <c r="E102" s="1"/>
  <c r="M101"/>
  <c r="U101"/>
  <c r="U102" s="1"/>
  <c r="Y101"/>
  <c r="Y102" s="1"/>
  <c r="AG101"/>
  <c r="AO101"/>
  <c r="AO102" s="1"/>
  <c r="AW101"/>
  <c r="AW102" s="1"/>
  <c r="BE101"/>
  <c r="BE102" s="1"/>
  <c r="BM101"/>
  <c r="BM102" s="1"/>
  <c r="C101"/>
  <c r="C102" s="1"/>
  <c r="F101"/>
  <c r="F102" s="1"/>
  <c r="J101"/>
  <c r="J102" s="1"/>
  <c r="N101"/>
  <c r="N102" s="1"/>
  <c r="R101"/>
  <c r="R102" s="1"/>
  <c r="V101"/>
  <c r="V102" s="1"/>
  <c r="Z101"/>
  <c r="Z102" s="1"/>
  <c r="AD101"/>
  <c r="AD102" s="1"/>
  <c r="AH101"/>
  <c r="AH102" s="1"/>
  <c r="AL101"/>
  <c r="AL102" s="1"/>
  <c r="AP101"/>
  <c r="AT101"/>
  <c r="AT102" s="1"/>
  <c r="AX101"/>
  <c r="BB101"/>
  <c r="BB102" s="1"/>
  <c r="BF101"/>
  <c r="BF102" s="1"/>
  <c r="BJ101"/>
  <c r="BJ102" s="1"/>
  <c r="BN101"/>
  <c r="BN102" s="1"/>
  <c r="BR101"/>
  <c r="G101"/>
  <c r="G102" s="1"/>
  <c r="K101"/>
  <c r="K102" s="1"/>
  <c r="O101"/>
  <c r="O102" s="1"/>
  <c r="S101"/>
  <c r="S102" s="1"/>
  <c r="W101"/>
  <c r="AA101"/>
  <c r="AA102" s="1"/>
  <c r="AE101"/>
  <c r="AE102" s="1"/>
  <c r="AI101"/>
  <c r="AI102" s="1"/>
  <c r="AM101"/>
  <c r="AM102" s="1"/>
  <c r="AQ101"/>
  <c r="AU101"/>
  <c r="AU102" s="1"/>
  <c r="AY101"/>
  <c r="AY102" s="1"/>
  <c r="BC101"/>
  <c r="BC102" s="1"/>
  <c r="BG101"/>
  <c r="BG102" s="1"/>
  <c r="BK101"/>
  <c r="BK102" s="1"/>
  <c r="BO101"/>
  <c r="BO102" s="1"/>
  <c r="U36" i="11"/>
  <c r="BU56" i="10"/>
  <c r="BU57"/>
  <c r="BV63"/>
  <c r="BU63"/>
  <c r="BX56"/>
  <c r="BW56"/>
  <c r="BU35"/>
  <c r="BU36"/>
  <c r="AX102" l="1"/>
  <c r="AP102"/>
  <c r="BT14"/>
  <c r="BU14"/>
  <c r="BT15"/>
  <c r="BU15"/>
  <c r="BT16"/>
  <c r="BT17"/>
  <c r="BT18"/>
  <c r="BT19"/>
  <c r="BX35" l="1"/>
  <c r="BW35"/>
  <c r="BX14"/>
  <c r="BW14"/>
  <c r="B97"/>
  <c r="AK36"/>
  <c r="AE32"/>
  <c r="B26"/>
  <c r="AK26" s="1"/>
  <c r="B24"/>
  <c r="AK24" s="1"/>
  <c r="B22"/>
  <c r="W22" s="1"/>
  <c r="B16"/>
  <c r="AK16" s="1"/>
  <c r="B14"/>
  <c r="V14" s="1"/>
  <c r="B12"/>
  <c r="AJ12" s="1"/>
  <c r="HK380" i="11"/>
  <c r="HH380"/>
  <c r="HK379"/>
  <c r="HH379"/>
  <c r="HK378"/>
  <c r="HH378"/>
  <c r="HK377"/>
  <c r="HH377"/>
  <c r="HK376"/>
  <c r="HH376"/>
  <c r="HK375"/>
  <c r="HH375"/>
  <c r="HK374"/>
  <c r="HH374"/>
  <c r="HK373"/>
  <c r="HH373"/>
  <c r="HK372"/>
  <c r="HH372"/>
  <c r="HK371"/>
  <c r="HH371"/>
  <c r="HK370"/>
  <c r="HH370"/>
  <c r="HK369"/>
  <c r="HH369"/>
  <c r="HK368"/>
  <c r="HH368"/>
  <c r="HK367"/>
  <c r="HH367"/>
  <c r="HK366"/>
  <c r="HH366"/>
  <c r="HK365"/>
  <c r="HH365"/>
  <c r="HK364"/>
  <c r="HH364"/>
  <c r="HK363"/>
  <c r="HH363"/>
  <c r="HK362"/>
  <c r="HH362"/>
  <c r="HK361"/>
  <c r="HH361"/>
  <c r="HK360"/>
  <c r="HH360"/>
  <c r="HK359"/>
  <c r="HH359"/>
  <c r="HK358"/>
  <c r="HH358"/>
  <c r="HK357"/>
  <c r="HH357"/>
  <c r="HK356"/>
  <c r="HH356"/>
  <c r="HK355"/>
  <c r="HH355"/>
  <c r="HK354"/>
  <c r="HH354"/>
  <c r="HK353"/>
  <c r="HH353"/>
  <c r="HK352"/>
  <c r="HH352"/>
  <c r="HK351"/>
  <c r="HH351"/>
  <c r="HK350"/>
  <c r="HH350"/>
  <c r="HK349"/>
  <c r="HH349"/>
  <c r="HK348"/>
  <c r="HH348"/>
  <c r="HK347"/>
  <c r="HH347"/>
  <c r="HK346"/>
  <c r="HH346"/>
  <c r="HK345"/>
  <c r="HH345"/>
  <c r="HK344"/>
  <c r="HH344"/>
  <c r="HK343"/>
  <c r="HH343"/>
  <c r="HK342"/>
  <c r="HH342"/>
  <c r="HK341"/>
  <c r="HH341"/>
  <c r="HK340"/>
  <c r="HH340"/>
  <c r="HK339"/>
  <c r="HH339"/>
  <c r="HK338"/>
  <c r="HH338"/>
  <c r="HK337"/>
  <c r="HH337"/>
  <c r="HK336"/>
  <c r="HH336"/>
  <c r="HK335"/>
  <c r="HH335"/>
  <c r="HK334"/>
  <c r="HH334"/>
  <c r="HK333"/>
  <c r="HH333"/>
  <c r="HK332"/>
  <c r="HH332"/>
  <c r="HK331"/>
  <c r="HH331"/>
  <c r="HK330"/>
  <c r="HH330"/>
  <c r="HK329"/>
  <c r="HH329"/>
  <c r="HK328"/>
  <c r="HH328"/>
  <c r="HK327"/>
  <c r="HH327"/>
  <c r="HK326"/>
  <c r="HH326"/>
  <c r="HK325"/>
  <c r="HH325"/>
  <c r="HK324"/>
  <c r="HH324"/>
  <c r="HK323"/>
  <c r="HH323"/>
  <c r="HK322"/>
  <c r="HH322"/>
  <c r="HK321"/>
  <c r="HH321"/>
  <c r="HK320"/>
  <c r="HH320"/>
  <c r="HK319"/>
  <c r="HH319"/>
  <c r="HK318"/>
  <c r="HH318"/>
  <c r="HK317"/>
  <c r="HH317"/>
  <c r="HK316"/>
  <c r="HH316"/>
  <c r="HK315"/>
  <c r="HH315"/>
  <c r="HK314"/>
  <c r="HH314"/>
  <c r="HK313"/>
  <c r="HH313"/>
  <c r="HK312"/>
  <c r="HH312"/>
  <c r="HK311"/>
  <c r="HH311"/>
  <c r="HK310"/>
  <c r="HH310"/>
  <c r="HK309"/>
  <c r="HH309"/>
  <c r="HK308"/>
  <c r="HH308"/>
  <c r="HK307"/>
  <c r="HH307"/>
  <c r="HK306"/>
  <c r="HH306"/>
  <c r="HK305"/>
  <c r="HH305"/>
  <c r="HK304"/>
  <c r="HH304"/>
  <c r="HK303"/>
  <c r="HH303"/>
  <c r="HK302"/>
  <c r="HH302"/>
  <c r="HK301"/>
  <c r="HH301"/>
  <c r="HK300"/>
  <c r="HH300"/>
  <c r="HK299"/>
  <c r="HH299"/>
  <c r="HK298"/>
  <c r="HH298"/>
  <c r="HK297"/>
  <c r="HH297"/>
  <c r="HK296"/>
  <c r="HH296"/>
  <c r="HK295"/>
  <c r="HH295"/>
  <c r="HK294"/>
  <c r="HH294"/>
  <c r="HK293"/>
  <c r="HH293"/>
  <c r="HK292"/>
  <c r="HH292"/>
  <c r="HK291"/>
  <c r="HH291"/>
  <c r="HK290"/>
  <c r="HH290"/>
  <c r="HK289"/>
  <c r="HH289"/>
  <c r="HK288"/>
  <c r="HH288"/>
  <c r="HK287"/>
  <c r="HH287"/>
  <c r="HK286"/>
  <c r="HH286"/>
  <c r="HK285"/>
  <c r="HH285"/>
  <c r="HK284"/>
  <c r="HH284"/>
  <c r="HK283"/>
  <c r="HH283"/>
  <c r="HK282"/>
  <c r="HH282"/>
  <c r="HK281"/>
  <c r="HH281"/>
  <c r="HK280"/>
  <c r="HH280"/>
  <c r="HK279"/>
  <c r="HH279"/>
  <c r="HK278"/>
  <c r="HH278"/>
  <c r="HK277"/>
  <c r="HH277"/>
  <c r="HK276"/>
  <c r="HH276"/>
  <c r="HK275"/>
  <c r="HH275"/>
  <c r="HK274"/>
  <c r="HH274"/>
  <c r="HK273"/>
  <c r="HH273"/>
  <c r="HK272"/>
  <c r="HH272"/>
  <c r="HK271"/>
  <c r="HH271"/>
  <c r="HK270"/>
  <c r="HH270"/>
  <c r="HK269"/>
  <c r="HH269"/>
  <c r="HK268"/>
  <c r="HH268"/>
  <c r="HK267"/>
  <c r="HH267"/>
  <c r="HK266"/>
  <c r="HH266"/>
  <c r="HK265"/>
  <c r="HH265"/>
  <c r="HK264"/>
  <c r="HH264"/>
  <c r="HK263"/>
  <c r="HH263"/>
  <c r="HK262"/>
  <c r="HH262"/>
  <c r="HK261"/>
  <c r="HH261"/>
  <c r="HK260"/>
  <c r="HH260"/>
  <c r="HK259"/>
  <c r="HH259"/>
  <c r="HK258"/>
  <c r="HH258"/>
  <c r="HK257"/>
  <c r="HH257"/>
  <c r="HK256"/>
  <c r="HH256"/>
  <c r="HK255"/>
  <c r="HH255"/>
  <c r="HK254"/>
  <c r="HH254"/>
  <c r="HK253"/>
  <c r="HH253"/>
  <c r="HK252"/>
  <c r="HH252"/>
  <c r="HK251"/>
  <c r="HH251"/>
  <c r="HK250"/>
  <c r="HH250"/>
  <c r="HK249"/>
  <c r="HH249"/>
  <c r="HK248"/>
  <c r="HH248"/>
  <c r="HK247"/>
  <c r="HH247"/>
  <c r="HK246"/>
  <c r="HH246"/>
  <c r="HK245"/>
  <c r="HH245"/>
  <c r="HK244"/>
  <c r="HH244"/>
  <c r="HK243"/>
  <c r="HH243"/>
  <c r="HK242"/>
  <c r="HH242"/>
  <c r="HK241"/>
  <c r="HH241"/>
  <c r="HK240"/>
  <c r="HH240"/>
  <c r="HK239"/>
  <c r="HH239"/>
  <c r="HK238"/>
  <c r="HH238"/>
  <c r="HK237"/>
  <c r="HH237"/>
  <c r="HK236"/>
  <c r="HH236"/>
  <c r="HK235"/>
  <c r="HH235"/>
  <c r="HK234"/>
  <c r="HH234"/>
  <c r="HK233"/>
  <c r="HH233"/>
  <c r="HK232"/>
  <c r="HH232"/>
  <c r="HK231"/>
  <c r="HH231"/>
  <c r="HK230"/>
  <c r="HH230"/>
  <c r="HK229"/>
  <c r="HH229"/>
  <c r="HK228"/>
  <c r="HH228"/>
  <c r="HK227"/>
  <c r="HH227"/>
  <c r="HK226"/>
  <c r="HH226"/>
  <c r="HK225"/>
  <c r="HH225"/>
  <c r="HK224"/>
  <c r="HH224"/>
  <c r="HK223"/>
  <c r="HH223"/>
  <c r="HK222"/>
  <c r="HH222"/>
  <c r="HK221"/>
  <c r="HH221"/>
  <c r="HK220"/>
  <c r="HH220"/>
  <c r="HK219"/>
  <c r="HH219"/>
  <c r="HK218"/>
  <c r="HH218"/>
  <c r="HK217"/>
  <c r="HH217"/>
  <c r="HK216"/>
  <c r="HH216"/>
  <c r="HK215"/>
  <c r="HH215"/>
  <c r="HK214"/>
  <c r="HH214"/>
  <c r="HK213"/>
  <c r="HH213"/>
  <c r="HK212"/>
  <c r="HH212"/>
  <c r="HK211"/>
  <c r="HH211"/>
  <c r="HK210"/>
  <c r="HH210"/>
  <c r="HK209"/>
  <c r="HH209"/>
  <c r="HK208"/>
  <c r="HH208"/>
  <c r="HK207"/>
  <c r="HH207"/>
  <c r="HK206"/>
  <c r="HH206"/>
  <c r="HK205"/>
  <c r="HH205"/>
  <c r="HK204"/>
  <c r="HH204"/>
  <c r="HK203"/>
  <c r="HH203"/>
  <c r="HK202"/>
  <c r="HH202"/>
  <c r="HK201"/>
  <c r="HH201"/>
  <c r="HK200"/>
  <c r="HH200"/>
  <c r="HK199"/>
  <c r="HH199"/>
  <c r="HK198"/>
  <c r="HH198"/>
  <c r="HK197"/>
  <c r="HH197"/>
  <c r="HK196"/>
  <c r="HH196"/>
  <c r="HK195"/>
  <c r="HH195"/>
  <c r="HK194"/>
  <c r="HH194"/>
  <c r="HK193"/>
  <c r="HH193"/>
  <c r="HK192"/>
  <c r="HH192"/>
  <c r="HK191"/>
  <c r="HH191"/>
  <c r="HK190"/>
  <c r="HH190"/>
  <c r="HK189"/>
  <c r="HH189"/>
  <c r="HK188"/>
  <c r="HH188"/>
  <c r="HK187"/>
  <c r="HH187"/>
  <c r="HK186"/>
  <c r="HH186"/>
  <c r="HK185"/>
  <c r="HH185"/>
  <c r="HK184"/>
  <c r="HH184"/>
  <c r="HK183"/>
  <c r="HH183"/>
  <c r="HK182"/>
  <c r="HH182"/>
  <c r="HK181"/>
  <c r="HH181"/>
  <c r="HK180"/>
  <c r="HH180"/>
  <c r="HK179"/>
  <c r="HH179"/>
  <c r="HK178"/>
  <c r="HH178"/>
  <c r="HK177"/>
  <c r="HH177"/>
  <c r="HK176"/>
  <c r="HH176"/>
  <c r="HK175"/>
  <c r="HH175"/>
  <c r="HK174"/>
  <c r="HH174"/>
  <c r="HK173"/>
  <c r="HH173"/>
  <c r="HK172"/>
  <c r="HH172"/>
  <c r="HK171"/>
  <c r="HH171"/>
  <c r="HK170"/>
  <c r="HH170"/>
  <c r="HK169"/>
  <c r="HH169"/>
  <c r="HK168"/>
  <c r="HH168"/>
  <c r="HK167"/>
  <c r="HH167"/>
  <c r="HK166"/>
  <c r="HH166"/>
  <c r="HK165"/>
  <c r="HH165"/>
  <c r="HK164"/>
  <c r="HH164"/>
  <c r="HK163"/>
  <c r="HH163"/>
  <c r="HK162"/>
  <c r="HH162"/>
  <c r="HK161"/>
  <c r="HH161"/>
  <c r="HK160"/>
  <c r="HH160"/>
  <c r="HK159"/>
  <c r="HH159"/>
  <c r="HK158"/>
  <c r="HH158"/>
  <c r="HK157"/>
  <c r="HH157"/>
  <c r="HK156"/>
  <c r="HH156"/>
  <c r="HK155"/>
  <c r="HH155"/>
  <c r="HK154"/>
  <c r="HH154"/>
  <c r="HK153"/>
  <c r="HH153"/>
  <c r="HK152"/>
  <c r="HH152"/>
  <c r="HK151"/>
  <c r="HH151"/>
  <c r="HK150"/>
  <c r="HH150"/>
  <c r="HK149"/>
  <c r="HH149"/>
  <c r="HK148"/>
  <c r="HH148"/>
  <c r="HK147"/>
  <c r="HH147"/>
  <c r="HK146"/>
  <c r="HH146"/>
  <c r="HK145"/>
  <c r="HH145"/>
  <c r="HK144"/>
  <c r="HH144"/>
  <c r="HK143"/>
  <c r="HH143"/>
  <c r="HK142"/>
  <c r="HH142"/>
  <c r="HK141"/>
  <c r="HH141"/>
  <c r="HK140"/>
  <c r="HH140"/>
  <c r="HK139"/>
  <c r="HH139"/>
  <c r="HK138"/>
  <c r="HH138"/>
  <c r="HK137"/>
  <c r="HH137"/>
  <c r="HK136"/>
  <c r="HH136"/>
  <c r="HK135"/>
  <c r="HH135"/>
  <c r="HK134"/>
  <c r="HH134"/>
  <c r="HK133"/>
  <c r="HH133"/>
  <c r="HK132"/>
  <c r="HH132"/>
  <c r="HK131"/>
  <c r="HH131"/>
  <c r="HK130"/>
  <c r="HH130"/>
  <c r="HK129"/>
  <c r="HH129"/>
  <c r="HK128"/>
  <c r="HH128"/>
  <c r="HK127"/>
  <c r="HH127"/>
  <c r="HK126"/>
  <c r="HH126"/>
  <c r="HK125"/>
  <c r="HH125"/>
  <c r="HK124"/>
  <c r="HH124"/>
  <c r="HK123"/>
  <c r="HH123"/>
  <c r="HK122"/>
  <c r="HH122"/>
  <c r="HK121"/>
  <c r="HH121"/>
  <c r="HK120"/>
  <c r="HH120"/>
  <c r="HK119"/>
  <c r="HH119"/>
  <c r="HK118"/>
  <c r="HH118"/>
  <c r="HK117"/>
  <c r="HH117"/>
  <c r="HK116"/>
  <c r="HH116"/>
  <c r="HK115"/>
  <c r="HH115"/>
  <c r="HK114"/>
  <c r="HH114"/>
  <c r="HK113"/>
  <c r="HH113"/>
  <c r="HK112"/>
  <c r="HH112"/>
  <c r="HK111"/>
  <c r="HH111"/>
  <c r="HK110"/>
  <c r="HH110"/>
  <c r="HK109"/>
  <c r="HH109"/>
  <c r="HK108"/>
  <c r="HH108"/>
  <c r="HK107"/>
  <c r="HH107"/>
  <c r="HK106"/>
  <c r="HH106"/>
  <c r="HK105"/>
  <c r="HH105"/>
  <c r="HK104"/>
  <c r="HH104"/>
  <c r="HK103"/>
  <c r="HH103"/>
  <c r="HK102"/>
  <c r="HH102"/>
  <c r="HK101"/>
  <c r="HH101"/>
  <c r="HK100"/>
  <c r="HH100"/>
  <c r="HK99"/>
  <c r="HH99"/>
  <c r="HK98"/>
  <c r="HH98"/>
  <c r="HK97"/>
  <c r="HH97"/>
  <c r="HK96"/>
  <c r="HH96"/>
  <c r="HK95"/>
  <c r="HH95"/>
  <c r="HK94"/>
  <c r="HH94"/>
  <c r="HK93"/>
  <c r="HH93"/>
  <c r="HK92"/>
  <c r="HH92"/>
  <c r="HK91"/>
  <c r="HH91"/>
  <c r="HK90"/>
  <c r="HH90"/>
  <c r="HK89"/>
  <c r="HH89"/>
  <c r="HK88"/>
  <c r="HH88"/>
  <c r="HL85"/>
  <c r="HI85"/>
  <c r="HN84"/>
  <c r="HK84"/>
  <c r="HN83"/>
  <c r="HK83"/>
  <c r="HN82"/>
  <c r="HK82"/>
  <c r="HN81"/>
  <c r="HK81"/>
  <c r="HN80"/>
  <c r="HK80"/>
  <c r="HN79"/>
  <c r="HK79"/>
  <c r="HN78"/>
  <c r="HK78"/>
  <c r="HN77"/>
  <c r="HK77"/>
  <c r="HN76"/>
  <c r="HK76"/>
  <c r="HN75"/>
  <c r="HK75"/>
  <c r="HK74"/>
  <c r="HH74"/>
  <c r="HK73"/>
  <c r="HH73"/>
  <c r="HK72"/>
  <c r="HH72"/>
  <c r="HK71"/>
  <c r="HH71"/>
  <c r="HK70"/>
  <c r="HH70"/>
  <c r="HK69"/>
  <c r="HH69"/>
  <c r="HK68"/>
  <c r="HH68"/>
  <c r="HK67"/>
  <c r="HH67"/>
  <c r="HK66"/>
  <c r="HH66"/>
  <c r="HK65"/>
  <c r="HH65"/>
  <c r="HK64"/>
  <c r="HH64"/>
  <c r="HK63"/>
  <c r="HH63"/>
  <c r="HK62"/>
  <c r="HH62"/>
  <c r="HK61"/>
  <c r="HH61"/>
  <c r="HK60"/>
  <c r="HH60"/>
  <c r="HK59"/>
  <c r="HH59"/>
  <c r="HK58"/>
  <c r="HH58"/>
  <c r="HK57"/>
  <c r="HH57"/>
  <c r="HK56"/>
  <c r="HH56"/>
  <c r="HK55"/>
  <c r="HH55"/>
  <c r="HK54"/>
  <c r="HH54"/>
  <c r="HK53"/>
  <c r="HH53"/>
  <c r="HK52"/>
  <c r="HH52"/>
  <c r="HK51"/>
  <c r="HH51"/>
  <c r="HK50"/>
  <c r="HH50"/>
  <c r="HK49"/>
  <c r="HH49"/>
  <c r="HK48"/>
  <c r="HH48"/>
  <c r="HK47"/>
  <c r="HH47"/>
  <c r="HK46"/>
  <c r="HH46"/>
  <c r="HK45"/>
  <c r="HH45"/>
  <c r="HK44"/>
  <c r="HH44"/>
  <c r="HK43"/>
  <c r="HH43"/>
  <c r="HK42"/>
  <c r="HH42"/>
  <c r="HK41"/>
  <c r="HH41"/>
  <c r="HK40"/>
  <c r="HH40"/>
  <c r="HK39"/>
  <c r="HH39"/>
  <c r="HK38"/>
  <c r="HH38"/>
  <c r="HK37"/>
  <c r="HH37"/>
  <c r="HD37"/>
  <c r="HC37"/>
  <c r="HB37"/>
  <c r="HA37"/>
  <c r="GZ37"/>
  <c r="HK36"/>
  <c r="HH36"/>
  <c r="HD36"/>
  <c r="HC36"/>
  <c r="HB36"/>
  <c r="HA36"/>
  <c r="GZ36"/>
  <c r="HK35"/>
  <c r="HH35"/>
  <c r="HK34"/>
  <c r="HH34"/>
  <c r="HK33"/>
  <c r="HH33"/>
  <c r="HK32"/>
  <c r="HH32"/>
  <c r="HK31"/>
  <c r="HH31"/>
  <c r="HK30"/>
  <c r="HH30"/>
  <c r="HK29"/>
  <c r="HH29"/>
  <c r="HK28"/>
  <c r="HH28"/>
  <c r="HK27"/>
  <c r="HH27"/>
  <c r="HK26"/>
  <c r="HH26"/>
  <c r="HK25"/>
  <c r="HH25"/>
  <c r="HK24"/>
  <c r="HH24"/>
  <c r="HK23"/>
  <c r="HH23"/>
  <c r="HK22"/>
  <c r="HH22"/>
  <c r="HK21"/>
  <c r="HH21"/>
  <c r="HK20"/>
  <c r="HH20"/>
  <c r="HK19"/>
  <c r="HH19"/>
  <c r="HK18"/>
  <c r="HH18"/>
  <c r="HK17"/>
  <c r="HH17"/>
  <c r="HK16"/>
  <c r="HH16"/>
  <c r="HD16"/>
  <c r="HC16"/>
  <c r="HB16"/>
  <c r="HA16"/>
  <c r="GZ16"/>
  <c r="HK15"/>
  <c r="HH15"/>
  <c r="HD15"/>
  <c r="HC15"/>
  <c r="HB15"/>
  <c r="HA15"/>
  <c r="GZ15"/>
  <c r="HK14"/>
  <c r="HH14"/>
  <c r="HK13"/>
  <c r="HH13"/>
  <c r="HK12"/>
  <c r="B5" i="10"/>
  <c r="AI5" s="1"/>
  <c r="B3"/>
  <c r="AJ3" s="1"/>
  <c r="B1"/>
  <c r="AJ1" s="1"/>
  <c r="F16" i="11"/>
  <c r="F15" i="4" s="1"/>
  <c r="F19" i="11"/>
  <c r="F18" i="4" s="1"/>
  <c r="N5" i="11"/>
  <c r="B8" i="15" s="1"/>
  <c r="A4" i="11"/>
  <c r="K2" s="1"/>
  <c r="A3"/>
  <c r="BQ97" i="10" l="1"/>
  <c r="BM97"/>
  <c r="BI97"/>
  <c r="BE97"/>
  <c r="BA97"/>
  <c r="AW97"/>
  <c r="AS97"/>
  <c r="AO97"/>
  <c r="AK97"/>
  <c r="AG97"/>
  <c r="AC97"/>
  <c r="Y97"/>
  <c r="U97"/>
  <c r="Q97"/>
  <c r="M97"/>
  <c r="I97"/>
  <c r="E97"/>
  <c r="AY97"/>
  <c r="AM97"/>
  <c r="AA97"/>
  <c r="S97"/>
  <c r="K97"/>
  <c r="BR97"/>
  <c r="BN97"/>
  <c r="BJ97"/>
  <c r="BF97"/>
  <c r="BB97"/>
  <c r="AT97"/>
  <c r="AP97"/>
  <c r="AH97"/>
  <c r="Z97"/>
  <c r="N97"/>
  <c r="F97"/>
  <c r="BT97"/>
  <c r="BP97"/>
  <c r="BL97"/>
  <c r="BH97"/>
  <c r="BD97"/>
  <c r="AZ97"/>
  <c r="AV97"/>
  <c r="AR97"/>
  <c r="AN97"/>
  <c r="AJ97"/>
  <c r="AF97"/>
  <c r="AB97"/>
  <c r="X97"/>
  <c r="T97"/>
  <c r="P97"/>
  <c r="P98" s="1"/>
  <c r="L97"/>
  <c r="H97"/>
  <c r="D97"/>
  <c r="BS97"/>
  <c r="BO97"/>
  <c r="BK97"/>
  <c r="BG97"/>
  <c r="BC97"/>
  <c r="AU97"/>
  <c r="AQ97"/>
  <c r="AI97"/>
  <c r="AE97"/>
  <c r="W97"/>
  <c r="O97"/>
  <c r="G97"/>
  <c r="AX97"/>
  <c r="AL97"/>
  <c r="AD97"/>
  <c r="V97"/>
  <c r="R97"/>
  <c r="R98" s="1"/>
  <c r="J97"/>
  <c r="M52" i="11"/>
  <c r="M44" i="4" s="1"/>
  <c r="N52" i="11"/>
  <c r="N44" i="4" s="1"/>
  <c r="N41" i="11"/>
  <c r="N35" i="4" s="1"/>
  <c r="G32" i="10"/>
  <c r="B5" i="11"/>
  <c r="N31"/>
  <c r="M41"/>
  <c r="M35" i="4" s="1"/>
  <c r="N17" i="11"/>
  <c r="N16" i="4" s="1"/>
  <c r="M31" i="11"/>
  <c r="M17"/>
  <c r="M16" i="4" s="1"/>
  <c r="GY36" i="11"/>
  <c r="S32" i="10"/>
  <c r="W32"/>
  <c r="I3"/>
  <c r="K22"/>
  <c r="O22"/>
  <c r="C97"/>
  <c r="C98" s="1"/>
  <c r="N14"/>
  <c r="C32"/>
  <c r="AI32"/>
  <c r="AA22"/>
  <c r="AL22"/>
  <c r="AE22"/>
  <c r="J12"/>
  <c r="R12"/>
  <c r="AD12"/>
  <c r="I12"/>
  <c r="Q12"/>
  <c r="Y12"/>
  <c r="E12"/>
  <c r="M12"/>
  <c r="U12"/>
  <c r="AG12"/>
  <c r="F12"/>
  <c r="N12"/>
  <c r="V12"/>
  <c r="AK12"/>
  <c r="AD14"/>
  <c r="AC12"/>
  <c r="AL12"/>
  <c r="F14"/>
  <c r="AL14"/>
  <c r="Z12"/>
  <c r="AH12"/>
  <c r="K32"/>
  <c r="AA32"/>
  <c r="AL32"/>
  <c r="O32"/>
  <c r="C22"/>
  <c r="C23" s="1"/>
  <c r="S22"/>
  <c r="AI22"/>
  <c r="G22"/>
  <c r="C12"/>
  <c r="C13" s="1"/>
  <c r="G12"/>
  <c r="K12"/>
  <c r="O12"/>
  <c r="S12"/>
  <c r="W12"/>
  <c r="AA12"/>
  <c r="AE12"/>
  <c r="AI12"/>
  <c r="D12"/>
  <c r="H12"/>
  <c r="L12"/>
  <c r="P12"/>
  <c r="T12"/>
  <c r="X12"/>
  <c r="AB12"/>
  <c r="AF12"/>
  <c r="AK34"/>
  <c r="AG34"/>
  <c r="AC34"/>
  <c r="Y34"/>
  <c r="U34"/>
  <c r="Q34"/>
  <c r="M34"/>
  <c r="I34"/>
  <c r="E34"/>
  <c r="AH34"/>
  <c r="AD34"/>
  <c r="V34"/>
  <c r="J34"/>
  <c r="AJ34"/>
  <c r="AF34"/>
  <c r="AB34"/>
  <c r="X34"/>
  <c r="T34"/>
  <c r="P34"/>
  <c r="L34"/>
  <c r="H34"/>
  <c r="D34"/>
  <c r="AL34"/>
  <c r="Z34"/>
  <c r="R34"/>
  <c r="N34"/>
  <c r="F34"/>
  <c r="AI34"/>
  <c r="AE34"/>
  <c r="AA34"/>
  <c r="W34"/>
  <c r="S34"/>
  <c r="O34"/>
  <c r="K34"/>
  <c r="G34"/>
  <c r="C34"/>
  <c r="D32"/>
  <c r="H32"/>
  <c r="L32"/>
  <c r="P32"/>
  <c r="T32"/>
  <c r="X32"/>
  <c r="AB32"/>
  <c r="AF32"/>
  <c r="AJ32"/>
  <c r="C36"/>
  <c r="G36"/>
  <c r="K36"/>
  <c r="O36"/>
  <c r="S36"/>
  <c r="W36"/>
  <c r="AA36"/>
  <c r="AE36"/>
  <c r="AI36"/>
  <c r="J36"/>
  <c r="R36"/>
  <c r="Z36"/>
  <c r="AH36"/>
  <c r="E32"/>
  <c r="I32"/>
  <c r="M32"/>
  <c r="Q32"/>
  <c r="U32"/>
  <c r="Y32"/>
  <c r="AC32"/>
  <c r="AG32"/>
  <c r="AK32"/>
  <c r="D36"/>
  <c r="H36"/>
  <c r="L36"/>
  <c r="P36"/>
  <c r="T36"/>
  <c r="X36"/>
  <c r="AB36"/>
  <c r="AF36"/>
  <c r="AJ36"/>
  <c r="F36"/>
  <c r="N36"/>
  <c r="V36"/>
  <c r="AD36"/>
  <c r="AL36"/>
  <c r="F32"/>
  <c r="J32"/>
  <c r="N32"/>
  <c r="R32"/>
  <c r="V32"/>
  <c r="Z32"/>
  <c r="AD32"/>
  <c r="AH32"/>
  <c r="E36"/>
  <c r="I36"/>
  <c r="M36"/>
  <c r="Q36"/>
  <c r="U36"/>
  <c r="Y36"/>
  <c r="AC36"/>
  <c r="AG36"/>
  <c r="F24"/>
  <c r="N24"/>
  <c r="Z24"/>
  <c r="AL24"/>
  <c r="F26"/>
  <c r="N26"/>
  <c r="V26"/>
  <c r="AD26"/>
  <c r="AL26"/>
  <c r="D22"/>
  <c r="H22"/>
  <c r="L22"/>
  <c r="P22"/>
  <c r="T22"/>
  <c r="X22"/>
  <c r="AB22"/>
  <c r="AF22"/>
  <c r="AJ22"/>
  <c r="C24"/>
  <c r="G24"/>
  <c r="K24"/>
  <c r="O24"/>
  <c r="S24"/>
  <c r="W24"/>
  <c r="AA24"/>
  <c r="AE24"/>
  <c r="AI24"/>
  <c r="C26"/>
  <c r="G26"/>
  <c r="K26"/>
  <c r="O26"/>
  <c r="S26"/>
  <c r="W26"/>
  <c r="AA26"/>
  <c r="AE26"/>
  <c r="AI26"/>
  <c r="J24"/>
  <c r="V24"/>
  <c r="E22"/>
  <c r="I22"/>
  <c r="M22"/>
  <c r="Q22"/>
  <c r="U22"/>
  <c r="Y22"/>
  <c r="AC22"/>
  <c r="AG22"/>
  <c r="AK22"/>
  <c r="D24"/>
  <c r="H24"/>
  <c r="L24"/>
  <c r="P24"/>
  <c r="T24"/>
  <c r="X24"/>
  <c r="AB24"/>
  <c r="AF24"/>
  <c r="AJ24"/>
  <c r="D26"/>
  <c r="H26"/>
  <c r="L26"/>
  <c r="P26"/>
  <c r="T26"/>
  <c r="X26"/>
  <c r="AB26"/>
  <c r="AF26"/>
  <c r="AJ26"/>
  <c r="R24"/>
  <c r="AD24"/>
  <c r="AH24"/>
  <c r="J26"/>
  <c r="R26"/>
  <c r="Z26"/>
  <c r="AH26"/>
  <c r="F22"/>
  <c r="J22"/>
  <c r="N22"/>
  <c r="R22"/>
  <c r="V22"/>
  <c r="Z22"/>
  <c r="AD22"/>
  <c r="AH22"/>
  <c r="E24"/>
  <c r="I24"/>
  <c r="M24"/>
  <c r="Q24"/>
  <c r="U24"/>
  <c r="Y24"/>
  <c r="AC24"/>
  <c r="AG24"/>
  <c r="E26"/>
  <c r="I26"/>
  <c r="M26"/>
  <c r="Q26"/>
  <c r="U26"/>
  <c r="Y26"/>
  <c r="AC26"/>
  <c r="AG26"/>
  <c r="AK14"/>
  <c r="AG14"/>
  <c r="AC14"/>
  <c r="Y14"/>
  <c r="U14"/>
  <c r="Q14"/>
  <c r="M14"/>
  <c r="I14"/>
  <c r="E14"/>
  <c r="AJ14"/>
  <c r="AF14"/>
  <c r="AB14"/>
  <c r="X14"/>
  <c r="T14"/>
  <c r="P14"/>
  <c r="L14"/>
  <c r="H14"/>
  <c r="D14"/>
  <c r="AI14"/>
  <c r="AE14"/>
  <c r="AA14"/>
  <c r="W14"/>
  <c r="S14"/>
  <c r="O14"/>
  <c r="K14"/>
  <c r="G14"/>
  <c r="C14"/>
  <c r="R14"/>
  <c r="AH14"/>
  <c r="J14"/>
  <c r="Z14"/>
  <c r="F16"/>
  <c r="J16"/>
  <c r="N16"/>
  <c r="R16"/>
  <c r="V16"/>
  <c r="Z16"/>
  <c r="AD16"/>
  <c r="AH16"/>
  <c r="AL16"/>
  <c r="C16"/>
  <c r="C17" s="1"/>
  <c r="G16"/>
  <c r="K16"/>
  <c r="O16"/>
  <c r="S16"/>
  <c r="W16"/>
  <c r="AA16"/>
  <c r="AE16"/>
  <c r="AI16"/>
  <c r="D16"/>
  <c r="H16"/>
  <c r="L16"/>
  <c r="P16"/>
  <c r="T16"/>
  <c r="X16"/>
  <c r="AB16"/>
  <c r="AF16"/>
  <c r="AJ16"/>
  <c r="E16"/>
  <c r="I16"/>
  <c r="M16"/>
  <c r="Q16"/>
  <c r="U16"/>
  <c r="Y16"/>
  <c r="AC16"/>
  <c r="AG16"/>
  <c r="D5"/>
  <c r="W5"/>
  <c r="S1"/>
  <c r="G5"/>
  <c r="Y5"/>
  <c r="C5"/>
  <c r="M5"/>
  <c r="AG5"/>
  <c r="O5"/>
  <c r="AK5"/>
  <c r="AD3"/>
  <c r="L5"/>
  <c r="T5"/>
  <c r="AC5"/>
  <c r="S3"/>
  <c r="H5"/>
  <c r="S5"/>
  <c r="AB5"/>
  <c r="GY15" i="11"/>
  <c r="C3" i="10"/>
  <c r="M3"/>
  <c r="W3"/>
  <c r="AH3"/>
  <c r="N3"/>
  <c r="Y3"/>
  <c r="AI3"/>
  <c r="G3"/>
  <c r="R3"/>
  <c r="AC3"/>
  <c r="C2" i="11"/>
  <c r="G2"/>
  <c r="I2"/>
  <c r="N1" i="10"/>
  <c r="E3"/>
  <c r="J3"/>
  <c r="O3"/>
  <c r="U3"/>
  <c r="Z3"/>
  <c r="AE3"/>
  <c r="AK3"/>
  <c r="F3"/>
  <c r="K3"/>
  <c r="Q3"/>
  <c r="V3"/>
  <c r="AA3"/>
  <c r="AG3"/>
  <c r="AL3"/>
  <c r="I5"/>
  <c r="Q5"/>
  <c r="X5"/>
  <c r="AE5"/>
  <c r="Y1"/>
  <c r="AI1"/>
  <c r="C1"/>
  <c r="I1"/>
  <c r="AD1"/>
  <c r="D3"/>
  <c r="H3"/>
  <c r="L3"/>
  <c r="P3"/>
  <c r="T3"/>
  <c r="X3"/>
  <c r="AB3"/>
  <c r="AF3"/>
  <c r="E5"/>
  <c r="K5"/>
  <c r="P5"/>
  <c r="U5"/>
  <c r="AA5"/>
  <c r="AF5"/>
  <c r="F5"/>
  <c r="F6" s="1"/>
  <c r="J5"/>
  <c r="N5"/>
  <c r="R5"/>
  <c r="V5"/>
  <c r="Z5"/>
  <c r="AD5"/>
  <c r="AJ5"/>
  <c r="F1"/>
  <c r="K1"/>
  <c r="Q1"/>
  <c r="V1"/>
  <c r="AA1"/>
  <c r="AG1"/>
  <c r="AL1"/>
  <c r="E1"/>
  <c r="J1"/>
  <c r="O1"/>
  <c r="U1"/>
  <c r="Z1"/>
  <c r="AE1"/>
  <c r="AK1"/>
  <c r="G1"/>
  <c r="M1"/>
  <c r="R1"/>
  <c r="W1"/>
  <c r="AC1"/>
  <c r="AH1"/>
  <c r="AH5"/>
  <c r="D1"/>
  <c r="H1"/>
  <c r="L1"/>
  <c r="P1"/>
  <c r="T1"/>
  <c r="X1"/>
  <c r="AB1"/>
  <c r="AF1"/>
  <c r="AL5"/>
  <c r="L2" i="11"/>
  <c r="D2"/>
  <c r="J2"/>
  <c r="F2"/>
  <c r="BG40" i="8"/>
  <c r="BG41"/>
  <c r="BG42"/>
  <c r="BG43"/>
  <c r="BG44"/>
  <c r="BG45"/>
  <c r="BG46"/>
  <c r="BG47"/>
  <c r="BG48"/>
  <c r="BG49"/>
  <c r="BG50"/>
  <c r="BG51"/>
  <c r="BG52"/>
  <c r="BG53"/>
  <c r="BG54"/>
  <c r="BG55"/>
  <c r="BG56"/>
  <c r="BG57"/>
  <c r="BG58"/>
  <c r="BG59"/>
  <c r="E27" i="10" l="1"/>
  <c r="J27"/>
  <c r="J17"/>
  <c r="F23"/>
  <c r="D27"/>
  <c r="AV29" s="1"/>
  <c r="G27"/>
  <c r="F27"/>
  <c r="H13"/>
  <c r="I13"/>
  <c r="AX98"/>
  <c r="AE98"/>
  <c r="BC98"/>
  <c r="BS98"/>
  <c r="AF98"/>
  <c r="AV98"/>
  <c r="F98"/>
  <c r="C5" i="11"/>
  <c r="E23" i="10"/>
  <c r="H23"/>
  <c r="J6"/>
  <c r="I6"/>
  <c r="I27"/>
  <c r="H27"/>
  <c r="K27"/>
  <c r="G23"/>
  <c r="I17"/>
  <c r="F17"/>
  <c r="I23"/>
  <c r="G13"/>
  <c r="F13"/>
  <c r="E13"/>
  <c r="E17"/>
  <c r="H17"/>
  <c r="K17"/>
  <c r="H6"/>
  <c r="G6"/>
  <c r="G17"/>
  <c r="K6"/>
  <c r="F37"/>
  <c r="D33"/>
  <c r="AX33" s="1"/>
  <c r="E35"/>
  <c r="H2"/>
  <c r="AT98"/>
  <c r="D25"/>
  <c r="G25"/>
  <c r="H37"/>
  <c r="H35"/>
  <c r="AO98"/>
  <c r="K37"/>
  <c r="N98"/>
  <c r="AA98"/>
  <c r="BE98"/>
  <c r="D37"/>
  <c r="V98"/>
  <c r="AI98"/>
  <c r="BG98"/>
  <c r="AJ98"/>
  <c r="AZ98"/>
  <c r="BP98"/>
  <c r="Z98"/>
  <c r="BB98"/>
  <c r="BR98"/>
  <c r="AM98"/>
  <c r="AC98"/>
  <c r="AS98"/>
  <c r="BI98"/>
  <c r="I37"/>
  <c r="E33"/>
  <c r="AY33" s="1"/>
  <c r="J37"/>
  <c r="G37"/>
  <c r="G35"/>
  <c r="F35"/>
  <c r="AV36" s="1"/>
  <c r="AD98"/>
  <c r="O98"/>
  <c r="AQ98"/>
  <c r="BK98"/>
  <c r="X98"/>
  <c r="AN98"/>
  <c r="BD98"/>
  <c r="BT98"/>
  <c r="AH98"/>
  <c r="BF98"/>
  <c r="AY98"/>
  <c r="Q98"/>
  <c r="AG98"/>
  <c r="AW98"/>
  <c r="BM98"/>
  <c r="BT102"/>
  <c r="BL98"/>
  <c r="G98" s="1"/>
  <c r="BS102"/>
  <c r="BP102"/>
  <c r="BR102"/>
  <c r="BQ102"/>
  <c r="BN98"/>
  <c r="Y98"/>
  <c r="E25"/>
  <c r="F25"/>
  <c r="E37"/>
  <c r="F33"/>
  <c r="L37"/>
  <c r="H33"/>
  <c r="D35"/>
  <c r="AY36" s="1"/>
  <c r="G33"/>
  <c r="AL98"/>
  <c r="W98"/>
  <c r="AU98"/>
  <c r="BO98"/>
  <c r="L98"/>
  <c r="AB98"/>
  <c r="AR98"/>
  <c r="BH98"/>
  <c r="AP98"/>
  <c r="BJ98"/>
  <c r="U98"/>
  <c r="AK98"/>
  <c r="BA98"/>
  <c r="BQ98"/>
  <c r="C33"/>
  <c r="AX34"/>
  <c r="AV33"/>
  <c r="AW34"/>
  <c r="AU34"/>
  <c r="AV34"/>
  <c r="AY34"/>
  <c r="C37"/>
  <c r="AV40"/>
  <c r="AW40"/>
  <c r="AY40"/>
  <c r="AU40"/>
  <c r="AV39"/>
  <c r="AX40"/>
  <c r="AY39"/>
  <c r="AX39"/>
  <c r="C35"/>
  <c r="AY37"/>
  <c r="AU37"/>
  <c r="AX37"/>
  <c r="AX36"/>
  <c r="AW37"/>
  <c r="AW36"/>
  <c r="AV37"/>
  <c r="AY9"/>
  <c r="AX9"/>
  <c r="AW9"/>
  <c r="AV9"/>
  <c r="AU9"/>
  <c r="D23"/>
  <c r="AW24"/>
  <c r="AV24"/>
  <c r="AY24"/>
  <c r="AU24"/>
  <c r="AX24"/>
  <c r="AX3"/>
  <c r="AW3"/>
  <c r="AU3"/>
  <c r="AV3"/>
  <c r="AY3"/>
  <c r="D13"/>
  <c r="AV14"/>
  <c r="AY14"/>
  <c r="AU14"/>
  <c r="AW14"/>
  <c r="AX14"/>
  <c r="F5" i="11"/>
  <c r="C27" i="10"/>
  <c r="AV30"/>
  <c r="AY30"/>
  <c r="AY29"/>
  <c r="AU30"/>
  <c r="AX30"/>
  <c r="AX29"/>
  <c r="AU29"/>
  <c r="AW30"/>
  <c r="C25"/>
  <c r="AV27"/>
  <c r="AY27"/>
  <c r="AY26"/>
  <c r="AU27"/>
  <c r="AX27"/>
  <c r="AX26"/>
  <c r="BU65" s="1"/>
  <c r="BV65" s="1"/>
  <c r="AW27"/>
  <c r="AW26"/>
  <c r="C15"/>
  <c r="AX17"/>
  <c r="AW17"/>
  <c r="AY17"/>
  <c r="AU17"/>
  <c r="AV17"/>
  <c r="D17"/>
  <c r="AX19" s="1"/>
  <c r="BU21" s="1"/>
  <c r="BV21" s="1"/>
  <c r="AV20"/>
  <c r="AY20"/>
  <c r="AU20"/>
  <c r="AW20"/>
  <c r="AX20"/>
  <c r="D6"/>
  <c r="AV8" s="1"/>
  <c r="AX6"/>
  <c r="AW6"/>
  <c r="AU6"/>
  <c r="AY6"/>
  <c r="AV6"/>
  <c r="C6"/>
  <c r="E6"/>
  <c r="C4"/>
  <c r="E2"/>
  <c r="C2"/>
  <c r="G2"/>
  <c r="D2"/>
  <c r="F2"/>
  <c r="I3" i="11"/>
  <c r="L3"/>
  <c r="AY13" i="10" l="1"/>
  <c r="S98"/>
  <c r="AW23"/>
  <c r="K98"/>
  <c r="AU26"/>
  <c r="AX23"/>
  <c r="D98"/>
  <c r="E11" i="11"/>
  <c r="C6"/>
  <c r="AW29" i="10"/>
  <c r="AT29" s="1"/>
  <c r="AQ28" s="1"/>
  <c r="AY23"/>
  <c r="AX13"/>
  <c r="AW39"/>
  <c r="AU39"/>
  <c r="AZ102"/>
  <c r="AV19"/>
  <c r="H98"/>
  <c r="M98"/>
  <c r="T98"/>
  <c r="AW13"/>
  <c r="AW19"/>
  <c r="AY19"/>
  <c r="E98"/>
  <c r="W102"/>
  <c r="J98"/>
  <c r="AQ102"/>
  <c r="AG102"/>
  <c r="I98"/>
  <c r="BH102"/>
  <c r="AX8"/>
  <c r="M102"/>
  <c r="AV23"/>
  <c r="AY8"/>
  <c r="BU42"/>
  <c r="BV42" s="1"/>
  <c r="F6" i="11"/>
  <c r="H88" s="1"/>
  <c r="H12" i="15" s="1"/>
  <c r="F11" i="11"/>
  <c r="AU13" i="10"/>
  <c r="AU19"/>
  <c r="AU8"/>
  <c r="AX2"/>
  <c r="AW2"/>
  <c r="I5" i="11"/>
  <c r="L52" l="1"/>
  <c r="BV76" i="10" s="1"/>
  <c r="H89" i="11"/>
  <c r="H13" i="15" s="1"/>
  <c r="H90" i="11"/>
  <c r="H14" i="15" s="1"/>
  <c r="G11" i="11"/>
  <c r="N6" i="15" s="1"/>
  <c r="L17" i="11"/>
  <c r="AT39" i="10"/>
  <c r="AQ38" s="1"/>
  <c r="AJ16" i="11"/>
  <c r="B62"/>
  <c r="C62" s="1"/>
  <c r="H4" i="15" s="1"/>
  <c r="AD16" i="11"/>
  <c r="L31"/>
  <c r="L26" i="4" s="1"/>
  <c r="L41" i="11"/>
  <c r="L35" i="4" s="1"/>
  <c r="E25" i="7"/>
  <c r="E32"/>
  <c r="Q2" i="11"/>
  <c r="AT19" i="10"/>
  <c r="AQ18" s="1"/>
  <c r="B68" i="11"/>
  <c r="C68" s="1"/>
  <c r="H22" i="15" s="1"/>
  <c r="BU98" i="10"/>
  <c r="BV98" s="1"/>
  <c r="BU102"/>
  <c r="D30" i="7" s="1"/>
  <c r="E30" s="1"/>
  <c r="HK378" i="8"/>
  <c r="HH378"/>
  <c r="HK377"/>
  <c r="HH377"/>
  <c r="HK376"/>
  <c r="HH376"/>
  <c r="HK375"/>
  <c r="HH375"/>
  <c r="HK374"/>
  <c r="HH374"/>
  <c r="HK373"/>
  <c r="HH373"/>
  <c r="HK372"/>
  <c r="HH372"/>
  <c r="HK371"/>
  <c r="HH371"/>
  <c r="HK370"/>
  <c r="HH370"/>
  <c r="HK369"/>
  <c r="HH369"/>
  <c r="HK368"/>
  <c r="HH368"/>
  <c r="HK367"/>
  <c r="HH367"/>
  <c r="HK366"/>
  <c r="HH366"/>
  <c r="HK365"/>
  <c r="HH365"/>
  <c r="HK364"/>
  <c r="HH364"/>
  <c r="HK363"/>
  <c r="HH363"/>
  <c r="HK362"/>
  <c r="HH362"/>
  <c r="HK361"/>
  <c r="HH361"/>
  <c r="HK360"/>
  <c r="HH360"/>
  <c r="HK359"/>
  <c r="HH359"/>
  <c r="HK358"/>
  <c r="HH358"/>
  <c r="HK357"/>
  <c r="HH357"/>
  <c r="HK356"/>
  <c r="HH356"/>
  <c r="HK355"/>
  <c r="HH355"/>
  <c r="HK354"/>
  <c r="HH354"/>
  <c r="HK353"/>
  <c r="HH353"/>
  <c r="HK352"/>
  <c r="HH352"/>
  <c r="HK351"/>
  <c r="HH351"/>
  <c r="HK350"/>
  <c r="HH350"/>
  <c r="HK349"/>
  <c r="HH349"/>
  <c r="HK348"/>
  <c r="HH348"/>
  <c r="HK347"/>
  <c r="HH347"/>
  <c r="HK346"/>
  <c r="HH346"/>
  <c r="HK345"/>
  <c r="HH345"/>
  <c r="HK344"/>
  <c r="HH344"/>
  <c r="HK343"/>
  <c r="HH343"/>
  <c r="HK342"/>
  <c r="HH342"/>
  <c r="HK341"/>
  <c r="HH341"/>
  <c r="HK340"/>
  <c r="HH340"/>
  <c r="HK339"/>
  <c r="HH339"/>
  <c r="HK338"/>
  <c r="HH338"/>
  <c r="HK337"/>
  <c r="HH337"/>
  <c r="HK336"/>
  <c r="HH336"/>
  <c r="HK335"/>
  <c r="HH335"/>
  <c r="HK334"/>
  <c r="HH334"/>
  <c r="HK333"/>
  <c r="HH333"/>
  <c r="HK332"/>
  <c r="HH332"/>
  <c r="HK331"/>
  <c r="HH331"/>
  <c r="HK330"/>
  <c r="HH330"/>
  <c r="HK329"/>
  <c r="HH329"/>
  <c r="HK328"/>
  <c r="HH328"/>
  <c r="HK327"/>
  <c r="HH327"/>
  <c r="HK326"/>
  <c r="HH326"/>
  <c r="HK325"/>
  <c r="HH325"/>
  <c r="HK324"/>
  <c r="HH324"/>
  <c r="HK323"/>
  <c r="HH323"/>
  <c r="HK322"/>
  <c r="HH322"/>
  <c r="HK321"/>
  <c r="HH321"/>
  <c r="HK320"/>
  <c r="HH320"/>
  <c r="HK319"/>
  <c r="HH319"/>
  <c r="HK318"/>
  <c r="HH318"/>
  <c r="HK317"/>
  <c r="HH317"/>
  <c r="HK316"/>
  <c r="HH316"/>
  <c r="HK315"/>
  <c r="HH315"/>
  <c r="HK314"/>
  <c r="HH314"/>
  <c r="HK313"/>
  <c r="HH313"/>
  <c r="HK312"/>
  <c r="HH312"/>
  <c r="HK311"/>
  <c r="HH311"/>
  <c r="HK310"/>
  <c r="HH310"/>
  <c r="HK309"/>
  <c r="HH309"/>
  <c r="HK308"/>
  <c r="HH308"/>
  <c r="HK307"/>
  <c r="HH307"/>
  <c r="HK306"/>
  <c r="HH306"/>
  <c r="HK305"/>
  <c r="HH305"/>
  <c r="HK304"/>
  <c r="HH304"/>
  <c r="HK303"/>
  <c r="HH303"/>
  <c r="HK302"/>
  <c r="HH302"/>
  <c r="HK301"/>
  <c r="HH301"/>
  <c r="HK300"/>
  <c r="HH300"/>
  <c r="HK299"/>
  <c r="HH299"/>
  <c r="HK298"/>
  <c r="HH298"/>
  <c r="HK297"/>
  <c r="HH297"/>
  <c r="HK296"/>
  <c r="HH296"/>
  <c r="HK295"/>
  <c r="HH295"/>
  <c r="HK294"/>
  <c r="HH294"/>
  <c r="HK293"/>
  <c r="HH293"/>
  <c r="HK292"/>
  <c r="HH292"/>
  <c r="HK291"/>
  <c r="HH291"/>
  <c r="HK290"/>
  <c r="HH290"/>
  <c r="HK289"/>
  <c r="HH289"/>
  <c r="HK288"/>
  <c r="HH288"/>
  <c r="HK287"/>
  <c r="HH287"/>
  <c r="HK286"/>
  <c r="HH286"/>
  <c r="HK285"/>
  <c r="HH285"/>
  <c r="HK284"/>
  <c r="HH284"/>
  <c r="HK283"/>
  <c r="HH283"/>
  <c r="HK282"/>
  <c r="HH282"/>
  <c r="HK281"/>
  <c r="HH281"/>
  <c r="HK280"/>
  <c r="HH280"/>
  <c r="HK279"/>
  <c r="HH279"/>
  <c r="HK278"/>
  <c r="HH278"/>
  <c r="HK277"/>
  <c r="HH277"/>
  <c r="HK276"/>
  <c r="HH276"/>
  <c r="HK275"/>
  <c r="HH275"/>
  <c r="HK274"/>
  <c r="HH274"/>
  <c r="HK273"/>
  <c r="HH273"/>
  <c r="HK272"/>
  <c r="HH272"/>
  <c r="HK271"/>
  <c r="HH271"/>
  <c r="HK270"/>
  <c r="HH270"/>
  <c r="HK269"/>
  <c r="HH269"/>
  <c r="HK268"/>
  <c r="HH268"/>
  <c r="HK267"/>
  <c r="HH267"/>
  <c r="HK266"/>
  <c r="HH266"/>
  <c r="HK265"/>
  <c r="HH265"/>
  <c r="HK264"/>
  <c r="HH264"/>
  <c r="HK263"/>
  <c r="HH263"/>
  <c r="HK262"/>
  <c r="HH262"/>
  <c r="HK261"/>
  <c r="HH261"/>
  <c r="HK260"/>
  <c r="HH260"/>
  <c r="HK259"/>
  <c r="HH259"/>
  <c r="HK258"/>
  <c r="HH258"/>
  <c r="HK257"/>
  <c r="HH257"/>
  <c r="HK256"/>
  <c r="HH256"/>
  <c r="HK255"/>
  <c r="HH255"/>
  <c r="HK254"/>
  <c r="HH254"/>
  <c r="HK253"/>
  <c r="HH253"/>
  <c r="HK252"/>
  <c r="HH252"/>
  <c r="HK251"/>
  <c r="HH251"/>
  <c r="HK250"/>
  <c r="HH250"/>
  <c r="HK249"/>
  <c r="HH249"/>
  <c r="HK248"/>
  <c r="HH248"/>
  <c r="HK247"/>
  <c r="HH247"/>
  <c r="HK246"/>
  <c r="HH246"/>
  <c r="HK245"/>
  <c r="HH245"/>
  <c r="HK244"/>
  <c r="HH244"/>
  <c r="HK243"/>
  <c r="HH243"/>
  <c r="HK242"/>
  <c r="HH242"/>
  <c r="HK241"/>
  <c r="HH241"/>
  <c r="HK240"/>
  <c r="HH240"/>
  <c r="HK239"/>
  <c r="HH239"/>
  <c r="HK238"/>
  <c r="HH238"/>
  <c r="HK237"/>
  <c r="HH237"/>
  <c r="HK236"/>
  <c r="HH236"/>
  <c r="HK235"/>
  <c r="HH235"/>
  <c r="HK234"/>
  <c r="HH234"/>
  <c r="HK233"/>
  <c r="HH233"/>
  <c r="HK232"/>
  <c r="HH232"/>
  <c r="HK231"/>
  <c r="HH231"/>
  <c r="HK230"/>
  <c r="HH230"/>
  <c r="HK229"/>
  <c r="HH229"/>
  <c r="HK228"/>
  <c r="HH228"/>
  <c r="HK227"/>
  <c r="HH227"/>
  <c r="HK226"/>
  <c r="HH226"/>
  <c r="HK225"/>
  <c r="HH225"/>
  <c r="HK224"/>
  <c r="HH224"/>
  <c r="HK223"/>
  <c r="HH223"/>
  <c r="HK222"/>
  <c r="HH222"/>
  <c r="HK221"/>
  <c r="HH221"/>
  <c r="HK220"/>
  <c r="HH220"/>
  <c r="HK219"/>
  <c r="HH219"/>
  <c r="HK218"/>
  <c r="HH218"/>
  <c r="HK217"/>
  <c r="HH217"/>
  <c r="HK216"/>
  <c r="HH216"/>
  <c r="HK215"/>
  <c r="HH215"/>
  <c r="HK214"/>
  <c r="HH214"/>
  <c r="HK213"/>
  <c r="HH213"/>
  <c r="HK212"/>
  <c r="HH212"/>
  <c r="HK211"/>
  <c r="HH211"/>
  <c r="HK210"/>
  <c r="HH210"/>
  <c r="HK209"/>
  <c r="HH209"/>
  <c r="HK208"/>
  <c r="HH208"/>
  <c r="HK207"/>
  <c r="HH207"/>
  <c r="HK206"/>
  <c r="HH206"/>
  <c r="HK205"/>
  <c r="HH205"/>
  <c r="HK204"/>
  <c r="HH204"/>
  <c r="HK203"/>
  <c r="HH203"/>
  <c r="HK202"/>
  <c r="HH202"/>
  <c r="HK201"/>
  <c r="HH201"/>
  <c r="HK200"/>
  <c r="HH200"/>
  <c r="HK199"/>
  <c r="HH199"/>
  <c r="HK198"/>
  <c r="HH198"/>
  <c r="HK197"/>
  <c r="HH197"/>
  <c r="HK196"/>
  <c r="HH196"/>
  <c r="HK195"/>
  <c r="HH195"/>
  <c r="HK194"/>
  <c r="HH194"/>
  <c r="HK193"/>
  <c r="HH193"/>
  <c r="HK192"/>
  <c r="HH192"/>
  <c r="HK191"/>
  <c r="HH191"/>
  <c r="HK190"/>
  <c r="HH190"/>
  <c r="HK189"/>
  <c r="HH189"/>
  <c r="HK188"/>
  <c r="HH188"/>
  <c r="HK187"/>
  <c r="HH187"/>
  <c r="HK186"/>
  <c r="HH186"/>
  <c r="HK185"/>
  <c r="HH185"/>
  <c r="HK184"/>
  <c r="HH184"/>
  <c r="HK183"/>
  <c r="HH183"/>
  <c r="HK182"/>
  <c r="HH182"/>
  <c r="HK181"/>
  <c r="HH181"/>
  <c r="HK180"/>
  <c r="HH180"/>
  <c r="HK179"/>
  <c r="HH179"/>
  <c r="HK178"/>
  <c r="HH178"/>
  <c r="HK177"/>
  <c r="HH177"/>
  <c r="HK176"/>
  <c r="HH176"/>
  <c r="HK175"/>
  <c r="HH175"/>
  <c r="HK174"/>
  <c r="HH174"/>
  <c r="HK173"/>
  <c r="HH173"/>
  <c r="HK172"/>
  <c r="HH172"/>
  <c r="HK171"/>
  <c r="HH171"/>
  <c r="HK170"/>
  <c r="HH170"/>
  <c r="HK169"/>
  <c r="HH169"/>
  <c r="HK168"/>
  <c r="HH168"/>
  <c r="HK167"/>
  <c r="HH167"/>
  <c r="HK166"/>
  <c r="HH166"/>
  <c r="HK165"/>
  <c r="HH165"/>
  <c r="HK164"/>
  <c r="HH164"/>
  <c r="HK163"/>
  <c r="HH163"/>
  <c r="HK162"/>
  <c r="HH162"/>
  <c r="HK161"/>
  <c r="HH161"/>
  <c r="HK160"/>
  <c r="HH160"/>
  <c r="HK159"/>
  <c r="HH159"/>
  <c r="HK158"/>
  <c r="HH158"/>
  <c r="HK157"/>
  <c r="HH157"/>
  <c r="HK156"/>
  <c r="HH156"/>
  <c r="HK155"/>
  <c r="HH155"/>
  <c r="HK154"/>
  <c r="HH154"/>
  <c r="HK153"/>
  <c r="HH153"/>
  <c r="HK152"/>
  <c r="HH152"/>
  <c r="HK151"/>
  <c r="HH151"/>
  <c r="HK150"/>
  <c r="HH150"/>
  <c r="HK149"/>
  <c r="HH149"/>
  <c r="HK148"/>
  <c r="HH148"/>
  <c r="HK147"/>
  <c r="HH147"/>
  <c r="HK146"/>
  <c r="HH146"/>
  <c r="HK145"/>
  <c r="HH145"/>
  <c r="HK144"/>
  <c r="HH144"/>
  <c r="HK143"/>
  <c r="HH143"/>
  <c r="HK142"/>
  <c r="HH142"/>
  <c r="HK141"/>
  <c r="HH141"/>
  <c r="HK140"/>
  <c r="HH140"/>
  <c r="HK139"/>
  <c r="HH139"/>
  <c r="HK138"/>
  <c r="HH138"/>
  <c r="HK137"/>
  <c r="HH137"/>
  <c r="HK136"/>
  <c r="HH136"/>
  <c r="HK135"/>
  <c r="HH135"/>
  <c r="HK134"/>
  <c r="HH134"/>
  <c r="HK133"/>
  <c r="HH133"/>
  <c r="HK132"/>
  <c r="HH132"/>
  <c r="HK131"/>
  <c r="HH131"/>
  <c r="HK130"/>
  <c r="HH130"/>
  <c r="HK129"/>
  <c r="HH129"/>
  <c r="HK128"/>
  <c r="HH128"/>
  <c r="HK127"/>
  <c r="HH127"/>
  <c r="HK126"/>
  <c r="HH126"/>
  <c r="HK125"/>
  <c r="HH125"/>
  <c r="HK124"/>
  <c r="HH124"/>
  <c r="HK123"/>
  <c r="HH123"/>
  <c r="HK122"/>
  <c r="HH122"/>
  <c r="HK121"/>
  <c r="HH121"/>
  <c r="HK120"/>
  <c r="HH120"/>
  <c r="HK119"/>
  <c r="HH119"/>
  <c r="HK118"/>
  <c r="HH118"/>
  <c r="HK117"/>
  <c r="HH117"/>
  <c r="HK116"/>
  <c r="HH116"/>
  <c r="HK115"/>
  <c r="HH115"/>
  <c r="HK114"/>
  <c r="HH114"/>
  <c r="HK113"/>
  <c r="HH113"/>
  <c r="HK112"/>
  <c r="HH112"/>
  <c r="HK111"/>
  <c r="HH111"/>
  <c r="HK110"/>
  <c r="HH110"/>
  <c r="HK109"/>
  <c r="HH109"/>
  <c r="HK108"/>
  <c r="HH108"/>
  <c r="HK107"/>
  <c r="HH107"/>
  <c r="HK106"/>
  <c r="HH106"/>
  <c r="HK105"/>
  <c r="HH105"/>
  <c r="HK104"/>
  <c r="HH104"/>
  <c r="HK103"/>
  <c r="HH103"/>
  <c r="HK102"/>
  <c r="HH102"/>
  <c r="HK101"/>
  <c r="HH101"/>
  <c r="HK100"/>
  <c r="HH100"/>
  <c r="HK99"/>
  <c r="HH99"/>
  <c r="HK98"/>
  <c r="HH98"/>
  <c r="HK97"/>
  <c r="HH97"/>
  <c r="HK96"/>
  <c r="HH96"/>
  <c r="HK95"/>
  <c r="HH95"/>
  <c r="HK94"/>
  <c r="HH94"/>
  <c r="HK93"/>
  <c r="HH93"/>
  <c r="HK92"/>
  <c r="HH92"/>
  <c r="HK91"/>
  <c r="HH91"/>
  <c r="HK90"/>
  <c r="HH90"/>
  <c r="AB93"/>
  <c r="AB94" s="1"/>
  <c r="AA93"/>
  <c r="AA94" s="1"/>
  <c r="Z93"/>
  <c r="Z94" s="1"/>
  <c r="Y93"/>
  <c r="Y94" s="1"/>
  <c r="X93"/>
  <c r="X94" s="1"/>
  <c r="W93"/>
  <c r="W94" s="1"/>
  <c r="V93"/>
  <c r="V94" s="1"/>
  <c r="U93"/>
  <c r="U94" s="1"/>
  <c r="T93"/>
  <c r="T94" s="1"/>
  <c r="S93"/>
  <c r="S94" s="1"/>
  <c r="R93"/>
  <c r="R94" s="1"/>
  <c r="Q93"/>
  <c r="Q94" s="1"/>
  <c r="P93"/>
  <c r="P94" s="1"/>
  <c r="O93"/>
  <c r="O94" s="1"/>
  <c r="N93"/>
  <c r="N94" s="1"/>
  <c r="M93"/>
  <c r="M94" s="1"/>
  <c r="L93"/>
  <c r="L94" s="1"/>
  <c r="K93"/>
  <c r="K94" s="1"/>
  <c r="J93"/>
  <c r="J94" s="1"/>
  <c r="I93"/>
  <c r="I94" s="1"/>
  <c r="H93"/>
  <c r="H94" s="1"/>
  <c r="G93"/>
  <c r="G94" s="1"/>
  <c r="F93"/>
  <c r="F94" s="1"/>
  <c r="E93"/>
  <c r="E94" s="1"/>
  <c r="D93"/>
  <c r="D94" s="1"/>
  <c r="C93"/>
  <c r="C94" s="1"/>
  <c r="HK89"/>
  <c r="HH89"/>
  <c r="HK88"/>
  <c r="HH88"/>
  <c r="HK87"/>
  <c r="HH87"/>
  <c r="HK86"/>
  <c r="HH86"/>
  <c r="HK85"/>
  <c r="HH85"/>
  <c r="HK84"/>
  <c r="HH84"/>
  <c r="HK83"/>
  <c r="HH83"/>
  <c r="AB86"/>
  <c r="AB87" s="1"/>
  <c r="AA86"/>
  <c r="AA87" s="1"/>
  <c r="Z86"/>
  <c r="Z87" s="1"/>
  <c r="Y86"/>
  <c r="Y87" s="1"/>
  <c r="X86"/>
  <c r="X87" s="1"/>
  <c r="W86"/>
  <c r="W87" s="1"/>
  <c r="V86"/>
  <c r="V87" s="1"/>
  <c r="U86"/>
  <c r="U87" s="1"/>
  <c r="T86"/>
  <c r="T87" s="1"/>
  <c r="S86"/>
  <c r="S87" s="1"/>
  <c r="R86"/>
  <c r="R87" s="1"/>
  <c r="Q86"/>
  <c r="Q87" s="1"/>
  <c r="P86"/>
  <c r="P87" s="1"/>
  <c r="O86"/>
  <c r="O87" s="1"/>
  <c r="N86"/>
  <c r="N87" s="1"/>
  <c r="M86"/>
  <c r="M87" s="1"/>
  <c r="L86"/>
  <c r="L87" s="1"/>
  <c r="K86"/>
  <c r="K87" s="1"/>
  <c r="J86"/>
  <c r="J87" s="1"/>
  <c r="I86"/>
  <c r="I87" s="1"/>
  <c r="H86"/>
  <c r="H87" s="1"/>
  <c r="G86"/>
  <c r="G87" s="1"/>
  <c r="F86"/>
  <c r="F87" s="1"/>
  <c r="E86"/>
  <c r="E87" s="1"/>
  <c r="D86"/>
  <c r="D87" s="1"/>
  <c r="C86"/>
  <c r="C87" s="1"/>
  <c r="HK82"/>
  <c r="HH82"/>
  <c r="HK81"/>
  <c r="HH81"/>
  <c r="HK80"/>
  <c r="HH80"/>
  <c r="HK79"/>
  <c r="HH79"/>
  <c r="HK78"/>
  <c r="HH78"/>
  <c r="HK77"/>
  <c r="HH77"/>
  <c r="HK76"/>
  <c r="HH76"/>
  <c r="HK75"/>
  <c r="HH75"/>
  <c r="HK74"/>
  <c r="HH74"/>
  <c r="HK73"/>
  <c r="HH73"/>
  <c r="HK72"/>
  <c r="HH72"/>
  <c r="HK71"/>
  <c r="HH71"/>
  <c r="HK70"/>
  <c r="HH70"/>
  <c r="HK69"/>
  <c r="HH69"/>
  <c r="HK68"/>
  <c r="HH68"/>
  <c r="HK67"/>
  <c r="HH67"/>
  <c r="HK66"/>
  <c r="HH66"/>
  <c r="HK65"/>
  <c r="HH65"/>
  <c r="HK64"/>
  <c r="HH64"/>
  <c r="HK63"/>
  <c r="HH63"/>
  <c r="HK62"/>
  <c r="HH62"/>
  <c r="HK61"/>
  <c r="HH61"/>
  <c r="HK60"/>
  <c r="HH60"/>
  <c r="HK59"/>
  <c r="HH59"/>
  <c r="HK58"/>
  <c r="HH58"/>
  <c r="HK57"/>
  <c r="HH57"/>
  <c r="HK56"/>
  <c r="HH56"/>
  <c r="HK55"/>
  <c r="HH55"/>
  <c r="HK54"/>
  <c r="HH54"/>
  <c r="HK53"/>
  <c r="HH53"/>
  <c r="HK52"/>
  <c r="HH52"/>
  <c r="HK51"/>
  <c r="HH51"/>
  <c r="HK50"/>
  <c r="HH50"/>
  <c r="HK49"/>
  <c r="HH49"/>
  <c r="HK48"/>
  <c r="HH48"/>
  <c r="HK47"/>
  <c r="HH47"/>
  <c r="HK46"/>
  <c r="HH46"/>
  <c r="HK45"/>
  <c r="HH45"/>
  <c r="HK44"/>
  <c r="HH44"/>
  <c r="HK43"/>
  <c r="HH43"/>
  <c r="HK42"/>
  <c r="HH42"/>
  <c r="HK41"/>
  <c r="HH41"/>
  <c r="HK40"/>
  <c r="HH40"/>
  <c r="HK39"/>
  <c r="HH39"/>
  <c r="HK38"/>
  <c r="HH38"/>
  <c r="HK37"/>
  <c r="HH37"/>
  <c r="HK36"/>
  <c r="HH36"/>
  <c r="T39"/>
  <c r="T40" s="1"/>
  <c r="S39"/>
  <c r="S40" s="1"/>
  <c r="R39"/>
  <c r="R40" s="1"/>
  <c r="Q39"/>
  <c r="Q40" s="1"/>
  <c r="P39"/>
  <c r="P40" s="1"/>
  <c r="O39"/>
  <c r="O40" s="1"/>
  <c r="N39"/>
  <c r="N40" s="1"/>
  <c r="M39"/>
  <c r="M40" s="1"/>
  <c r="L39"/>
  <c r="L40" s="1"/>
  <c r="K39"/>
  <c r="K40" s="1"/>
  <c r="J39"/>
  <c r="J40" s="1"/>
  <c r="I39"/>
  <c r="I40" s="1"/>
  <c r="H39"/>
  <c r="H40" s="1"/>
  <c r="G39"/>
  <c r="G40" s="1"/>
  <c r="F39"/>
  <c r="F40" s="1"/>
  <c r="E39"/>
  <c r="E40" s="1"/>
  <c r="D39"/>
  <c r="C39"/>
  <c r="HK35"/>
  <c r="HH35"/>
  <c r="HK34"/>
  <c r="HH34"/>
  <c r="T37"/>
  <c r="T38" s="1"/>
  <c r="S37"/>
  <c r="S38" s="1"/>
  <c r="R37"/>
  <c r="R38" s="1"/>
  <c r="Q37"/>
  <c r="Q38" s="1"/>
  <c r="P37"/>
  <c r="P38" s="1"/>
  <c r="O37"/>
  <c r="O38" s="1"/>
  <c r="N37"/>
  <c r="N38" s="1"/>
  <c r="M37"/>
  <c r="M38" s="1"/>
  <c r="L37"/>
  <c r="L38" s="1"/>
  <c r="K37"/>
  <c r="K38" s="1"/>
  <c r="J37"/>
  <c r="J38" s="1"/>
  <c r="I37"/>
  <c r="I38" s="1"/>
  <c r="H37"/>
  <c r="H38" s="1"/>
  <c r="G37"/>
  <c r="G38" s="1"/>
  <c r="F37"/>
  <c r="F38" s="1"/>
  <c r="E37"/>
  <c r="E38" s="1"/>
  <c r="D37"/>
  <c r="D38" s="1"/>
  <c r="C37"/>
  <c r="HK33"/>
  <c r="HH33"/>
  <c r="HK32"/>
  <c r="HH32"/>
  <c r="T35"/>
  <c r="T36" s="1"/>
  <c r="S35"/>
  <c r="S36" s="1"/>
  <c r="R35"/>
  <c r="R36" s="1"/>
  <c r="Q35"/>
  <c r="Q36" s="1"/>
  <c r="P35"/>
  <c r="P36" s="1"/>
  <c r="O35"/>
  <c r="O36" s="1"/>
  <c r="N35"/>
  <c r="N36" s="1"/>
  <c r="M35"/>
  <c r="M36" s="1"/>
  <c r="L35"/>
  <c r="L36" s="1"/>
  <c r="K35"/>
  <c r="K36" s="1"/>
  <c r="J35"/>
  <c r="J36" s="1"/>
  <c r="I35"/>
  <c r="I36" s="1"/>
  <c r="H35"/>
  <c r="H36" s="1"/>
  <c r="G35"/>
  <c r="G36" s="1"/>
  <c r="F35"/>
  <c r="F36" s="1"/>
  <c r="E35"/>
  <c r="E36" s="1"/>
  <c r="D35"/>
  <c r="C35"/>
  <c r="C36" s="1"/>
  <c r="HK31"/>
  <c r="HH31"/>
  <c r="HK30"/>
  <c r="HH30"/>
  <c r="HK29"/>
  <c r="HH29"/>
  <c r="HK28"/>
  <c r="HH28"/>
  <c r="HK27"/>
  <c r="HH27"/>
  <c r="HK26"/>
  <c r="HH26"/>
  <c r="D10"/>
  <c r="AB35" s="1"/>
  <c r="B5"/>
  <c r="HK25"/>
  <c r="HH25"/>
  <c r="A4"/>
  <c r="K2" s="1"/>
  <c r="HK24"/>
  <c r="HH24"/>
  <c r="A3"/>
  <c r="HK23"/>
  <c r="HH23"/>
  <c r="HK22"/>
  <c r="HH22"/>
  <c r="HK21"/>
  <c r="HH21"/>
  <c r="HK20"/>
  <c r="HH20"/>
  <c r="HK19"/>
  <c r="HH19"/>
  <c r="HK18"/>
  <c r="HH18"/>
  <c r="T18"/>
  <c r="T19" s="1"/>
  <c r="S18"/>
  <c r="S19" s="1"/>
  <c r="R18"/>
  <c r="R19" s="1"/>
  <c r="Q18"/>
  <c r="Q19" s="1"/>
  <c r="P18"/>
  <c r="P19" s="1"/>
  <c r="O18"/>
  <c r="O19" s="1"/>
  <c r="N18"/>
  <c r="N19" s="1"/>
  <c r="M18"/>
  <c r="M19" s="1"/>
  <c r="L18"/>
  <c r="L19" s="1"/>
  <c r="K18"/>
  <c r="K19" s="1"/>
  <c r="J18"/>
  <c r="J19" s="1"/>
  <c r="I18"/>
  <c r="I19" s="1"/>
  <c r="H18"/>
  <c r="H19" s="1"/>
  <c r="G18"/>
  <c r="G19" s="1"/>
  <c r="F18"/>
  <c r="E18"/>
  <c r="D18"/>
  <c r="D19" s="1"/>
  <c r="C18"/>
  <c r="C19" s="1"/>
  <c r="HK17"/>
  <c r="HH17"/>
  <c r="HK16"/>
  <c r="HH16"/>
  <c r="T16"/>
  <c r="T17" s="1"/>
  <c r="S16"/>
  <c r="S17" s="1"/>
  <c r="R16"/>
  <c r="R17" s="1"/>
  <c r="Q16"/>
  <c r="Q17" s="1"/>
  <c r="P16"/>
  <c r="P17" s="1"/>
  <c r="O16"/>
  <c r="O17" s="1"/>
  <c r="N16"/>
  <c r="N17" s="1"/>
  <c r="M16"/>
  <c r="M17" s="1"/>
  <c r="L16"/>
  <c r="L17" s="1"/>
  <c r="K16"/>
  <c r="K17" s="1"/>
  <c r="J16"/>
  <c r="J17" s="1"/>
  <c r="I16"/>
  <c r="I17" s="1"/>
  <c r="H16"/>
  <c r="H17" s="1"/>
  <c r="G16"/>
  <c r="G17" s="1"/>
  <c r="F16"/>
  <c r="F17" s="1"/>
  <c r="E16"/>
  <c r="E17" s="1"/>
  <c r="D16"/>
  <c r="D17" s="1"/>
  <c r="C16"/>
  <c r="HK15"/>
  <c r="HH15"/>
  <c r="HK14"/>
  <c r="HH14"/>
  <c r="T14"/>
  <c r="T15" s="1"/>
  <c r="S14"/>
  <c r="S15" s="1"/>
  <c r="R14"/>
  <c r="R15" s="1"/>
  <c r="Q14"/>
  <c r="Q15" s="1"/>
  <c r="P14"/>
  <c r="P15" s="1"/>
  <c r="O14"/>
  <c r="O15" s="1"/>
  <c r="N14"/>
  <c r="N15" s="1"/>
  <c r="M14"/>
  <c r="M15" s="1"/>
  <c r="L14"/>
  <c r="L15" s="1"/>
  <c r="K14"/>
  <c r="K15" s="1"/>
  <c r="J14"/>
  <c r="J15" s="1"/>
  <c r="I14"/>
  <c r="I15" s="1"/>
  <c r="H14"/>
  <c r="H15" s="1"/>
  <c r="G14"/>
  <c r="G15" s="1"/>
  <c r="F14"/>
  <c r="F15" s="1"/>
  <c r="E14"/>
  <c r="E15" s="1"/>
  <c r="D14"/>
  <c r="D15" s="1"/>
  <c r="C14"/>
  <c r="HK13"/>
  <c r="HH13"/>
  <c r="HK12"/>
  <c r="L16" i="7"/>
  <c r="L17" s="1"/>
  <c r="K16"/>
  <c r="K17" s="1"/>
  <c r="J16"/>
  <c r="J17" s="1"/>
  <c r="I16"/>
  <c r="I17" s="1"/>
  <c r="H16"/>
  <c r="H17" s="1"/>
  <c r="G16"/>
  <c r="G17" s="1"/>
  <c r="F16"/>
  <c r="F17" s="1"/>
  <c r="E16"/>
  <c r="E17" s="1"/>
  <c r="D16"/>
  <c r="D17" s="1"/>
  <c r="C16"/>
  <c r="C17" s="1"/>
  <c r="L12"/>
  <c r="L13" s="1"/>
  <c r="K12"/>
  <c r="K13" s="1"/>
  <c r="J12"/>
  <c r="J13" s="1"/>
  <c r="I12"/>
  <c r="I13" s="1"/>
  <c r="H12"/>
  <c r="H13" s="1"/>
  <c r="G12"/>
  <c r="G13" s="1"/>
  <c r="F12"/>
  <c r="F13" s="1"/>
  <c r="E12"/>
  <c r="E13" s="1"/>
  <c r="D12"/>
  <c r="D13" s="1"/>
  <c r="C12"/>
  <c r="C13" s="1"/>
  <c r="L9"/>
  <c r="L10" s="1"/>
  <c r="K9"/>
  <c r="K10" s="1"/>
  <c r="J9"/>
  <c r="J10" s="1"/>
  <c r="I9"/>
  <c r="I10" s="1"/>
  <c r="H9"/>
  <c r="H10" s="1"/>
  <c r="G9"/>
  <c r="G10" s="1"/>
  <c r="F9"/>
  <c r="F10" s="1"/>
  <c r="E9"/>
  <c r="E10" s="1"/>
  <c r="D9"/>
  <c r="D10" s="1"/>
  <c r="C9"/>
  <c r="C10" s="1"/>
  <c r="I6" i="11"/>
  <c r="C2" i="7"/>
  <c r="C5"/>
  <c r="C6"/>
  <c r="C3"/>
  <c r="L16" i="4" l="1"/>
  <c r="B10" i="15"/>
  <c r="L44" i="4"/>
  <c r="BV14" i="10"/>
  <c r="C7" i="11"/>
  <c r="Q3"/>
  <c r="T4" i="7" s="1"/>
  <c r="T3"/>
  <c r="Q9" i="11"/>
  <c r="T10" i="7" s="1"/>
  <c r="BV35" i="10"/>
  <c r="Q4" i="11"/>
  <c r="T5" i="7" s="1"/>
  <c r="Q7" i="11"/>
  <c r="T8" i="7" s="1"/>
  <c r="BV56" i="10"/>
  <c r="Q6" i="11"/>
  <c r="T7" i="7" s="1"/>
  <c r="Q8" i="11"/>
  <c r="T9" i="7" s="1"/>
  <c r="F32"/>
  <c r="Q11" i="11"/>
  <c r="T12" i="7" s="1"/>
  <c r="Q5" i="11"/>
  <c r="T6" i="7" s="1"/>
  <c r="Q10" i="11"/>
  <c r="T11" i="7" s="1"/>
  <c r="BV102" i="10"/>
  <c r="B65" i="11"/>
  <c r="C65" s="1"/>
  <c r="H7" i="15" s="1"/>
  <c r="B63" i="11"/>
  <c r="B64" s="1"/>
  <c r="C64" s="1"/>
  <c r="B71"/>
  <c r="C71" s="1"/>
  <c r="H25" i="15" s="1"/>
  <c r="B69" i="11"/>
  <c r="D23" i="7"/>
  <c r="E23" s="1"/>
  <c r="GZ16" i="8"/>
  <c r="HA34"/>
  <c r="HD40"/>
  <c r="GZ36"/>
  <c r="HC39"/>
  <c r="HD16"/>
  <c r="AC14"/>
  <c r="AB14"/>
  <c r="AC94"/>
  <c r="AD94" s="1"/>
  <c r="HD22"/>
  <c r="AC87"/>
  <c r="AD87" s="1"/>
  <c r="HB19"/>
  <c r="HA22"/>
  <c r="HB22"/>
  <c r="HC15"/>
  <c r="HB16"/>
  <c r="J2"/>
  <c r="HC37"/>
  <c r="HD15"/>
  <c r="HC16"/>
  <c r="C17"/>
  <c r="HC18"/>
  <c r="E19"/>
  <c r="GZ21" s="1"/>
  <c r="HA21"/>
  <c r="D2"/>
  <c r="HD34"/>
  <c r="HC19"/>
  <c r="HD18"/>
  <c r="GZ18"/>
  <c r="HA19"/>
  <c r="I2"/>
  <c r="C2"/>
  <c r="F19"/>
  <c r="AG22" s="1"/>
  <c r="HD19"/>
  <c r="F2"/>
  <c r="L2"/>
  <c r="HA33"/>
  <c r="HB37"/>
  <c r="HA36"/>
  <c r="HD37"/>
  <c r="GZ37"/>
  <c r="HC36"/>
  <c r="HA37"/>
  <c r="HB36"/>
  <c r="C38"/>
  <c r="HD36"/>
  <c r="HA16"/>
  <c r="HA15"/>
  <c r="HB18"/>
  <c r="GZ15"/>
  <c r="HB34"/>
  <c r="D36"/>
  <c r="AE43" s="1"/>
  <c r="C15"/>
  <c r="HB15"/>
  <c r="HC22"/>
  <c r="HC21"/>
  <c r="HA18"/>
  <c r="GZ19"/>
  <c r="GZ22"/>
  <c r="G2"/>
  <c r="AC35"/>
  <c r="HC33"/>
  <c r="HC34"/>
  <c r="HA40"/>
  <c r="D40"/>
  <c r="HA39" s="1"/>
  <c r="HC40"/>
  <c r="HB33"/>
  <c r="GZ34"/>
  <c r="C40"/>
  <c r="HD39"/>
  <c r="HB40"/>
  <c r="GZ40"/>
  <c r="D3" i="7"/>
  <c r="D6"/>
  <c r="D5"/>
  <c r="D2"/>
  <c r="N17"/>
  <c r="O17" s="1"/>
  <c r="N10"/>
  <c r="O10" s="1"/>
  <c r="N13"/>
  <c r="O13" s="1"/>
  <c r="B4" i="6"/>
  <c r="C6" s="1"/>
  <c r="A13"/>
  <c r="M12" s="1"/>
  <c r="B70" i="11" l="1"/>
  <c r="C70" s="1"/>
  <c r="H24" i="15" s="1"/>
  <c r="H6"/>
  <c r="J89" i="11"/>
  <c r="I13" i="15" s="1"/>
  <c r="K89" i="11"/>
  <c r="J13" i="15" s="1"/>
  <c r="J90" i="11"/>
  <c r="I14" i="15" s="1"/>
  <c r="K88" i="11"/>
  <c r="J12" i="15" s="1"/>
  <c r="A76" i="11"/>
  <c r="A77" s="1"/>
  <c r="A78" s="1"/>
  <c r="A79" s="1"/>
  <c r="A80" s="1"/>
  <c r="A81" s="1"/>
  <c r="A82" s="1"/>
  <c r="A83" s="1"/>
  <c r="A84" s="1"/>
  <c r="E33" i="7"/>
  <c r="F33" s="1"/>
  <c r="C69" i="11"/>
  <c r="H23" i="15" s="1"/>
  <c r="C63" i="11"/>
  <c r="H5" i="15" s="1"/>
  <c r="E26" i="7"/>
  <c r="D69" i="11"/>
  <c r="I23" i="15" s="1"/>
  <c r="L53" i="11"/>
  <c r="E68"/>
  <c r="J22" i="15" s="1"/>
  <c r="E69" i="11"/>
  <c r="J23" i="15" s="1"/>
  <c r="E70" i="11"/>
  <c r="J24" i="15" s="1"/>
  <c r="L42" i="11"/>
  <c r="L18"/>
  <c r="B11" i="15" s="1"/>
  <c r="HB39" i="8"/>
  <c r="AE16" i="11"/>
  <c r="R2"/>
  <c r="AK16"/>
  <c r="L32"/>
  <c r="HD21" i="8"/>
  <c r="GZ39"/>
  <c r="HB21"/>
  <c r="HD33"/>
  <c r="AE45"/>
  <c r="C5"/>
  <c r="C6" s="1"/>
  <c r="AE46"/>
  <c r="U19"/>
  <c r="V19" s="1"/>
  <c r="AE49"/>
  <c r="AE48"/>
  <c r="AC45"/>
  <c r="AE44"/>
  <c r="AC42"/>
  <c r="AG29"/>
  <c r="AC47"/>
  <c r="AG25"/>
  <c r="GY36"/>
  <c r="Z42"/>
  <c r="AA42" s="1"/>
  <c r="AG23"/>
  <c r="AG48"/>
  <c r="AG44"/>
  <c r="U40"/>
  <c r="AG46"/>
  <c r="AG43"/>
  <c r="AG47"/>
  <c r="AG42"/>
  <c r="AG45"/>
  <c r="AG50"/>
  <c r="AG49"/>
  <c r="AC46"/>
  <c r="AE29"/>
  <c r="AE26"/>
  <c r="AE28"/>
  <c r="AC25"/>
  <c r="AC24"/>
  <c r="AC28"/>
  <c r="AC22"/>
  <c r="AC21"/>
  <c r="AC23"/>
  <c r="AE21"/>
  <c r="Z21"/>
  <c r="AA21" s="1"/>
  <c r="AD96" s="1"/>
  <c r="AE96" s="1"/>
  <c r="AC27"/>
  <c r="AC26"/>
  <c r="AE27"/>
  <c r="AE25"/>
  <c r="AE23"/>
  <c r="U15"/>
  <c r="V15" s="1"/>
  <c r="AE24"/>
  <c r="AE22"/>
  <c r="AG24"/>
  <c r="I3"/>
  <c r="AG28"/>
  <c r="AC49"/>
  <c r="AE50"/>
  <c r="U36"/>
  <c r="AC44"/>
  <c r="AE42"/>
  <c r="AE47"/>
  <c r="AC43"/>
  <c r="AC48"/>
  <c r="AF29"/>
  <c r="AF27"/>
  <c r="AF26"/>
  <c r="AF23"/>
  <c r="AF22"/>
  <c r="U17"/>
  <c r="V17" s="1"/>
  <c r="AF25"/>
  <c r="AF28"/>
  <c r="AF24"/>
  <c r="AF21"/>
  <c r="GZ33"/>
  <c r="GY15"/>
  <c r="GY18"/>
  <c r="AG26"/>
  <c r="AG21"/>
  <c r="GY39"/>
  <c r="AF50"/>
  <c r="AF47"/>
  <c r="AF49"/>
  <c r="AF45"/>
  <c r="AF42"/>
  <c r="AF44"/>
  <c r="AF48"/>
  <c r="AF43"/>
  <c r="AF46"/>
  <c r="U38"/>
  <c r="V38" s="1"/>
  <c r="F5"/>
  <c r="AG27"/>
  <c r="D12" i="6"/>
  <c r="L12"/>
  <c r="K12"/>
  <c r="E12"/>
  <c r="G12"/>
  <c r="J12"/>
  <c r="B5"/>
  <c r="L3" s="1"/>
  <c r="H12"/>
  <c r="L3" i="8"/>
  <c r="U3" i="7" l="1"/>
  <c r="R3" i="11"/>
  <c r="L45" i="4"/>
  <c r="L36"/>
  <c r="L27"/>
  <c r="BV77" i="10"/>
  <c r="D70" i="11"/>
  <c r="I24" i="15" s="1"/>
  <c r="D71" i="11"/>
  <c r="I25" i="15" s="1"/>
  <c r="L17" i="4"/>
  <c r="BV57" i="10"/>
  <c r="BV36"/>
  <c r="J13" i="6"/>
  <c r="J14" s="1"/>
  <c r="BV15" i="10"/>
  <c r="R5" i="11"/>
  <c r="R10"/>
  <c r="R9"/>
  <c r="R4"/>
  <c r="R7"/>
  <c r="R11"/>
  <c r="R8"/>
  <c r="R6"/>
  <c r="GY21" i="8"/>
  <c r="D22"/>
  <c r="D23" s="1"/>
  <c r="G23" s="1"/>
  <c r="G13" i="6"/>
  <c r="G14" s="1"/>
  <c r="GY33" i="8"/>
  <c r="J21"/>
  <c r="L21"/>
  <c r="Z23"/>
  <c r="AA23" s="1"/>
  <c r="Z14"/>
  <c r="Z58"/>
  <c r="AA58" s="1"/>
  <c r="Z44"/>
  <c r="AA44" s="1"/>
  <c r="Z35"/>
  <c r="AI48"/>
  <c r="AI49"/>
  <c r="AI44"/>
  <c r="AI43"/>
  <c r="AI42"/>
  <c r="AI25"/>
  <c r="AI28"/>
  <c r="U20"/>
  <c r="E22" s="1"/>
  <c r="Z39"/>
  <c r="AI27"/>
  <c r="AI46"/>
  <c r="AA35"/>
  <c r="AA14"/>
  <c r="AI26"/>
  <c r="AI45"/>
  <c r="V36"/>
  <c r="Z37"/>
  <c r="X36"/>
  <c r="Z16"/>
  <c r="X15"/>
  <c r="V20"/>
  <c r="AI29"/>
  <c r="AI24"/>
  <c r="U41"/>
  <c r="V40"/>
  <c r="F6"/>
  <c r="AI47"/>
  <c r="AI50"/>
  <c r="AI23"/>
  <c r="AI22"/>
  <c r="AI21"/>
  <c r="D13" i="6"/>
  <c r="D14" s="1"/>
  <c r="M3"/>
  <c r="G3"/>
  <c r="E3"/>
  <c r="J3"/>
  <c r="K3"/>
  <c r="H3"/>
  <c r="D3"/>
  <c r="I5" i="8"/>
  <c r="U11" i="7" l="1"/>
  <c r="U7"/>
  <c r="U12"/>
  <c r="U5"/>
  <c r="U9"/>
  <c r="U8"/>
  <c r="U10"/>
  <c r="U6"/>
  <c r="U4"/>
  <c r="Z18" i="8"/>
  <c r="AA18" s="1"/>
  <c r="O2"/>
  <c r="P2" s="1"/>
  <c r="J23"/>
  <c r="AA37"/>
  <c r="AB37" s="1"/>
  <c r="AA39"/>
  <c r="AA16"/>
  <c r="AI14" s="1"/>
  <c r="X2"/>
  <c r="T2"/>
  <c r="W2"/>
  <c r="S2"/>
  <c r="V2"/>
  <c r="U2"/>
  <c r="Q2"/>
  <c r="V41"/>
  <c r="X41" s="1"/>
  <c r="D24"/>
  <c r="X20"/>
  <c r="Z17"/>
  <c r="AA17" s="1"/>
  <c r="AI15" s="1"/>
  <c r="Z36"/>
  <c r="Z15"/>
  <c r="Z38"/>
  <c r="Z52"/>
  <c r="AB39"/>
  <c r="AI33"/>
  <c r="AD89"/>
  <c r="AE89" s="1"/>
  <c r="AI12"/>
  <c r="BF28"/>
  <c r="D6" i="6"/>
  <c r="D7" s="1"/>
  <c r="J4"/>
  <c r="G6"/>
  <c r="G7" s="1"/>
  <c r="I6" i="8"/>
  <c r="M4" i="6"/>
  <c r="C39" l="1"/>
  <c r="C37"/>
  <c r="C35"/>
  <c r="C31"/>
  <c r="C27"/>
  <c r="C40"/>
  <c r="C38"/>
  <c r="C36"/>
  <c r="C34"/>
  <c r="C32"/>
  <c r="C30"/>
  <c r="C28"/>
  <c r="C26"/>
  <c r="C33"/>
  <c r="C29"/>
  <c r="R2" i="8"/>
  <c r="AB16"/>
  <c r="AI16"/>
  <c r="AB18"/>
  <c r="AI37"/>
  <c r="AI35"/>
  <c r="Z19"/>
  <c r="AA19" s="1"/>
  <c r="AI17" s="1"/>
  <c r="E23"/>
  <c r="D25"/>
  <c r="G24"/>
  <c r="J24" s="1"/>
  <c r="AB17"/>
  <c r="AB19"/>
  <c r="Z59"/>
  <c r="Z53"/>
  <c r="AA53" s="1"/>
  <c r="Z61"/>
  <c r="AA61" s="1"/>
  <c r="Z55"/>
  <c r="AA55" s="1"/>
  <c r="C7"/>
  <c r="AA52"/>
  <c r="Z40"/>
  <c r="AA38"/>
  <c r="BF35"/>
  <c r="BF30"/>
  <c r="BF29"/>
  <c r="BF33"/>
  <c r="BF32"/>
  <c r="BF37"/>
  <c r="BF36"/>
  <c r="BF34"/>
  <c r="BF31"/>
  <c r="D16" i="6"/>
  <c r="J6"/>
  <c r="AC59" i="8" l="1"/>
  <c r="AB60" s="1"/>
  <c r="AC60"/>
  <c r="AB61" s="1"/>
  <c r="AC58"/>
  <c r="AB59"/>
  <c r="AA40"/>
  <c r="AB40" s="1"/>
  <c r="F16" i="6"/>
  <c r="AQ2" s="1"/>
  <c r="K21" i="8"/>
  <c r="M21"/>
  <c r="H23"/>
  <c r="L23" s="1"/>
  <c r="E24"/>
  <c r="E25" s="1"/>
  <c r="E26" s="1"/>
  <c r="E27" s="1"/>
  <c r="E28" s="1"/>
  <c r="E29" s="1"/>
  <c r="E30" s="1"/>
  <c r="E31" s="1"/>
  <c r="E32" s="1"/>
  <c r="D26"/>
  <c r="G25"/>
  <c r="J25" s="1"/>
  <c r="Z54"/>
  <c r="AA54" s="1"/>
  <c r="AI36"/>
  <c r="AB38"/>
  <c r="AA36"/>
  <c r="AA15"/>
  <c r="O3" s="1"/>
  <c r="AA59"/>
  <c r="Z60"/>
  <c r="AA60" s="1"/>
  <c r="J7" i="6"/>
  <c r="AB2" l="1"/>
  <c r="AB28" s="1"/>
  <c r="D17"/>
  <c r="AT2"/>
  <c r="AT33" s="1"/>
  <c r="AN2"/>
  <c r="AN33" s="1"/>
  <c r="AW2"/>
  <c r="AW31" s="1"/>
  <c r="AE2"/>
  <c r="AE17" s="1"/>
  <c r="S2"/>
  <c r="S17" s="1"/>
  <c r="Y2"/>
  <c r="Y28" s="1"/>
  <c r="V2"/>
  <c r="V14" s="1"/>
  <c r="AI38" i="8"/>
  <c r="AQ17" i="6"/>
  <c r="AQ9"/>
  <c r="AQ27"/>
  <c r="AQ16"/>
  <c r="AQ30"/>
  <c r="AQ20"/>
  <c r="AQ3"/>
  <c r="AQ6"/>
  <c r="AQ24"/>
  <c r="AQ18"/>
  <c r="AQ15"/>
  <c r="AQ4"/>
  <c r="AQ25"/>
  <c r="AQ12"/>
  <c r="AQ22"/>
  <c r="AQ19"/>
  <c r="AQ26"/>
  <c r="AQ32"/>
  <c r="AQ14"/>
  <c r="AQ31"/>
  <c r="AQ23"/>
  <c r="AQ11"/>
  <c r="AQ28"/>
  <c r="AQ10"/>
  <c r="AQ13"/>
  <c r="AQ7"/>
  <c r="AQ29"/>
  <c r="AQ21"/>
  <c r="AQ8"/>
  <c r="AQ5"/>
  <c r="AK2"/>
  <c r="AK29" s="1"/>
  <c r="AZ2"/>
  <c r="AZ29" s="1"/>
  <c r="AH2"/>
  <c r="AH15" s="1"/>
  <c r="F17"/>
  <c r="D18" s="1"/>
  <c r="F18" s="1"/>
  <c r="K25" i="8"/>
  <c r="K24"/>
  <c r="D8" i="6"/>
  <c r="M23" i="8"/>
  <c r="K23"/>
  <c r="D27"/>
  <c r="G26"/>
  <c r="J26" s="1"/>
  <c r="H24"/>
  <c r="L24" s="1"/>
  <c r="Q3"/>
  <c r="X3"/>
  <c r="U3"/>
  <c r="V3"/>
  <c r="W3"/>
  <c r="R3"/>
  <c r="T3"/>
  <c r="P3"/>
  <c r="S3"/>
  <c r="Z22"/>
  <c r="AA22" s="1"/>
  <c r="AD97" s="1"/>
  <c r="AE97" s="1"/>
  <c r="AC18"/>
  <c r="AD90"/>
  <c r="AE90" s="1"/>
  <c r="AI13"/>
  <c r="AH27" s="1"/>
  <c r="AJ27" s="1"/>
  <c r="AC17"/>
  <c r="AC16"/>
  <c r="AC19"/>
  <c r="BG28"/>
  <c r="AC38"/>
  <c r="AC37"/>
  <c r="Z43"/>
  <c r="AA43" s="1"/>
  <c r="AC39"/>
  <c r="AC40"/>
  <c r="AI34"/>
  <c r="AH48" s="1"/>
  <c r="AJ48" s="1"/>
  <c r="AB24" i="6" l="1"/>
  <c r="AB6"/>
  <c r="AB31"/>
  <c r="AB12"/>
  <c r="AW13"/>
  <c r="AB10"/>
  <c r="AB13"/>
  <c r="AB16"/>
  <c r="AB21"/>
  <c r="AW12"/>
  <c r="AB20"/>
  <c r="AB15"/>
  <c r="AB27"/>
  <c r="AB9"/>
  <c r="AB25"/>
  <c r="AB30"/>
  <c r="AB8"/>
  <c r="AB7"/>
  <c r="AB14"/>
  <c r="AB23"/>
  <c r="AE29"/>
  <c r="AB22"/>
  <c r="AB18"/>
  <c r="AB32"/>
  <c r="AE14"/>
  <c r="AB19"/>
  <c r="AB4"/>
  <c r="AB17"/>
  <c r="AB5"/>
  <c r="AB29"/>
  <c r="AE33"/>
  <c r="V24"/>
  <c r="AW25"/>
  <c r="AW27"/>
  <c r="AW4"/>
  <c r="AZ7"/>
  <c r="AZ12"/>
  <c r="AZ15"/>
  <c r="AW19"/>
  <c r="AW16"/>
  <c r="AW30"/>
  <c r="V8"/>
  <c r="V27"/>
  <c r="V21"/>
  <c r="AW24"/>
  <c r="AW17"/>
  <c r="AW22"/>
  <c r="V3"/>
  <c r="V18"/>
  <c r="AE10"/>
  <c r="AZ14"/>
  <c r="AW20"/>
  <c r="AW3"/>
  <c r="AW5"/>
  <c r="V25"/>
  <c r="V6"/>
  <c r="AW32"/>
  <c r="V16"/>
  <c r="V31"/>
  <c r="V19"/>
  <c r="AB26"/>
  <c r="AB3"/>
  <c r="AB11"/>
  <c r="AW6"/>
  <c r="V26"/>
  <c r="V29"/>
  <c r="V17"/>
  <c r="V20"/>
  <c r="AZ9"/>
  <c r="AE24"/>
  <c r="AZ11"/>
  <c r="AE21"/>
  <c r="AE15"/>
  <c r="AH7"/>
  <c r="AT21"/>
  <c r="AT29"/>
  <c r="AZ22"/>
  <c r="S3"/>
  <c r="AT6"/>
  <c r="AT28"/>
  <c r="AN19"/>
  <c r="AT14"/>
  <c r="S20"/>
  <c r="AT32"/>
  <c r="S28"/>
  <c r="S30"/>
  <c r="AE23"/>
  <c r="AT25"/>
  <c r="Y7"/>
  <c r="AT31"/>
  <c r="AT22"/>
  <c r="AN17"/>
  <c r="S15"/>
  <c r="AN18"/>
  <c r="AN21"/>
  <c r="AN25"/>
  <c r="AT24"/>
  <c r="Y10"/>
  <c r="Y32"/>
  <c r="AN20"/>
  <c r="Y17"/>
  <c r="AN4"/>
  <c r="AN14"/>
  <c r="S31"/>
  <c r="AT9"/>
  <c r="AT15"/>
  <c r="AT7"/>
  <c r="AN32"/>
  <c r="AN15"/>
  <c r="AT5"/>
  <c r="AZ28"/>
  <c r="AZ27"/>
  <c r="AT11"/>
  <c r="S9"/>
  <c r="AN28"/>
  <c r="AN10"/>
  <c r="S19"/>
  <c r="AN27"/>
  <c r="AN9"/>
  <c r="AN26"/>
  <c r="AN8"/>
  <c r="S6"/>
  <c r="AZ18"/>
  <c r="AN11"/>
  <c r="S29"/>
  <c r="S23"/>
  <c r="AZ30"/>
  <c r="AT10"/>
  <c r="AT20"/>
  <c r="AT13"/>
  <c r="AT12"/>
  <c r="AT30"/>
  <c r="AH11"/>
  <c r="AH13"/>
  <c r="Y3"/>
  <c r="AN31"/>
  <c r="AN13"/>
  <c r="AN30"/>
  <c r="AN12"/>
  <c r="AN7"/>
  <c r="AN29"/>
  <c r="AT23"/>
  <c r="AT4"/>
  <c r="Y24"/>
  <c r="Y16"/>
  <c r="AT8"/>
  <c r="AT26"/>
  <c r="AZ16"/>
  <c r="AT18"/>
  <c r="AZ24"/>
  <c r="AZ23"/>
  <c r="AT17"/>
  <c r="AH23"/>
  <c r="Y19"/>
  <c r="AN24"/>
  <c r="AN6"/>
  <c r="S10"/>
  <c r="AN23"/>
  <c r="AN5"/>
  <c r="AN22"/>
  <c r="AN3"/>
  <c r="S33"/>
  <c r="AN16"/>
  <c r="S8"/>
  <c r="AT27"/>
  <c r="AH3"/>
  <c r="AT3"/>
  <c r="AH5"/>
  <c r="AT19"/>
  <c r="AT16"/>
  <c r="AE28"/>
  <c r="AE19"/>
  <c r="AE25"/>
  <c r="AE30"/>
  <c r="AE5"/>
  <c r="AW23"/>
  <c r="AW28"/>
  <c r="AW10"/>
  <c r="AE9"/>
  <c r="AE11"/>
  <c r="AW11"/>
  <c r="V30"/>
  <c r="AE13"/>
  <c r="AE3"/>
  <c r="AE6"/>
  <c r="V23"/>
  <c r="V9"/>
  <c r="AE22"/>
  <c r="V28"/>
  <c r="V10"/>
  <c r="V22"/>
  <c r="V7"/>
  <c r="V5"/>
  <c r="AW26"/>
  <c r="AW18"/>
  <c r="AW7"/>
  <c r="AW29"/>
  <c r="AW21"/>
  <c r="AE4"/>
  <c r="AE12"/>
  <c r="AE18"/>
  <c r="AK7"/>
  <c r="AK31"/>
  <c r="V11"/>
  <c r="AE8"/>
  <c r="AE16"/>
  <c r="AE27"/>
  <c r="V12"/>
  <c r="V13"/>
  <c r="AE31"/>
  <c r="V15"/>
  <c r="AE26"/>
  <c r="V4"/>
  <c r="AE32"/>
  <c r="AE20"/>
  <c r="AE7"/>
  <c r="AW9"/>
  <c r="AW8"/>
  <c r="AW15"/>
  <c r="AW14"/>
  <c r="Y26"/>
  <c r="AH26"/>
  <c r="AH8"/>
  <c r="AH30"/>
  <c r="AH9"/>
  <c r="AH25"/>
  <c r="Y4"/>
  <c r="Y22"/>
  <c r="AH12"/>
  <c r="Y25"/>
  <c r="Y8"/>
  <c r="AH27"/>
  <c r="AZ25"/>
  <c r="AZ17"/>
  <c r="AH4"/>
  <c r="AZ32"/>
  <c r="AH22"/>
  <c r="AZ19"/>
  <c r="AZ20"/>
  <c r="S11"/>
  <c r="S26"/>
  <c r="Y23"/>
  <c r="Y27"/>
  <c r="S4"/>
  <c r="S22"/>
  <c r="S7"/>
  <c r="AZ4"/>
  <c r="S12"/>
  <c r="S14"/>
  <c r="AH31"/>
  <c r="AZ26"/>
  <c r="S13"/>
  <c r="AH20"/>
  <c r="Y20"/>
  <c r="Y5"/>
  <c r="Y29"/>
  <c r="Y15"/>
  <c r="AH16"/>
  <c r="Y13"/>
  <c r="Y18"/>
  <c r="Y14"/>
  <c r="Y21"/>
  <c r="Y6"/>
  <c r="Y11"/>
  <c r="AH6"/>
  <c r="AZ21"/>
  <c r="AZ5"/>
  <c r="AZ33"/>
  <c r="AZ10"/>
  <c r="AH10"/>
  <c r="AZ31"/>
  <c r="AZ13"/>
  <c r="AZ3"/>
  <c r="Y30"/>
  <c r="S27"/>
  <c r="S32"/>
  <c r="Y33"/>
  <c r="Y9"/>
  <c r="S25"/>
  <c r="S24"/>
  <c r="S21"/>
  <c r="Y12"/>
  <c r="S18"/>
  <c r="S5"/>
  <c r="AZ6"/>
  <c r="S16"/>
  <c r="AH19"/>
  <c r="AZ8"/>
  <c r="Y31"/>
  <c r="AK13"/>
  <c r="AK28"/>
  <c r="AK30"/>
  <c r="AK18"/>
  <c r="AH18"/>
  <c r="AH29"/>
  <c r="AH14"/>
  <c r="AH32"/>
  <c r="AH21"/>
  <c r="AH24"/>
  <c r="AK11"/>
  <c r="AH28"/>
  <c r="AH17"/>
  <c r="AK25"/>
  <c r="AK3"/>
  <c r="AK27"/>
  <c r="AK8"/>
  <c r="AK4"/>
  <c r="AK5"/>
  <c r="AK21"/>
  <c r="AK14"/>
  <c r="AK15"/>
  <c r="AK23"/>
  <c r="AK9"/>
  <c r="AK20"/>
  <c r="AK17"/>
  <c r="AK24"/>
  <c r="AK10"/>
  <c r="AK26"/>
  <c r="AK6"/>
  <c r="AK16"/>
  <c r="AK12"/>
  <c r="AK33"/>
  <c r="AK32"/>
  <c r="AK19"/>
  <c r="AK22"/>
  <c r="K26" i="8"/>
  <c r="M24"/>
  <c r="AK48"/>
  <c r="AL48"/>
  <c r="AK27"/>
  <c r="AL27"/>
  <c r="H25"/>
  <c r="D28"/>
  <c r="G27"/>
  <c r="BG37"/>
  <c r="BG35"/>
  <c r="BG34"/>
  <c r="BG32"/>
  <c r="BG36"/>
  <c r="BG31"/>
  <c r="BG30"/>
  <c r="BG29"/>
  <c r="BG33"/>
  <c r="AH24"/>
  <c r="AJ24" s="1"/>
  <c r="AH26"/>
  <c r="AJ26" s="1"/>
  <c r="AH29"/>
  <c r="AJ29" s="1"/>
  <c r="AH22"/>
  <c r="AJ22" s="1"/>
  <c r="AH23"/>
  <c r="AJ23" s="1"/>
  <c r="AH21"/>
  <c r="AJ21" s="1"/>
  <c r="AH25"/>
  <c r="AJ25" s="1"/>
  <c r="AH28"/>
  <c r="AJ28" s="1"/>
  <c r="AH42"/>
  <c r="AJ42" s="1"/>
  <c r="AH44"/>
  <c r="AJ44" s="1"/>
  <c r="AH50"/>
  <c r="AJ50" s="1"/>
  <c r="AH49"/>
  <c r="AJ49" s="1"/>
  <c r="AH47"/>
  <c r="AJ47" s="1"/>
  <c r="AH43"/>
  <c r="AJ43" s="1"/>
  <c r="AH45"/>
  <c r="AJ45" s="1"/>
  <c r="AH46"/>
  <c r="AJ46" s="1"/>
  <c r="L25" l="1"/>
  <c r="M25"/>
  <c r="J27"/>
  <c r="K27"/>
  <c r="AK43"/>
  <c r="AL43"/>
  <c r="AK42"/>
  <c r="AL42"/>
  <c r="AK44"/>
  <c r="AL44"/>
  <c r="AK47"/>
  <c r="AL47"/>
  <c r="AK46"/>
  <c r="AL46"/>
  <c r="AK45"/>
  <c r="AL45"/>
  <c r="AK21"/>
  <c r="AL21"/>
  <c r="AK25"/>
  <c r="AL25"/>
  <c r="AK23"/>
  <c r="AL23"/>
  <c r="AK24"/>
  <c r="AL24"/>
  <c r="AK22"/>
  <c r="AL22"/>
  <c r="AK26"/>
  <c r="AL26"/>
  <c r="D29"/>
  <c r="G28"/>
  <c r="H26"/>
  <c r="AL50"/>
  <c r="AK50"/>
  <c r="AK29"/>
  <c r="AL29"/>
  <c r="AL49"/>
  <c r="AK49"/>
  <c r="AL28"/>
  <c r="AK28"/>
  <c r="L26" l="1"/>
  <c r="M26"/>
  <c r="J28"/>
  <c r="K28"/>
  <c r="D30"/>
  <c r="G29"/>
  <c r="H27"/>
  <c r="J29" l="1"/>
  <c r="K29"/>
  <c r="L27"/>
  <c r="M27"/>
  <c r="D31"/>
  <c r="G30"/>
  <c r="H28"/>
  <c r="A13" i="5"/>
  <c r="L28" i="8" l="1"/>
  <c r="M28"/>
  <c r="J30"/>
  <c r="K30"/>
  <c r="H29"/>
  <c r="D32"/>
  <c r="G32" s="1"/>
  <c r="G31"/>
  <c r="B5" i="5"/>
  <c r="E12"/>
  <c r="D12"/>
  <c r="B4"/>
  <c r="C6" s="1"/>
  <c r="M12"/>
  <c r="H12"/>
  <c r="L12"/>
  <c r="G12"/>
  <c r="J12"/>
  <c r="K12"/>
  <c r="J31" i="8" l="1"/>
  <c r="K31"/>
  <c r="J32"/>
  <c r="K32"/>
  <c r="L29"/>
  <c r="M29"/>
  <c r="H30"/>
  <c r="M3" i="5"/>
  <c r="H3"/>
  <c r="J3"/>
  <c r="L3"/>
  <c r="G3"/>
  <c r="E3"/>
  <c r="D3"/>
  <c r="K3"/>
  <c r="D13"/>
  <c r="D14" s="1"/>
  <c r="G13"/>
  <c r="G14" s="1"/>
  <c r="J13"/>
  <c r="J14" s="1"/>
  <c r="L30" i="8" l="1"/>
  <c r="M30"/>
  <c r="H32"/>
  <c r="H31"/>
  <c r="D6" i="5"/>
  <c r="D7" s="1"/>
  <c r="J4"/>
  <c r="G6"/>
  <c r="G7" s="1"/>
  <c r="M4"/>
  <c r="C31" l="1"/>
  <c r="C26"/>
  <c r="C36"/>
  <c r="C40"/>
  <c r="C34"/>
  <c r="C35"/>
  <c r="C29"/>
  <c r="C27"/>
  <c r="C32"/>
  <c r="C38"/>
  <c r="C37"/>
  <c r="C39"/>
  <c r="C28"/>
  <c r="C30"/>
  <c r="C33"/>
  <c r="L31" i="8"/>
  <c r="M31"/>
  <c r="L32"/>
  <c r="M32"/>
  <c r="D16" i="5"/>
  <c r="F16" s="1"/>
  <c r="J6"/>
  <c r="AW2" l="1"/>
  <c r="D17"/>
  <c r="F17" s="1"/>
  <c r="V2"/>
  <c r="AH2"/>
  <c r="AQ2"/>
  <c r="AE2"/>
  <c r="AB2"/>
  <c r="S2"/>
  <c r="AZ2"/>
  <c r="Y2"/>
  <c r="AT2"/>
  <c r="AK2"/>
  <c r="AN2"/>
  <c r="J7"/>
  <c r="D8" l="1"/>
  <c r="AZ33"/>
  <c r="AZ29"/>
  <c r="AZ25"/>
  <c r="AZ21"/>
  <c r="AZ17"/>
  <c r="AZ13"/>
  <c r="AZ9"/>
  <c r="AZ5"/>
  <c r="AZ18"/>
  <c r="AZ6"/>
  <c r="AZ32"/>
  <c r="AZ28"/>
  <c r="AZ24"/>
  <c r="AZ20"/>
  <c r="AZ16"/>
  <c r="AZ12"/>
  <c r="AZ8"/>
  <c r="AZ4"/>
  <c r="AZ22"/>
  <c r="AZ10"/>
  <c r="AZ31"/>
  <c r="AZ27"/>
  <c r="AZ23"/>
  <c r="AZ19"/>
  <c r="AZ15"/>
  <c r="AZ11"/>
  <c r="AZ7"/>
  <c r="AZ30"/>
  <c r="AZ26"/>
  <c r="AZ14"/>
  <c r="AZ3"/>
  <c r="AW30"/>
  <c r="AW26"/>
  <c r="AW22"/>
  <c r="AW18"/>
  <c r="AW14"/>
  <c r="AW10"/>
  <c r="AW6"/>
  <c r="AW29"/>
  <c r="AW25"/>
  <c r="AW21"/>
  <c r="AW17"/>
  <c r="AW13"/>
  <c r="AW9"/>
  <c r="AW5"/>
  <c r="AW32"/>
  <c r="AW28"/>
  <c r="AW24"/>
  <c r="AW20"/>
  <c r="AW16"/>
  <c r="AW12"/>
  <c r="AW8"/>
  <c r="AW4"/>
  <c r="AW31"/>
  <c r="AW27"/>
  <c r="AW23"/>
  <c r="AW19"/>
  <c r="AW15"/>
  <c r="AW11"/>
  <c r="AW7"/>
  <c r="AW3"/>
  <c r="AT33"/>
  <c r="AT29"/>
  <c r="AT25"/>
  <c r="AT21"/>
  <c r="AT17"/>
  <c r="AT13"/>
  <c r="AT9"/>
  <c r="AT5"/>
  <c r="AT30"/>
  <c r="AT18"/>
  <c r="AT6"/>
  <c r="AT32"/>
  <c r="AT28"/>
  <c r="AT24"/>
  <c r="AT20"/>
  <c r="AT16"/>
  <c r="AT12"/>
  <c r="AT8"/>
  <c r="AT4"/>
  <c r="AT22"/>
  <c r="AT10"/>
  <c r="AT31"/>
  <c r="AT27"/>
  <c r="AT23"/>
  <c r="AT19"/>
  <c r="AT15"/>
  <c r="AT11"/>
  <c r="AT7"/>
  <c r="AT26"/>
  <c r="AT14"/>
  <c r="AT3"/>
  <c r="AQ32"/>
  <c r="AQ28"/>
  <c r="AQ24"/>
  <c r="AQ20"/>
  <c r="AQ16"/>
  <c r="AQ12"/>
  <c r="AQ8"/>
  <c r="AQ4"/>
  <c r="AQ21"/>
  <c r="AQ13"/>
  <c r="AQ31"/>
  <c r="AQ27"/>
  <c r="AQ23"/>
  <c r="AQ19"/>
  <c r="AQ15"/>
  <c r="AQ11"/>
  <c r="AQ7"/>
  <c r="AQ25"/>
  <c r="AQ9"/>
  <c r="AQ30"/>
  <c r="AQ26"/>
  <c r="AQ22"/>
  <c r="AQ18"/>
  <c r="AQ14"/>
  <c r="AQ10"/>
  <c r="AQ6"/>
  <c r="AQ29"/>
  <c r="AQ17"/>
  <c r="AQ5"/>
  <c r="AQ3"/>
  <c r="AN33"/>
  <c r="AN29"/>
  <c r="AN25"/>
  <c r="AN21"/>
  <c r="AN17"/>
  <c r="AN13"/>
  <c r="AN9"/>
  <c r="AN5"/>
  <c r="AN4"/>
  <c r="AN22"/>
  <c r="AN18"/>
  <c r="AN6"/>
  <c r="AN32"/>
  <c r="AN28"/>
  <c r="AN24"/>
  <c r="AN20"/>
  <c r="AN16"/>
  <c r="AN12"/>
  <c r="AN8"/>
  <c r="AN14"/>
  <c r="AN31"/>
  <c r="AN27"/>
  <c r="AN23"/>
  <c r="AN19"/>
  <c r="AN15"/>
  <c r="AN11"/>
  <c r="AN7"/>
  <c r="AN30"/>
  <c r="AN26"/>
  <c r="AN10"/>
  <c r="AN3"/>
  <c r="AK33"/>
  <c r="AK29"/>
  <c r="AK25"/>
  <c r="AK21"/>
  <c r="AK17"/>
  <c r="AK13"/>
  <c r="AK9"/>
  <c r="AK5"/>
  <c r="AK27"/>
  <c r="AK19"/>
  <c r="AK11"/>
  <c r="AK30"/>
  <c r="AK22"/>
  <c r="AK14"/>
  <c r="AK6"/>
  <c r="AK32"/>
  <c r="AK28"/>
  <c r="AK24"/>
  <c r="AK20"/>
  <c r="AK16"/>
  <c r="AK12"/>
  <c r="AK8"/>
  <c r="AK4"/>
  <c r="AK31"/>
  <c r="AK23"/>
  <c r="AK15"/>
  <c r="AK7"/>
  <c r="AK26"/>
  <c r="AK18"/>
  <c r="AK10"/>
  <c r="AK3"/>
  <c r="AH32"/>
  <c r="AH28"/>
  <c r="AH24"/>
  <c r="AH20"/>
  <c r="AH16"/>
  <c r="AH12"/>
  <c r="AH8"/>
  <c r="AH4"/>
  <c r="AH25"/>
  <c r="AH21"/>
  <c r="AH9"/>
  <c r="AH31"/>
  <c r="AH27"/>
  <c r="AH23"/>
  <c r="AH19"/>
  <c r="AH15"/>
  <c r="AH11"/>
  <c r="AH7"/>
  <c r="AH13"/>
  <c r="AH5"/>
  <c r="AH30"/>
  <c r="AH26"/>
  <c r="AH22"/>
  <c r="AH18"/>
  <c r="AH14"/>
  <c r="AH10"/>
  <c r="AH6"/>
  <c r="AH29"/>
  <c r="AH17"/>
  <c r="AH3"/>
  <c r="AE33"/>
  <c r="AE29"/>
  <c r="AE25"/>
  <c r="AE21"/>
  <c r="AE17"/>
  <c r="AE13"/>
  <c r="AE9"/>
  <c r="AE5"/>
  <c r="AE24"/>
  <c r="AE20"/>
  <c r="AE12"/>
  <c r="AE4"/>
  <c r="AE30"/>
  <c r="AE18"/>
  <c r="AE6"/>
  <c r="AE32"/>
  <c r="AE28"/>
  <c r="AE16"/>
  <c r="AE8"/>
  <c r="AE22"/>
  <c r="AE10"/>
  <c r="AE31"/>
  <c r="AE27"/>
  <c r="AE23"/>
  <c r="AE19"/>
  <c r="AE15"/>
  <c r="AE11"/>
  <c r="AE7"/>
  <c r="AE26"/>
  <c r="AE14"/>
  <c r="AE3"/>
  <c r="AB32"/>
  <c r="AB28"/>
  <c r="AB24"/>
  <c r="AB20"/>
  <c r="AB16"/>
  <c r="AB12"/>
  <c r="AB8"/>
  <c r="AB4"/>
  <c r="AB27"/>
  <c r="AB23"/>
  <c r="AB15"/>
  <c r="AB11"/>
  <c r="AB13"/>
  <c r="AB5"/>
  <c r="AB31"/>
  <c r="AB19"/>
  <c r="AB7"/>
  <c r="AB30"/>
  <c r="AB26"/>
  <c r="AB22"/>
  <c r="AB18"/>
  <c r="AB14"/>
  <c r="AB10"/>
  <c r="AB6"/>
  <c r="AB29"/>
  <c r="AB25"/>
  <c r="AB21"/>
  <c r="AB17"/>
  <c r="AB9"/>
  <c r="AB3"/>
  <c r="Y33"/>
  <c r="Y29"/>
  <c r="Y25"/>
  <c r="Y21"/>
  <c r="Y17"/>
  <c r="Y13"/>
  <c r="Y9"/>
  <c r="Y5"/>
  <c r="Y22"/>
  <c r="Y14"/>
  <c r="Y32"/>
  <c r="Y28"/>
  <c r="Y24"/>
  <c r="Y20"/>
  <c r="Y16"/>
  <c r="Y12"/>
  <c r="Y8"/>
  <c r="Y4"/>
  <c r="Y26"/>
  <c r="Y18"/>
  <c r="Y6"/>
  <c r="Y31"/>
  <c r="Y27"/>
  <c r="Y23"/>
  <c r="Y19"/>
  <c r="Y15"/>
  <c r="Y11"/>
  <c r="Y7"/>
  <c r="Y30"/>
  <c r="Y10"/>
  <c r="Y3"/>
  <c r="V31"/>
  <c r="V27"/>
  <c r="V23"/>
  <c r="V19"/>
  <c r="V15"/>
  <c r="V22"/>
  <c r="V14"/>
  <c r="V12"/>
  <c r="V30"/>
  <c r="V26"/>
  <c r="V18"/>
  <c r="V29"/>
  <c r="V25"/>
  <c r="V21"/>
  <c r="V17"/>
  <c r="V13"/>
  <c r="V28"/>
  <c r="V24"/>
  <c r="V20"/>
  <c r="V16"/>
  <c r="V8"/>
  <c r="V4"/>
  <c r="V11"/>
  <c r="V7"/>
  <c r="V10"/>
  <c r="V6"/>
  <c r="V9"/>
  <c r="V5"/>
  <c r="V3"/>
  <c r="S33"/>
  <c r="S29"/>
  <c r="S25"/>
  <c r="S21"/>
  <c r="S17"/>
  <c r="S13"/>
  <c r="S28"/>
  <c r="S24"/>
  <c r="S16"/>
  <c r="S31"/>
  <c r="S23"/>
  <c r="S15"/>
  <c r="S26"/>
  <c r="S18"/>
  <c r="S32"/>
  <c r="S20"/>
  <c r="S27"/>
  <c r="S19"/>
  <c r="S30"/>
  <c r="S22"/>
  <c r="S14"/>
  <c r="S12"/>
  <c r="S8"/>
  <c r="S4"/>
  <c r="S11"/>
  <c r="S7"/>
  <c r="S3"/>
  <c r="S10"/>
  <c r="S6"/>
  <c r="S9"/>
  <c r="S5"/>
  <c r="D18"/>
  <c r="F18" s="1"/>
  <c r="C6" i="4"/>
  <c r="B5"/>
  <c r="M3" s="1"/>
  <c r="M4" s="1"/>
  <c r="B4"/>
  <c r="O3"/>
  <c r="L3" l="1"/>
  <c r="L4" s="1"/>
  <c r="D3"/>
  <c r="J3"/>
  <c r="J4" s="1"/>
  <c r="G3"/>
  <c r="G4" s="1"/>
  <c r="E3"/>
  <c r="E4" s="1"/>
  <c r="K3"/>
  <c r="K4" s="1"/>
  <c r="H3"/>
  <c r="H4" s="1"/>
  <c r="C8" l="1"/>
  <c r="D8" s="1"/>
  <c r="D4"/>
  <c r="D6"/>
  <c r="G6"/>
  <c r="G7" s="1"/>
  <c r="J6"/>
  <c r="E7" l="1"/>
  <c r="C10"/>
  <c r="D10" s="1"/>
  <c r="J7"/>
  <c r="C12"/>
  <c r="C11" l="1"/>
  <c r="R6" s="1"/>
  <c r="U6" s="1"/>
  <c r="D12"/>
  <c r="U15" s="1"/>
  <c r="W23" i="10"/>
  <c r="O23"/>
  <c r="I4"/>
  <c r="P2"/>
  <c r="X23"/>
  <c r="L2"/>
  <c r="AE4"/>
  <c r="AD37"/>
  <c r="AD6"/>
  <c r="R4"/>
  <c r="AI35"/>
  <c r="V4"/>
  <c r="Q17"/>
  <c r="I25"/>
  <c r="AV26" s="1"/>
  <c r="AT26" s="1"/>
  <c r="AQ25" s="1"/>
  <c r="N27"/>
  <c r="AF35"/>
  <c r="AC6"/>
  <c r="U15"/>
  <c r="N37"/>
  <c r="X13"/>
  <c r="V17"/>
  <c r="AF27"/>
  <c r="AL37"/>
  <c r="T13"/>
  <c r="AF15"/>
  <c r="AI13"/>
  <c r="H4"/>
  <c r="Z27"/>
  <c r="U2"/>
  <c r="P6"/>
  <c r="AB35"/>
  <c r="AK4"/>
  <c r="AJ17"/>
  <c r="X27"/>
  <c r="V37"/>
  <c r="L13"/>
  <c r="AK6"/>
  <c r="AK15"/>
  <c r="AL27"/>
  <c r="AH35"/>
  <c r="Y6"/>
  <c r="Q27"/>
  <c r="L23"/>
  <c r="O35"/>
  <c r="V6"/>
  <c r="AD33"/>
  <c r="R6"/>
  <c r="M15"/>
  <c r="R13"/>
  <c r="AF2"/>
  <c r="P13"/>
  <c r="O4"/>
  <c r="T17"/>
  <c r="AB25"/>
  <c r="AF37"/>
  <c r="AE13"/>
  <c r="P17"/>
  <c r="T27"/>
  <c r="AG33"/>
  <c r="K13"/>
  <c r="O17"/>
  <c r="AH27"/>
  <c r="AH33"/>
  <c r="U35"/>
  <c r="AJ37"/>
  <c r="T4"/>
  <c r="W17"/>
  <c r="AB6"/>
  <c r="T6"/>
  <c r="AL23"/>
  <c r="AE15"/>
  <c r="AF6"/>
  <c r="N23"/>
  <c r="L25"/>
  <c r="U25"/>
  <c r="Q25"/>
  <c r="AE6"/>
  <c r="K15"/>
  <c r="K23"/>
  <c r="AE33"/>
  <c r="AJ13"/>
  <c r="AK27"/>
  <c r="AK25"/>
  <c r="AL4"/>
  <c r="R37"/>
  <c r="V2"/>
  <c r="Z15"/>
  <c r="L35"/>
  <c r="AI2"/>
  <c r="P15"/>
  <c r="T2"/>
  <c r="Y4"/>
  <c r="AD17"/>
  <c r="R25"/>
  <c r="J33"/>
  <c r="AB13"/>
  <c r="M17"/>
  <c r="V23"/>
  <c r="AH37"/>
  <c r="AL33"/>
  <c r="L15"/>
  <c r="Y23"/>
  <c r="Z37"/>
  <c r="AL15"/>
  <c r="AF25"/>
  <c r="AA23"/>
  <c r="J2"/>
  <c r="S25"/>
  <c r="N6"/>
  <c r="AC15"/>
  <c r="W2"/>
  <c r="M4"/>
  <c r="N17"/>
  <c r="Q23"/>
  <c r="U33"/>
  <c r="AH13"/>
  <c r="AF17"/>
  <c r="AJ27"/>
  <c r="AB37"/>
  <c r="AA13"/>
  <c r="AE17"/>
  <c r="R23"/>
  <c r="Q37"/>
  <c r="J35"/>
  <c r="AU36" s="1"/>
  <c r="AT36" s="1"/>
  <c r="AQ35" s="1"/>
  <c r="AA17"/>
  <c r="Z35"/>
  <c r="X6"/>
  <c r="V27"/>
  <c r="AL2"/>
  <c r="U17"/>
  <c r="AK2"/>
  <c r="K4"/>
  <c r="J15"/>
  <c r="V25"/>
  <c r="W37"/>
  <c r="AL13"/>
  <c r="AH15"/>
  <c r="AK37"/>
  <c r="V15"/>
  <c r="AJ2"/>
  <c r="S15"/>
  <c r="Y35"/>
  <c r="X4"/>
  <c r="M25"/>
  <c r="K33"/>
  <c r="U4"/>
  <c r="AB27"/>
  <c r="AG2"/>
  <c r="E4"/>
  <c r="W15"/>
  <c r="AG23"/>
  <c r="AK33"/>
  <c r="O33"/>
  <c r="AK17"/>
  <c r="AH6"/>
  <c r="N33"/>
  <c r="AE25"/>
  <c r="AA15"/>
  <c r="AJ35"/>
  <c r="AH23"/>
  <c r="X35"/>
  <c r="AF33"/>
  <c r="AI15"/>
  <c r="N2"/>
  <c r="P4"/>
  <c r="Z23"/>
  <c r="AD35"/>
  <c r="H15"/>
  <c r="AA35"/>
  <c r="AB15"/>
  <c r="AE37"/>
  <c r="U23"/>
  <c r="AG6"/>
  <c r="AA4"/>
  <c r="AD2"/>
  <c r="Y27"/>
  <c r="M35"/>
  <c r="U27"/>
  <c r="S37"/>
  <c r="S6"/>
  <c r="AG25"/>
  <c r="AC33"/>
  <c r="AD13"/>
  <c r="S35"/>
  <c r="R27"/>
  <c r="AF23"/>
  <c r="AJ33"/>
  <c r="AA33"/>
  <c r="S13"/>
  <c r="G15"/>
  <c r="V33"/>
  <c r="R35"/>
  <c r="T23"/>
  <c r="AG13"/>
  <c r="R2"/>
  <c r="AJ15"/>
  <c r="AI17"/>
  <c r="AL17"/>
  <c r="O27"/>
  <c r="Y25"/>
  <c r="AI6"/>
  <c r="AE27"/>
  <c r="AF4"/>
  <c r="L33"/>
  <c r="W27"/>
  <c r="M13"/>
  <c r="AB23"/>
  <c r="AE2"/>
  <c r="AH2"/>
  <c r="Y33"/>
  <c r="P25"/>
  <c r="G4"/>
  <c r="AV5" s="1"/>
  <c r="O25"/>
  <c r="Q13"/>
  <c r="AC23"/>
  <c r="Z13"/>
  <c r="P27"/>
  <c r="W13"/>
  <c r="F15"/>
  <c r="AA37"/>
  <c r="AC25"/>
  <c r="AH4"/>
  <c r="AJ23"/>
  <c r="W4"/>
  <c r="M23"/>
  <c r="N35"/>
  <c r="Y17"/>
  <c r="AJ25"/>
  <c r="O37"/>
  <c r="L4"/>
  <c r="AH17"/>
  <c r="Z33"/>
  <c r="T35"/>
  <c r="AG17"/>
  <c r="R17"/>
  <c r="F4"/>
  <c r="P37"/>
  <c r="AG35"/>
  <c r="N15"/>
  <c r="N13"/>
  <c r="AG4"/>
  <c r="AC37"/>
  <c r="AA27"/>
  <c r="X25"/>
  <c r="AH25"/>
  <c r="AB2"/>
  <c r="AI33"/>
  <c r="W33"/>
  <c r="S33"/>
  <c r="AD25"/>
  <c r="AC2"/>
  <c r="AD4"/>
  <c r="U13"/>
  <c r="P23"/>
  <c r="O6"/>
  <c r="AG37"/>
  <c r="J4"/>
  <c r="AJ6"/>
  <c r="AK13"/>
  <c r="T37"/>
  <c r="M6"/>
  <c r="N25"/>
  <c r="AI4"/>
  <c r="AA25"/>
  <c r="AE23"/>
  <c r="AI27"/>
  <c r="AD15"/>
  <c r="M2"/>
  <c r="AF13"/>
  <c r="AI25"/>
  <c r="S2"/>
  <c r="Y37"/>
  <c r="W6"/>
  <c r="K25"/>
  <c r="Q35"/>
  <c r="O15"/>
  <c r="S27"/>
  <c r="AE35"/>
  <c r="Z2"/>
  <c r="AL6"/>
  <c r="AC35"/>
  <c r="Y15"/>
  <c r="P35"/>
  <c r="V35"/>
  <c r="O2"/>
  <c r="O13"/>
  <c r="AB17"/>
  <c r="Q4"/>
  <c r="M33"/>
  <c r="AK23"/>
  <c r="U6"/>
  <c r="AB33"/>
  <c r="Q33"/>
  <c r="R33"/>
  <c r="Q2"/>
  <c r="X33"/>
  <c r="Q15"/>
  <c r="T33"/>
  <c r="K2"/>
  <c r="AI37"/>
  <c r="AB4"/>
  <c r="AL35"/>
  <c r="I15"/>
  <c r="AC4"/>
  <c r="AC27"/>
  <c r="Y2"/>
  <c r="V13"/>
  <c r="T25"/>
  <c r="AD23"/>
  <c r="X2"/>
  <c r="AL25"/>
  <c r="AJ4"/>
  <c r="S17"/>
  <c r="Z25"/>
  <c r="AG15"/>
  <c r="R15"/>
  <c r="AA6"/>
  <c r="X15"/>
  <c r="AD27"/>
  <c r="E15"/>
  <c r="Z4"/>
  <c r="AI23"/>
  <c r="AK35"/>
  <c r="Y13"/>
  <c r="K35"/>
  <c r="N4"/>
  <c r="W35"/>
  <c r="X37"/>
  <c r="Z6"/>
  <c r="U37"/>
  <c r="S23"/>
  <c r="W25"/>
  <c r="AC17"/>
  <c r="S4"/>
  <c r="AA2"/>
  <c r="AG27"/>
  <c r="Q6"/>
  <c r="Z17"/>
  <c r="M27"/>
  <c r="T15"/>
  <c r="AC13"/>
  <c r="X17"/>
  <c r="J25"/>
  <c r="P33"/>
  <c r="H25"/>
  <c r="L27"/>
  <c r="D15"/>
  <c r="L17"/>
  <c r="M37"/>
  <c r="I33"/>
  <c r="AW33" s="1"/>
  <c r="J13"/>
  <c r="AV13" s="1"/>
  <c r="AT13" s="1"/>
  <c r="AQ13" s="1"/>
  <c r="D4"/>
  <c r="I35"/>
  <c r="J23"/>
  <c r="AU23" s="1"/>
  <c r="AT23" s="1"/>
  <c r="AQ23" s="1"/>
  <c r="AQ29" s="1"/>
  <c r="K45" i="11" s="1"/>
  <c r="I2" i="10"/>
  <c r="L6"/>
  <c r="R8" i="4" l="1"/>
  <c r="W10" s="1"/>
  <c r="AU2" i="10"/>
  <c r="AY2"/>
  <c r="AV16"/>
  <c r="AW16"/>
  <c r="AY16"/>
  <c r="AY5"/>
  <c r="R3" i="4"/>
  <c r="V10" s="1"/>
  <c r="R9"/>
  <c r="W8" s="1"/>
  <c r="R5"/>
  <c r="U8" s="1"/>
  <c r="R11"/>
  <c r="V6" s="1"/>
  <c r="K39"/>
  <c r="L45" i="11"/>
  <c r="BU60" i="10"/>
  <c r="R4" i="4"/>
  <c r="W6" s="1"/>
  <c r="U19"/>
  <c r="R10"/>
  <c r="U10" s="1"/>
  <c r="R7"/>
  <c r="V8" s="1"/>
  <c r="U22"/>
  <c r="U18"/>
  <c r="U20"/>
  <c r="U14"/>
  <c r="U16"/>
  <c r="U21"/>
  <c r="U17"/>
  <c r="AU5" i="10"/>
  <c r="AW5"/>
  <c r="BZ87"/>
  <c r="CB86"/>
  <c r="CB85"/>
  <c r="CB84"/>
  <c r="CB88"/>
  <c r="CB83"/>
  <c r="BZ67"/>
  <c r="BZ63"/>
  <c r="CB63"/>
  <c r="CB64"/>
  <c r="BZ46"/>
  <c r="BZ42"/>
  <c r="BZ21"/>
  <c r="BZ25"/>
  <c r="AW8"/>
  <c r="AT8" s="1"/>
  <c r="AQ7" s="1"/>
  <c r="CB21"/>
  <c r="AU33"/>
  <c r="AT33" s="1"/>
  <c r="AQ33" s="1"/>
  <c r="AQ39" s="1"/>
  <c r="K56" i="11" s="1"/>
  <c r="BZ83" i="10"/>
  <c r="CB42"/>
  <c r="AU16"/>
  <c r="BZ86"/>
  <c r="BZ89"/>
  <c r="CB43"/>
  <c r="CB22"/>
  <c r="BZ90"/>
  <c r="BZ85"/>
  <c r="BZ88"/>
  <c r="BZ91"/>
  <c r="BZ84"/>
  <c r="CB89"/>
  <c r="CB90"/>
  <c r="CB91"/>
  <c r="CB87"/>
  <c r="CA87"/>
  <c r="CA84"/>
  <c r="CA83"/>
  <c r="BX84"/>
  <c r="U51" i="11" s="1"/>
  <c r="CA90" i="10"/>
  <c r="BX87"/>
  <c r="U54" i="11" s="1"/>
  <c r="CA86" i="10"/>
  <c r="CA85"/>
  <c r="BX86"/>
  <c r="U53" i="11" s="1"/>
  <c r="BX88" i="10"/>
  <c r="U55" i="11" s="1"/>
  <c r="BX91" i="10"/>
  <c r="U58" i="11" s="1"/>
  <c r="CA88" i="10"/>
  <c r="CA89"/>
  <c r="CD89" s="1"/>
  <c r="BX83"/>
  <c r="U50" i="11" s="1"/>
  <c r="BX90" i="10"/>
  <c r="U57" i="11" s="1"/>
  <c r="BX89" i="10"/>
  <c r="U56" i="11" s="1"/>
  <c r="BX85" i="10"/>
  <c r="U52" i="11" s="1"/>
  <c r="CA91" i="10"/>
  <c r="BZ44"/>
  <c r="BZ65"/>
  <c r="BZ23"/>
  <c r="CB67"/>
  <c r="BZ64"/>
  <c r="BZ69"/>
  <c r="CB46"/>
  <c r="BZ43"/>
  <c r="BZ48"/>
  <c r="CB25"/>
  <c r="BZ22"/>
  <c r="BZ27"/>
  <c r="CB65"/>
  <c r="CB66"/>
  <c r="CB71"/>
  <c r="CB69"/>
  <c r="CB70"/>
  <c r="CB68"/>
  <c r="BZ70"/>
  <c r="BZ66"/>
  <c r="BZ71"/>
  <c r="BZ68"/>
  <c r="CA71"/>
  <c r="CA69"/>
  <c r="CA65"/>
  <c r="CA64"/>
  <c r="CA67"/>
  <c r="BX63"/>
  <c r="U39" i="11" s="1"/>
  <c r="BX67" i="10"/>
  <c r="U43" i="11" s="1"/>
  <c r="BX70" i="10"/>
  <c r="U46" i="11" s="1"/>
  <c r="CA68" i="10"/>
  <c r="CA70"/>
  <c r="BX68"/>
  <c r="U44" i="11" s="1"/>
  <c r="BX66" i="10"/>
  <c r="U42" i="11" s="1"/>
  <c r="CA63" i="10"/>
  <c r="BX71"/>
  <c r="U47" i="11" s="1"/>
  <c r="BX64" i="10"/>
  <c r="U40" i="11" s="1"/>
  <c r="CA66" i="10"/>
  <c r="BX69"/>
  <c r="U45" i="11" s="1"/>
  <c r="BX65" i="10"/>
  <c r="U41" i="11" s="1"/>
  <c r="BZ49" i="10"/>
  <c r="BZ50"/>
  <c r="BZ47"/>
  <c r="BZ45"/>
  <c r="BZ29"/>
  <c r="BZ28"/>
  <c r="BZ26"/>
  <c r="BZ24"/>
  <c r="CA45"/>
  <c r="CA24"/>
  <c r="CB28"/>
  <c r="CB26"/>
  <c r="CB24"/>
  <c r="CB23"/>
  <c r="CB29"/>
  <c r="CB27"/>
  <c r="CA47"/>
  <c r="CA48"/>
  <c r="CA44"/>
  <c r="CA42"/>
  <c r="CA43"/>
  <c r="CA50"/>
  <c r="CA49"/>
  <c r="CA46"/>
  <c r="CA29"/>
  <c r="CA25"/>
  <c r="CA21"/>
  <c r="CA22"/>
  <c r="CA27"/>
  <c r="CA23"/>
  <c r="CA28"/>
  <c r="CA26"/>
  <c r="CB44"/>
  <c r="CB48"/>
  <c r="CB50"/>
  <c r="CB49"/>
  <c r="CB45"/>
  <c r="CB47"/>
  <c r="AX5"/>
  <c r="BU44" s="1"/>
  <c r="BV44" s="1"/>
  <c r="BX28"/>
  <c r="U23" i="11" s="1"/>
  <c r="D28" i="15" s="1"/>
  <c r="BX24" i="10"/>
  <c r="U19" i="11" s="1"/>
  <c r="D24" i="15" s="1"/>
  <c r="BX22" i="10"/>
  <c r="U17" i="11" s="1"/>
  <c r="D22" i="15" s="1"/>
  <c r="BX27" i="10"/>
  <c r="U22" i="11" s="1"/>
  <c r="D27" i="15" s="1"/>
  <c r="BX23" i="10"/>
  <c r="U18" i="11" s="1"/>
  <c r="D23" i="15" s="1"/>
  <c r="BX26" i="10"/>
  <c r="U21" i="11" s="1"/>
  <c r="D26" i="15" s="1"/>
  <c r="BX25" i="10"/>
  <c r="U20" i="11" s="1"/>
  <c r="D25" i="15" s="1"/>
  <c r="AX16" i="10"/>
  <c r="BX49"/>
  <c r="U35" i="11" s="1"/>
  <c r="BX45" i="10"/>
  <c r="U31" i="11" s="1"/>
  <c r="BX44" i="10"/>
  <c r="U30" i="11" s="1"/>
  <c r="BX46" i="10"/>
  <c r="U32" i="11" s="1"/>
  <c r="BX48" i="10"/>
  <c r="U34" i="11" s="1"/>
  <c r="BX47" i="10"/>
  <c r="U33" i="11" s="1"/>
  <c r="BX43" i="10"/>
  <c r="U29" i="11" s="1"/>
  <c r="BX42" i="10"/>
  <c r="U28" i="11" s="1"/>
  <c r="AM25" i="10"/>
  <c r="D41" i="11" s="1"/>
  <c r="AM13" i="10"/>
  <c r="D30" i="11" s="1"/>
  <c r="AM6" i="10"/>
  <c r="D18" i="11" s="1"/>
  <c r="AM37" i="10"/>
  <c r="D53" i="11" s="1"/>
  <c r="D45" i="4" s="1"/>
  <c r="AM27" i="10"/>
  <c r="D42" i="11" s="1"/>
  <c r="AM4" i="10"/>
  <c r="D17" i="11" s="1"/>
  <c r="AM17" i="10"/>
  <c r="D32" i="11" s="1"/>
  <c r="AM23" i="10"/>
  <c r="AN23" s="1"/>
  <c r="AM15"/>
  <c r="D31" i="11" s="1"/>
  <c r="AV2" i="10"/>
  <c r="BX21"/>
  <c r="U16" i="11" s="1"/>
  <c r="D21" i="15" s="1"/>
  <c r="AM35" i="10"/>
  <c r="AM33"/>
  <c r="D51" i="11" s="1"/>
  <c r="D43" i="4" s="1"/>
  <c r="AM2" i="10"/>
  <c r="AP2" s="1"/>
  <c r="G16" i="11" s="1"/>
  <c r="G15" i="4" s="1"/>
  <c r="AT2" i="10" l="1"/>
  <c r="AQ2" s="1"/>
  <c r="L39" i="4"/>
  <c r="BV60" i="10"/>
  <c r="M45" i="11"/>
  <c r="M39" i="4" s="1"/>
  <c r="N45" i="11"/>
  <c r="N39" i="4" s="1"/>
  <c r="V24"/>
  <c r="V25"/>
  <c r="CD83" i="10"/>
  <c r="AT16"/>
  <c r="AQ16" s="1"/>
  <c r="AQ19" s="1"/>
  <c r="K35" i="11" s="1"/>
  <c r="BU39" i="10" s="1"/>
  <c r="CD42"/>
  <c r="CD63"/>
  <c r="CD25"/>
  <c r="CD21"/>
  <c r="K48" i="4"/>
  <c r="BU80" i="10"/>
  <c r="L56" i="11"/>
  <c r="CD86" i="10"/>
  <c r="CD84"/>
  <c r="CD91"/>
  <c r="AN35"/>
  <c r="D52" i="11"/>
  <c r="CD87" i="10"/>
  <c r="CD88"/>
  <c r="CD90"/>
  <c r="CD85"/>
  <c r="E51" i="11"/>
  <c r="E43" i="4" s="1"/>
  <c r="K54" i="11"/>
  <c r="CD43" i="10"/>
  <c r="CD67"/>
  <c r="AN25"/>
  <c r="CD64"/>
  <c r="CD69"/>
  <c r="CD46"/>
  <c r="E31" i="11"/>
  <c r="E26" i="4" s="1"/>
  <c r="D26"/>
  <c r="E42" i="11"/>
  <c r="E36" i="4" s="1"/>
  <c r="D36"/>
  <c r="E41" i="11"/>
  <c r="E35" i="4" s="1"/>
  <c r="D35"/>
  <c r="E32" i="11"/>
  <c r="E27" i="4" s="1"/>
  <c r="D27"/>
  <c r="E30" i="11"/>
  <c r="E25" i="4" s="1"/>
  <c r="D25"/>
  <c r="E18" i="11"/>
  <c r="E17" i="4" s="1"/>
  <c r="D17"/>
  <c r="E17" i="11"/>
  <c r="E16" i="4" s="1"/>
  <c r="D16"/>
  <c r="AP33" i="10"/>
  <c r="G51" i="11" s="1"/>
  <c r="G43" i="4" s="1"/>
  <c r="AN33" i="10"/>
  <c r="AN13"/>
  <c r="AP13"/>
  <c r="G30" i="11" s="1"/>
  <c r="G25" i="4" s="1"/>
  <c r="K33" i="11"/>
  <c r="K28" i="4" s="1"/>
  <c r="CD66" i="10"/>
  <c r="CD50"/>
  <c r="CD45"/>
  <c r="CD68"/>
  <c r="AN17"/>
  <c r="CD65"/>
  <c r="CD71"/>
  <c r="AM28"/>
  <c r="CD70"/>
  <c r="AN27"/>
  <c r="AP23"/>
  <c r="G40" i="11" s="1"/>
  <c r="G34" i="4" s="1"/>
  <c r="BU23" i="10"/>
  <c r="BV23" s="1"/>
  <c r="AT5"/>
  <c r="AQ4" s="1"/>
  <c r="AQ8" s="1"/>
  <c r="K21" i="11" s="1"/>
  <c r="AN37" i="10"/>
  <c r="CD48"/>
  <c r="CD47"/>
  <c r="CD49"/>
  <c r="CD44"/>
  <c r="AN4"/>
  <c r="CD23"/>
  <c r="AN6"/>
  <c r="D16" i="11"/>
  <c r="AM7" i="10"/>
  <c r="D19" i="11" s="1"/>
  <c r="D18" i="4" s="1"/>
  <c r="AN15" i="10"/>
  <c r="CD24"/>
  <c r="AN2"/>
  <c r="CD22"/>
  <c r="AM38"/>
  <c r="AM18"/>
  <c r="CD27"/>
  <c r="D40" i="11"/>
  <c r="CD29" i="10"/>
  <c r="CD26"/>
  <c r="CD28"/>
  <c r="D33" i="11"/>
  <c r="F26" i="7"/>
  <c r="F25"/>
  <c r="K20" i="4" l="1"/>
  <c r="L21" i="11"/>
  <c r="B14" i="15" s="1"/>
  <c r="BW60" i="10"/>
  <c r="BX60"/>
  <c r="L35" i="11"/>
  <c r="BV39" i="10" s="1"/>
  <c r="K30" i="4"/>
  <c r="AN28" i="10"/>
  <c r="AP28" s="1"/>
  <c r="G43" i="11" s="1"/>
  <c r="G37" i="4" s="1"/>
  <c r="L48"/>
  <c r="M56" i="11"/>
  <c r="M48" i="4" s="1"/>
  <c r="BV80" i="10"/>
  <c r="N56" i="11"/>
  <c r="N48" i="4" s="1"/>
  <c r="L54" i="11"/>
  <c r="M54" s="1"/>
  <c r="M46" i="4" s="1"/>
  <c r="K46"/>
  <c r="BU78" i="10"/>
  <c r="E52" i="11"/>
  <c r="E44" i="4" s="1"/>
  <c r="D44"/>
  <c r="E53" i="11"/>
  <c r="D54"/>
  <c r="AN38" i="10"/>
  <c r="AP38" s="1"/>
  <c r="G54" i="11" s="1"/>
  <c r="G46" i="4" s="1"/>
  <c r="BU37" i="10"/>
  <c r="E33" i="11"/>
  <c r="E28" i="4" s="1"/>
  <c r="L33" i="11"/>
  <c r="K43"/>
  <c r="K37" i="4" s="1"/>
  <c r="D34"/>
  <c r="K34" i="11"/>
  <c r="L34" s="1"/>
  <c r="E35" s="1"/>
  <c r="D28" i="4"/>
  <c r="AB17" i="11"/>
  <c r="AB18" s="1"/>
  <c r="AB19" s="1"/>
  <c r="D15" i="4"/>
  <c r="E16" i="11"/>
  <c r="AN18" i="10"/>
  <c r="AP18" s="1"/>
  <c r="G33" i="11" s="1"/>
  <c r="G28" i="4" s="1"/>
  <c r="L43" i="11"/>
  <c r="L37" i="4" s="1"/>
  <c r="D43" i="11"/>
  <c r="E40"/>
  <c r="BU18" i="10"/>
  <c r="AN7"/>
  <c r="AP7" s="1"/>
  <c r="G19" i="11" s="1"/>
  <c r="G18" i="4" s="1"/>
  <c r="K19" i="11"/>
  <c r="AH17"/>
  <c r="AH18" s="1"/>
  <c r="K20"/>
  <c r="N35" l="1"/>
  <c r="N30" i="4" s="1"/>
  <c r="M35" i="11"/>
  <c r="M30" i="4" s="1"/>
  <c r="L30"/>
  <c r="BX80" i="10"/>
  <c r="BW80"/>
  <c r="BX39"/>
  <c r="BW39"/>
  <c r="N54" i="11"/>
  <c r="N46" i="4" s="1"/>
  <c r="K55" i="11"/>
  <c r="K57" s="1"/>
  <c r="K49" i="4" s="1"/>
  <c r="D46"/>
  <c r="E54" i="11"/>
  <c r="E46" i="4" s="1"/>
  <c r="E45"/>
  <c r="L46"/>
  <c r="BV78" i="10"/>
  <c r="BU58"/>
  <c r="AC18" i="11"/>
  <c r="AD18" s="1"/>
  <c r="K36"/>
  <c r="K31" i="4" s="1"/>
  <c r="BV37" i="10"/>
  <c r="L28" i="4"/>
  <c r="N33" i="11"/>
  <c r="N28" i="4" s="1"/>
  <c r="M33" i="11"/>
  <c r="M28" i="4" s="1"/>
  <c r="BV38" i="10"/>
  <c r="L29" i="4"/>
  <c r="BU38" i="10"/>
  <c r="K29" i="4"/>
  <c r="K44" i="11"/>
  <c r="K38" i="4" s="1"/>
  <c r="D37"/>
  <c r="E43" i="11"/>
  <c r="E37" i="4" s="1"/>
  <c r="E34"/>
  <c r="BV58" i="10"/>
  <c r="BU17"/>
  <c r="K19" i="4"/>
  <c r="L19" i="11"/>
  <c r="K18" i="4"/>
  <c r="E19" i="11"/>
  <c r="E18" i="4" s="1"/>
  <c r="E15"/>
  <c r="BV18" i="10"/>
  <c r="L20" i="4"/>
  <c r="BU16" i="10"/>
  <c r="M43" i="11"/>
  <c r="M37" i="4" s="1"/>
  <c r="N43" i="11"/>
  <c r="N37" i="4" s="1"/>
  <c r="N21" i="11"/>
  <c r="N20" i="4" s="1"/>
  <c r="M21" i="11"/>
  <c r="M20" i="4" s="1"/>
  <c r="K22" i="11"/>
  <c r="K21" i="4" s="1"/>
  <c r="L20" i="11"/>
  <c r="AH19"/>
  <c r="AI18"/>
  <c r="N34"/>
  <c r="N29" i="4" s="1"/>
  <c r="M34" i="11"/>
  <c r="M29" i="4" s="1"/>
  <c r="AB20" i="11"/>
  <c r="AC19"/>
  <c r="E22" l="1"/>
  <c r="N4" i="15" s="1"/>
  <c r="B13"/>
  <c r="M19" i="11"/>
  <c r="M18" i="4" s="1"/>
  <c r="B12" i="15"/>
  <c r="BW18" i="10"/>
  <c r="BX18"/>
  <c r="BX58"/>
  <c r="BW58"/>
  <c r="BX38"/>
  <c r="BW38"/>
  <c r="BX37"/>
  <c r="BW37"/>
  <c r="BW78"/>
  <c r="BX78"/>
  <c r="L55" i="11"/>
  <c r="E56" s="1"/>
  <c r="BU79" i="10"/>
  <c r="K47" i="4"/>
  <c r="L57" i="11"/>
  <c r="BU81" i="10"/>
  <c r="BU43"/>
  <c r="BV43" s="1"/>
  <c r="AE18" i="11"/>
  <c r="BU40" i="10"/>
  <c r="K46" i="11"/>
  <c r="K40" i="4" s="1"/>
  <c r="L36" i="11"/>
  <c r="BV40" i="10" s="1"/>
  <c r="BU59"/>
  <c r="L44" i="11"/>
  <c r="E45" s="1"/>
  <c r="BV16" i="10"/>
  <c r="L18" i="4"/>
  <c r="BV17" i="10"/>
  <c r="L19" i="4"/>
  <c r="N19" i="11"/>
  <c r="N18" i="4" s="1"/>
  <c r="N26"/>
  <c r="M26"/>
  <c r="L22" i="11"/>
  <c r="B15" i="15" s="1"/>
  <c r="BU19" i="10"/>
  <c r="AD19" i="11"/>
  <c r="AE19"/>
  <c r="AJ18"/>
  <c r="AK18"/>
  <c r="M20"/>
  <c r="M19" i="4" s="1"/>
  <c r="N20" i="11"/>
  <c r="N19" i="4" s="1"/>
  <c r="AB21" i="11"/>
  <c r="AC20"/>
  <c r="AI19"/>
  <c r="AH20"/>
  <c r="N55" l="1"/>
  <c r="N47" i="4" s="1"/>
  <c r="BX16" i="10"/>
  <c r="BW16"/>
  <c r="CC48"/>
  <c r="CE48" s="1"/>
  <c r="CF48" s="1"/>
  <c r="R34" i="11" s="1"/>
  <c r="BX40" i="10"/>
  <c r="BW40"/>
  <c r="BX17"/>
  <c r="BW17"/>
  <c r="BV79"/>
  <c r="M55" i="11"/>
  <c r="M47" i="4" s="1"/>
  <c r="CC42" i="10"/>
  <c r="CE42" s="1"/>
  <c r="L47" i="4"/>
  <c r="N36" i="11"/>
  <c r="N31" i="4" s="1"/>
  <c r="CC47" i="10"/>
  <c r="CE47" s="1"/>
  <c r="M36" i="11"/>
  <c r="M31" i="4" s="1"/>
  <c r="L31"/>
  <c r="BV81" i="10"/>
  <c r="L49" i="4"/>
  <c r="N44" i="11"/>
  <c r="N38" i="4" s="1"/>
  <c r="L38"/>
  <c r="N57" i="11"/>
  <c r="N49" i="4" s="1"/>
  <c r="M57" i="11"/>
  <c r="M49" i="4" s="1"/>
  <c r="L46" i="11"/>
  <c r="L40" i="4" s="1"/>
  <c r="BU61" i="10"/>
  <c r="BV59"/>
  <c r="M44" i="11"/>
  <c r="M38" i="4" s="1"/>
  <c r="CC50" i="10"/>
  <c r="CE50" s="1"/>
  <c r="CF50" s="1"/>
  <c r="R36" i="11" s="1"/>
  <c r="CC45" i="10"/>
  <c r="CE45" s="1"/>
  <c r="CF45" s="1"/>
  <c r="CC43"/>
  <c r="CE43" s="1"/>
  <c r="CC49"/>
  <c r="CE49" s="1"/>
  <c r="CF49" s="1"/>
  <c r="CC46"/>
  <c r="CE46" s="1"/>
  <c r="CC44"/>
  <c r="CE44" s="1"/>
  <c r="BU22"/>
  <c r="BV22" s="1"/>
  <c r="BV19"/>
  <c r="CC22" s="1"/>
  <c r="L21" i="4"/>
  <c r="M22" i="11"/>
  <c r="M21" i="4" s="1"/>
  <c r="N22" i="11"/>
  <c r="N21" i="4" s="1"/>
  <c r="AC21" i="11"/>
  <c r="AB22"/>
  <c r="AD20"/>
  <c r="AE20"/>
  <c r="AH21"/>
  <c r="AI20"/>
  <c r="AJ19"/>
  <c r="AK19"/>
  <c r="CF46" i="10" l="1"/>
  <c r="R32" i="11" s="1"/>
  <c r="CG46" i="10"/>
  <c r="S32" i="11" s="1"/>
  <c r="CF42" i="10"/>
  <c r="R28" i="11" s="1"/>
  <c r="CG42" i="10"/>
  <c r="S28" i="11" s="1"/>
  <c r="CF44" i="10"/>
  <c r="R30" i="11" s="1"/>
  <c r="CG44" i="10"/>
  <c r="S30" i="11" s="1"/>
  <c r="CC85" i="10"/>
  <c r="CE85" s="1"/>
  <c r="CG48"/>
  <c r="S34" i="11" s="1"/>
  <c r="CC89" i="10"/>
  <c r="CE89" s="1"/>
  <c r="M46" i="11"/>
  <c r="M40" i="4" s="1"/>
  <c r="CC25" i="10"/>
  <c r="CE25" s="1"/>
  <c r="BX19"/>
  <c r="BW19"/>
  <c r="BU84"/>
  <c r="BV84" s="1"/>
  <c r="BX79"/>
  <c r="BW79"/>
  <c r="CC91"/>
  <c r="CE91" s="1"/>
  <c r="BX81"/>
  <c r="BW81"/>
  <c r="BX59"/>
  <c r="BW59"/>
  <c r="CC88"/>
  <c r="CE88" s="1"/>
  <c r="CC84"/>
  <c r="CE84" s="1"/>
  <c r="CC87"/>
  <c r="CE87" s="1"/>
  <c r="CC90"/>
  <c r="CE90" s="1"/>
  <c r="CG45"/>
  <c r="S31" i="11" s="1"/>
  <c r="CF43" i="10"/>
  <c r="R29" i="11" s="1"/>
  <c r="CG43" i="10"/>
  <c r="S29" i="11" s="1"/>
  <c r="CC86" i="10"/>
  <c r="CE86" s="1"/>
  <c r="CC83"/>
  <c r="CE83" s="1"/>
  <c r="N46" i="11"/>
  <c r="N40" i="4" s="1"/>
  <c r="BV61" i="10"/>
  <c r="CC70" s="1"/>
  <c r="CE70" s="1"/>
  <c r="CC26"/>
  <c r="CE26" s="1"/>
  <c r="BU64"/>
  <c r="BV64" s="1"/>
  <c r="CG50"/>
  <c r="S36" i="11" s="1"/>
  <c r="CG49" i="10"/>
  <c r="S35" i="11" s="1"/>
  <c r="CC29" i="10"/>
  <c r="CE29" s="1"/>
  <c r="CF29" s="1"/>
  <c r="R24" i="11" s="1"/>
  <c r="B29" i="15" s="1"/>
  <c r="CC27" i="10"/>
  <c r="CE27" s="1"/>
  <c r="CC24"/>
  <c r="CE24" s="1"/>
  <c r="CC23"/>
  <c r="CE23" s="1"/>
  <c r="CC28"/>
  <c r="CE28" s="1"/>
  <c r="CC21"/>
  <c r="CE21" s="1"/>
  <c r="R31" i="11"/>
  <c r="R35"/>
  <c r="CF47" i="10"/>
  <c r="CG47"/>
  <c r="CE22"/>
  <c r="AJ20" i="11"/>
  <c r="AK20"/>
  <c r="AC22"/>
  <c r="AB23"/>
  <c r="AH22"/>
  <c r="AI21"/>
  <c r="AE21"/>
  <c r="AD21"/>
  <c r="CC66" i="10" l="1"/>
  <c r="CE66" s="1"/>
  <c r="CF66" s="1"/>
  <c r="R42" i="11" s="1"/>
  <c r="CC68" i="10"/>
  <c r="CE68" s="1"/>
  <c r="CF68" s="1"/>
  <c r="R44" i="11" s="1"/>
  <c r="CC67" i="10"/>
  <c r="CE67" s="1"/>
  <c r="CG67" s="1"/>
  <c r="S43" i="11" s="1"/>
  <c r="CF87" i="10"/>
  <c r="R54" i="11" s="1"/>
  <c r="CG87" i="10"/>
  <c r="S54" i="11" s="1"/>
  <c r="CF84" i="10"/>
  <c r="R51" i="11" s="1"/>
  <c r="CG84" i="10"/>
  <c r="S51" i="11" s="1"/>
  <c r="CF85" i="10"/>
  <c r="R52" i="11" s="1"/>
  <c r="CG85" i="10"/>
  <c r="S52" i="11" s="1"/>
  <c r="CF83" i="10"/>
  <c r="R50" i="11" s="1"/>
  <c r="CG83" i="10"/>
  <c r="S50" i="11" s="1"/>
  <c r="CF88" i="10"/>
  <c r="R55" i="11" s="1"/>
  <c r="CG88" i="10"/>
  <c r="S55" i="11" s="1"/>
  <c r="CF86" i="10"/>
  <c r="R53" i="11" s="1"/>
  <c r="CG86" i="10"/>
  <c r="S53" i="11" s="1"/>
  <c r="CC71" i="10"/>
  <c r="CE71" s="1"/>
  <c r="CG71" s="1"/>
  <c r="S47" i="11" s="1"/>
  <c r="CC63" i="10"/>
  <c r="CE63" s="1"/>
  <c r="CF23"/>
  <c r="R18" i="11" s="1"/>
  <c r="B23" i="15" s="1"/>
  <c r="CG23" i="10"/>
  <c r="S18" i="11" s="1"/>
  <c r="C23" i="15" s="1"/>
  <c r="CF21" i="10"/>
  <c r="R16" i="11" s="1"/>
  <c r="B21" i="15" s="1"/>
  <c r="CG21" i="10"/>
  <c r="S16" i="11" s="1"/>
  <c r="C21" i="15" s="1"/>
  <c r="CF25" i="10"/>
  <c r="R20" i="11" s="1"/>
  <c r="B25" i="15" s="1"/>
  <c r="CG25" i="10"/>
  <c r="S20" i="11" s="1"/>
  <c r="C25" i="15" s="1"/>
  <c r="CF89" i="10"/>
  <c r="R56" i="11" s="1"/>
  <c r="CG89" i="10"/>
  <c r="S56" i="11" s="1"/>
  <c r="CC64" i="10"/>
  <c r="CE64" s="1"/>
  <c r="CC69"/>
  <c r="CE69" s="1"/>
  <c r="CF69" s="1"/>
  <c r="R45" i="11" s="1"/>
  <c r="CC65" i="10"/>
  <c r="CE65" s="1"/>
  <c r="BX61"/>
  <c r="BW61"/>
  <c r="CG90"/>
  <c r="S57" i="11" s="1"/>
  <c r="CF90" i="10"/>
  <c r="R57" i="11" s="1"/>
  <c r="CF22" i="10"/>
  <c r="R17" i="11" s="1"/>
  <c r="B22" i="15" s="1"/>
  <c r="CG22" i="10"/>
  <c r="S17" i="11" s="1"/>
  <c r="C22" i="15" s="1"/>
  <c r="CF91" i="10"/>
  <c r="R58" i="11" s="1"/>
  <c r="CG91" i="10"/>
  <c r="S58" i="11" s="1"/>
  <c r="CG29" i="10"/>
  <c r="S24" i="11" s="1"/>
  <c r="C29" i="15" s="1"/>
  <c r="CG28" i="10"/>
  <c r="S23" i="11" s="1"/>
  <c r="C28" i="15" s="1"/>
  <c r="CF28" i="10"/>
  <c r="R23" i="11" s="1"/>
  <c r="B28" i="15" s="1"/>
  <c r="CF70" i="10"/>
  <c r="R46" i="11" s="1"/>
  <c r="CG70" i="10"/>
  <c r="S46" i="11" s="1"/>
  <c r="GZ33"/>
  <c r="S33"/>
  <c r="HB33"/>
  <c r="HB34"/>
  <c r="HD34"/>
  <c r="HA33"/>
  <c r="HA34"/>
  <c r="GZ34"/>
  <c r="HC33"/>
  <c r="HC34"/>
  <c r="HD33"/>
  <c r="R33"/>
  <c r="CG26" i="10"/>
  <c r="S21" i="11" s="1"/>
  <c r="C26" i="15" s="1"/>
  <c r="CF26" i="10"/>
  <c r="R21" i="11" s="1"/>
  <c r="B26" i="15" s="1"/>
  <c r="CF24" i="10"/>
  <c r="R19" i="11" s="1"/>
  <c r="B24" i="15" s="1"/>
  <c r="CG24" i="10"/>
  <c r="S19" i="11" s="1"/>
  <c r="C24" i="15" s="1"/>
  <c r="CF27" i="10"/>
  <c r="R22" i="11" s="1"/>
  <c r="B27" i="15" s="1"/>
  <c r="CG27" i="10"/>
  <c r="S22" i="11" s="1"/>
  <c r="C27" i="15" s="1"/>
  <c r="AC23" i="11"/>
  <c r="AB24"/>
  <c r="AE22"/>
  <c r="AD22"/>
  <c r="AK21"/>
  <c r="AJ21"/>
  <c r="AH23"/>
  <c r="AI22"/>
  <c r="CG68" i="10" l="1"/>
  <c r="S44" i="11" s="1"/>
  <c r="CG66" i="10"/>
  <c r="S42" i="11" s="1"/>
  <c r="GZ22"/>
  <c r="HC22"/>
  <c r="CF71" i="10"/>
  <c r="R47" i="11" s="1"/>
  <c r="CF67" i="10"/>
  <c r="R43" i="11" s="1"/>
  <c r="HC18"/>
  <c r="HB21"/>
  <c r="HA22"/>
  <c r="HC21"/>
  <c r="HA21"/>
  <c r="HD22"/>
  <c r="HD21"/>
  <c r="GZ19"/>
  <c r="HB18"/>
  <c r="HB22"/>
  <c r="GZ21"/>
  <c r="CF63" i="10"/>
  <c r="R39" i="11" s="1"/>
  <c r="CG63" i="10"/>
  <c r="S39" i="11" s="1"/>
  <c r="CF65" i="10"/>
  <c r="R41" i="11" s="1"/>
  <c r="CG65" i="10"/>
  <c r="S41" i="11" s="1"/>
  <c r="CF64" i="10"/>
  <c r="R40" i="11" s="1"/>
  <c r="CG64" i="10"/>
  <c r="S40" i="11" s="1"/>
  <c r="GZ18"/>
  <c r="HC19"/>
  <c r="HA18"/>
  <c r="HA19"/>
  <c r="HB19"/>
  <c r="HD19"/>
  <c r="HD18"/>
  <c r="CG69" i="10"/>
  <c r="S45" i="11" s="1"/>
  <c r="GY33"/>
  <c r="AJ22"/>
  <c r="AK22"/>
  <c r="AI23"/>
  <c r="AH24"/>
  <c r="AB25"/>
  <c r="AC24"/>
  <c r="AE23"/>
  <c r="AD23"/>
  <c r="HD40" l="1"/>
  <c r="GY21"/>
  <c r="HC39"/>
  <c r="HC40"/>
  <c r="HA39"/>
  <c r="HB39"/>
  <c r="HA40"/>
  <c r="GZ40"/>
  <c r="HD39"/>
  <c r="GZ39"/>
  <c r="HB40"/>
  <c r="GY18"/>
  <c r="AI24"/>
  <c r="AH25"/>
  <c r="AJ23"/>
  <c r="AK23"/>
  <c r="AE24"/>
  <c r="AD24"/>
  <c r="AB26"/>
  <c r="AC25"/>
  <c r="GY39" l="1"/>
  <c r="AD25"/>
  <c r="AE25"/>
  <c r="AB27"/>
  <c r="AC27" s="1"/>
  <c r="AC26"/>
  <c r="AI25"/>
  <c r="AH26"/>
  <c r="AK24"/>
  <c r="AJ24"/>
  <c r="AH27" l="1"/>
  <c r="AI27" s="1"/>
  <c r="AI26"/>
  <c r="AD26"/>
  <c r="AE26"/>
  <c r="AK25"/>
  <c r="AJ25"/>
  <c r="AE27"/>
  <c r="AD27"/>
  <c r="AJ27" l="1"/>
  <c r="AK27"/>
  <c r="AK26"/>
  <c r="AJ26"/>
</calcChain>
</file>

<file path=xl/sharedStrings.xml><?xml version="1.0" encoding="utf-8"?>
<sst xmlns="http://schemas.openxmlformats.org/spreadsheetml/2006/main" count="4805" uniqueCount="300">
  <si>
    <t>Compatibility Table</t>
  </si>
  <si>
    <t>Alphabet</t>
  </si>
  <si>
    <t>Number</t>
  </si>
  <si>
    <t>Compound Numbers</t>
  </si>
  <si>
    <t>Vowels</t>
  </si>
  <si>
    <t>a</t>
  </si>
  <si>
    <t>e</t>
  </si>
  <si>
    <t>i</t>
  </si>
  <si>
    <t>o</t>
  </si>
  <si>
    <t>u</t>
  </si>
  <si>
    <t>Current Name</t>
  </si>
  <si>
    <t>Old Core</t>
  </si>
  <si>
    <t>With BD</t>
  </si>
  <si>
    <t>With LP</t>
  </si>
  <si>
    <t>A</t>
  </si>
  <si>
    <t>No</t>
  </si>
  <si>
    <t>Rank</t>
  </si>
  <si>
    <t>First Name</t>
  </si>
  <si>
    <t>BD</t>
  </si>
  <si>
    <t>E</t>
  </si>
  <si>
    <t>G</t>
  </si>
  <si>
    <t>F</t>
  </si>
  <si>
    <t>B</t>
  </si>
  <si>
    <t>X</t>
  </si>
  <si>
    <t>FN</t>
  </si>
  <si>
    <t>LP</t>
  </si>
  <si>
    <t>VG</t>
  </si>
  <si>
    <t>C</t>
  </si>
  <si>
    <t>FN Vowel</t>
  </si>
  <si>
    <t>D</t>
  </si>
  <si>
    <t>Middle Name</t>
  </si>
  <si>
    <t>EXP</t>
  </si>
  <si>
    <t>SU</t>
  </si>
  <si>
    <t>√</t>
  </si>
  <si>
    <t>MN Vovel</t>
  </si>
  <si>
    <t>SS</t>
  </si>
  <si>
    <t>Karmic Number</t>
  </si>
  <si>
    <t>Last Name</t>
  </si>
  <si>
    <t>Hidden Passion</t>
  </si>
  <si>
    <t>LN</t>
  </si>
  <si>
    <t>Core</t>
  </si>
  <si>
    <t>H</t>
  </si>
  <si>
    <t>Balance</t>
  </si>
  <si>
    <t>I</t>
  </si>
  <si>
    <t>LN Vowel</t>
  </si>
  <si>
    <t>Maturity</t>
  </si>
  <si>
    <t>J</t>
  </si>
  <si>
    <t>M</t>
  </si>
  <si>
    <t>Y</t>
  </si>
  <si>
    <t>Attitude</t>
  </si>
  <si>
    <t>K</t>
  </si>
  <si>
    <t>U</t>
  </si>
  <si>
    <t>O</t>
  </si>
  <si>
    <t>L</t>
  </si>
  <si>
    <t>BM</t>
  </si>
  <si>
    <t>BY</t>
  </si>
  <si>
    <t>V</t>
  </si>
  <si>
    <t>Z</t>
  </si>
  <si>
    <t>P</t>
  </si>
  <si>
    <t>R</t>
  </si>
  <si>
    <t>T</t>
  </si>
  <si>
    <t>N</t>
  </si>
  <si>
    <t>W</t>
  </si>
  <si>
    <t>Q</t>
  </si>
  <si>
    <t>S</t>
  </si>
  <si>
    <t>Corrected Name</t>
  </si>
  <si>
    <t>New Core</t>
  </si>
  <si>
    <t>*</t>
  </si>
  <si>
    <t>Today's Date</t>
  </si>
  <si>
    <t>Current Year</t>
  </si>
  <si>
    <t>Challenge</t>
  </si>
  <si>
    <t>Current Month</t>
  </si>
  <si>
    <t>Chlg 1</t>
  </si>
  <si>
    <t>0 to 35 yrs</t>
  </si>
  <si>
    <t>Current Date</t>
  </si>
  <si>
    <t>Chlg 2</t>
  </si>
  <si>
    <t>35 to 55 yrs</t>
  </si>
  <si>
    <t>Chlg 3</t>
  </si>
  <si>
    <t>Birth to Death</t>
  </si>
  <si>
    <t>Chlg 4</t>
  </si>
  <si>
    <t>55 till Death</t>
  </si>
  <si>
    <t>Pinacale</t>
  </si>
  <si>
    <t>P1</t>
  </si>
  <si>
    <t>P2</t>
  </si>
  <si>
    <t>P3</t>
  </si>
  <si>
    <t>P4</t>
  </si>
  <si>
    <t>Mobile No. 1</t>
  </si>
  <si>
    <t>=</t>
  </si>
  <si>
    <t>Mobile No. 2</t>
  </si>
  <si>
    <t>House No</t>
  </si>
  <si>
    <t>Vehicle 1</t>
  </si>
  <si>
    <t>Vehicle 2</t>
  </si>
  <si>
    <t>House Number</t>
  </si>
  <si>
    <t>Old Company Name</t>
  </si>
  <si>
    <t>Co Name / Brand</t>
  </si>
  <si>
    <t>New Company Name</t>
  </si>
  <si>
    <t>SA</t>
  </si>
  <si>
    <t>Please Enter the details only in the YELLOW boxes</t>
  </si>
  <si>
    <t>A - SA</t>
  </si>
  <si>
    <t>Old Aspects / Compatibility</t>
  </si>
  <si>
    <t>New Aspects / Compatibility</t>
  </si>
  <si>
    <t>This Sheet only calculate  the numbers and does not give any corrections or predictions. You can play and do comparison with Old &amp; New name by making changes till the Aspects / Compatibility table Turn All WHITE</t>
  </si>
  <si>
    <t>For Your convenience, I have made the Alphabet table highlighting Vowels which will help on Spelling corrections</t>
  </si>
  <si>
    <t>You will have to refer to Notes to understand the definition of Numbers and other calculations (Challenge, Pinnacles etc.)</t>
  </si>
  <si>
    <t>You can also calcuate and correct COMPANY Names, which gives result after comparing with BD &amp; LP.</t>
  </si>
  <si>
    <t>Sr. No</t>
  </si>
  <si>
    <t>Notes</t>
  </si>
  <si>
    <t>In Hidden Passion the Cell will Turn Blue for the Highest Number and the rest will be Shades of Red in desending order</t>
  </si>
  <si>
    <t>Date of Birth</t>
  </si>
  <si>
    <t>Bank A/c No. 1</t>
  </si>
  <si>
    <t>Bank A/c No. 2</t>
  </si>
  <si>
    <t>Age</t>
  </si>
  <si>
    <t>MN</t>
  </si>
  <si>
    <t>Capricorn</t>
  </si>
  <si>
    <t>Aquarius</t>
  </si>
  <si>
    <t>Pisces</t>
  </si>
  <si>
    <t>Aries</t>
  </si>
  <si>
    <t>Taurus</t>
  </si>
  <si>
    <t>Gemini</t>
  </si>
  <si>
    <t>Cancer</t>
  </si>
  <si>
    <t>Leo</t>
  </si>
  <si>
    <t>Virgo</t>
  </si>
  <si>
    <t>Libra</t>
  </si>
  <si>
    <t>Scorpio</t>
  </si>
  <si>
    <t>Sagittarius</t>
  </si>
  <si>
    <t>Date</t>
  </si>
  <si>
    <t>Zodiac</t>
  </si>
  <si>
    <t>Zodiac &amp; Element</t>
  </si>
  <si>
    <t>Element</t>
  </si>
  <si>
    <t>Fire</t>
  </si>
  <si>
    <t>Earth</t>
  </si>
  <si>
    <t>Water</t>
  </si>
  <si>
    <t>Air</t>
  </si>
  <si>
    <t>From</t>
  </si>
  <si>
    <t>To</t>
  </si>
  <si>
    <t>Onwards</t>
  </si>
  <si>
    <t>KLs</t>
  </si>
  <si>
    <t>MKLs</t>
  </si>
  <si>
    <t>3 X 3</t>
  </si>
  <si>
    <t>Will</t>
  </si>
  <si>
    <t>4
(Rahu)</t>
  </si>
  <si>
    <t>9
(Mangal)</t>
  </si>
  <si>
    <t>2
(Chandra)</t>
  </si>
  <si>
    <t>3
(Guru)</t>
  </si>
  <si>
    <t>5
(Budh)</t>
  </si>
  <si>
    <t>7
(Ketu)</t>
  </si>
  <si>
    <t>6
(Shukr)</t>
  </si>
  <si>
    <t>1
(Surya)</t>
  </si>
  <si>
    <t>8
(Shani)</t>
  </si>
  <si>
    <t>Lo Shu</t>
  </si>
  <si>
    <t>Number Series</t>
  </si>
  <si>
    <t>KUA</t>
  </si>
  <si>
    <t>Gender</t>
  </si>
  <si>
    <t>Mental Plane</t>
  </si>
  <si>
    <t>Emotional Plane</t>
  </si>
  <si>
    <t>Practical Plane</t>
  </si>
  <si>
    <t>Jan</t>
  </si>
  <si>
    <t>Feb</t>
  </si>
  <si>
    <t>March</t>
  </si>
  <si>
    <t>April</t>
  </si>
  <si>
    <t>May</t>
  </si>
  <si>
    <t>June</t>
  </si>
  <si>
    <t>July</t>
  </si>
  <si>
    <t>Aug</t>
  </si>
  <si>
    <t>Sep</t>
  </si>
  <si>
    <t>Oct</t>
  </si>
  <si>
    <t>Nov</t>
  </si>
  <si>
    <t>Dec</t>
  </si>
  <si>
    <t>Personal Month</t>
  </si>
  <si>
    <t>Personal Day</t>
  </si>
  <si>
    <t>Personal Year</t>
  </si>
  <si>
    <t>In Aspect / Compatibility table E-Excellent, VG-Very Good, G-Good, F-Fair, A-Avoid &amp; SA - Super Avoid</t>
  </si>
  <si>
    <t>Thought</t>
  </si>
  <si>
    <t>1</t>
  </si>
  <si>
    <t>2</t>
  </si>
  <si>
    <t>3</t>
  </si>
  <si>
    <t>4</t>
  </si>
  <si>
    <t>5</t>
  </si>
  <si>
    <t>6</t>
  </si>
  <si>
    <t>7</t>
  </si>
  <si>
    <t>8</t>
  </si>
  <si>
    <t>9</t>
  </si>
  <si>
    <t>0</t>
  </si>
  <si>
    <t>Action</t>
  </si>
  <si>
    <t>Raj Yog 2</t>
  </si>
  <si>
    <t>Raj Yog 1</t>
  </si>
  <si>
    <t>Angelic white wings</t>
  </si>
  <si>
    <t>Male</t>
  </si>
  <si>
    <t>Kasturia</t>
  </si>
  <si>
    <t>Company Name</t>
  </si>
  <si>
    <t>Core 1</t>
  </si>
  <si>
    <t>Option 1</t>
  </si>
  <si>
    <t>Option 2</t>
  </si>
  <si>
    <t>Option 3</t>
  </si>
  <si>
    <t>KL</t>
  </si>
  <si>
    <t>MKL</t>
  </si>
  <si>
    <t>Kriishh</t>
  </si>
  <si>
    <t>Karrpe</t>
  </si>
  <si>
    <t>HP</t>
  </si>
  <si>
    <t>Core 2</t>
  </si>
  <si>
    <t>Core 3</t>
  </si>
  <si>
    <t>Challenge 1</t>
  </si>
  <si>
    <t>Challenge 4</t>
  </si>
  <si>
    <t>Challenge 2</t>
  </si>
  <si>
    <t>Challenge 3</t>
  </si>
  <si>
    <t>Mannooj</t>
  </si>
  <si>
    <t>Current</t>
  </si>
  <si>
    <t>-</t>
  </si>
  <si>
    <t>ChaganBahi Maganbhai Chimanlal Financial Services Private Limited</t>
  </si>
  <si>
    <t>Balance No.</t>
  </si>
  <si>
    <t>Attitude No.</t>
  </si>
  <si>
    <t>Maturity No.</t>
  </si>
  <si>
    <t>By Entering Name, Surname &amp; Date of Birth All Numbers get calculated automaticaly - 
1. CORE - BD (Birth Date), LP (Life Path), FN (First Name), EXP (Expression No), SU (Soul Urge), SS (Secret Self), 
2. Balance, Maturity, Attitude 
3. Hidden Passion, 
4. Karmic,
5. Challenge, 
6. Pinnacles, 
7. PY, PM, PD (PM &amp; PD -  For Current Full Year)
8. Please enter Gender if you are using Lo Shu Grid</t>
  </si>
  <si>
    <r>
      <t xml:space="preserve">Please DO NOT enter anything anywhere Except </t>
    </r>
    <r>
      <rPr>
        <b/>
        <sz val="11"/>
        <color rgb="FFFFFF00"/>
        <rFont val="Calibri"/>
        <family val="2"/>
        <scheme val="minor"/>
      </rPr>
      <t>YELLOW BOX</t>
    </r>
    <r>
      <rPr>
        <b/>
        <sz val="11"/>
        <color theme="1"/>
        <rFont val="Calibri"/>
        <family val="2"/>
        <scheme val="minor"/>
      </rPr>
      <t xml:space="preserve"> else the file will get corrupted</t>
    </r>
  </si>
  <si>
    <r>
      <t xml:space="preserve">In Karmic Numbers, </t>
    </r>
    <r>
      <rPr>
        <sz val="11"/>
        <rFont val="Calibri"/>
        <family val="2"/>
        <scheme val="minor"/>
      </rPr>
      <t>KL &amp; MKL gets highlightes with Blue Colour</t>
    </r>
  </si>
  <si>
    <t>In Aspects / Compatibility table if result is A-Avoid or SA-Super Avoid the Box will turn RED</t>
  </si>
  <si>
    <t>Apart from there is a separate sheet to calculate all the below calculations
1. Mobile, 
2. Bank A/c No., 
3. Vehicle, 
4. House numbers</t>
  </si>
  <si>
    <t>Sheets Name</t>
  </si>
  <si>
    <t>Master Calculator</t>
  </si>
  <si>
    <t>Working / Calculation in the Sheet</t>
  </si>
  <si>
    <t>Lo Shu Grid</t>
  </si>
  <si>
    <t>I. Pull the details from Master Calculator and Prepares Lo Shu Grid
II. Pull the Name details from Master Calculator and Shows the Grid</t>
  </si>
  <si>
    <t>Current Year
Personal Year-Month-Day</t>
  </si>
  <si>
    <t>Mobile-Vehicle-House-Bank
Coompany Name</t>
  </si>
  <si>
    <t xml:space="preserve">1. Calculates Mobile No. Vehicle No. House No. Bank A/c No.
2. Calculates Company Name and Compares with BD &amp; LP
</t>
  </si>
  <si>
    <t>Past - Future 
Personal Year-Month-Day</t>
  </si>
  <si>
    <t>In this Sheet one can calculate PY, PM, PD for Past and Future Year by entering DOB &amp; Date in Yellow Box</t>
  </si>
  <si>
    <t>I. Pull the Details from Master Calculator and calculates the Following
1. Current Personal Year
2. Full Years Personal Month
3. Full Years Personal Day
4. In this Personal Day gets highlighted which is compatible with BD/LP</t>
  </si>
  <si>
    <r>
      <t xml:space="preserve">All Numbers get calculated automatically:-
1. CORE - BD (Birth Date), LP (Life Path), FN (First Name), EXP (Expression No), SU (Soul Urge), SS (Secret Self), 
2. Balance, Maturity, Attitude
3. Hidden Passion, 
4. Karmic,
5. Challenge, 
6. Pinnacles, 
7. In this seet In BD/LP Table, Whatever is Active Turns </t>
    </r>
    <r>
      <rPr>
        <sz val="11"/>
        <color rgb="FF92D050"/>
        <rFont val="Calibri"/>
        <family val="2"/>
        <scheme val="minor"/>
      </rPr>
      <t>GREEN</t>
    </r>
    <r>
      <rPr>
        <sz val="11"/>
        <color theme="1"/>
        <rFont val="Calibri"/>
        <family val="2"/>
        <scheme val="minor"/>
      </rPr>
      <t xml:space="preserve">
II. Name Correction - Compatibility Chart</t>
    </r>
  </si>
  <si>
    <t>Important Points &amp; Rules for Name Change:</t>
  </si>
  <si>
    <t>Birthday is active from 0 years to 35 years while Life Path becomes active from 36 years onwards.</t>
  </si>
  <si>
    <t>Series of 4 and 8 are totally avoided in First Name and Expression Numbers while working on New spellings but can be given in Vowels and Consonants total.</t>
  </si>
  <si>
    <t>If the prominent Number that is Birthday or Life Path (irrespective of what is active) is of the 3/6 series one cannot give the First Name or Expression as a 6/3 series, but it can be given in the vowels and consonants total.</t>
  </si>
  <si>
    <t>The Combination of 369 is called the magical triangle in a Core.</t>
  </si>
  <si>
    <t>Avoid 4 and 9 or 8 and 9 totally in the core as these combinations attract court cases and health issues respectively.</t>
  </si>
  <si>
    <t>If the First Name or Expression comes to a Harsh Number, it is a mandate to give a new spelling.</t>
  </si>
  <si>
    <t>The following details to be taken by the client over email- Full Date of Birth; Name as in use and as on documents; Issues (if any) and Desire of the client.</t>
  </si>
  <si>
    <t>The first step is checking the active component (Birthday or life Path as per the age). Once the active component is ascertained check it with the First Name, Expression, Soul Urge and Secret Self Number. Make use of the Aspects shared above for this purpose. Then check the First Name and Expression and see if they come to Harsh/Good/Very Good or Numbers. If they come to Harsh Numbers, then even if they get a tick in the aspects part while checking still the person would require a spelling change.</t>
  </si>
  <si>
    <t xml:space="preserve">The Suggested (worked) spelling to be written 21 times thrice a day (morning-afternoon-night) with a green coloured pen (ink green) for minimal 6 months in a new copy from the New Moon or Full Moon Day whichever falls earlier (time as per your choice) for a minimum of 6 months. Make sure the writing is neat and clear. It’s your choice to write in cursive handwriting or in capital letters. Failure to write the spelling won't bring any changes hence make it a daily happy ritual to write the name and write it with positivity and happiness...You are welcome to change the spelling in social networking sites, signature of your emails and in any other place where you can though no legal changes are required anywhere .. If you are not comfortable changing the spelling on social networking site, please carry on only with religiously practicing the new spelling daily and encounter bliss in the coming days...  </t>
  </si>
  <si>
    <t>Once the copy in which the name is being written is finished, it can be put in the soil or can be put in a nearby lake/river/sea.</t>
  </si>
  <si>
    <t>E - Excelent | VG - Very Good | G - Good | F - Fair | A - Avoid | SA - Super Avoid</t>
  </si>
  <si>
    <t>Op 1. Aspects / Compatibility</t>
  </si>
  <si>
    <t>Op2 Aspects / Compatibility</t>
  </si>
  <si>
    <t>Op3 Aspects / Compatibility</t>
  </si>
  <si>
    <t>Yang</t>
  </si>
  <si>
    <t>Yin</t>
  </si>
  <si>
    <t>Type</t>
  </si>
  <si>
    <t>Value</t>
  </si>
  <si>
    <t>Simple</t>
  </si>
  <si>
    <t>Compound</t>
  </si>
  <si>
    <t>Date Value</t>
  </si>
  <si>
    <t>Adjustment</t>
  </si>
  <si>
    <t>Yin &amp; Yang Enegery Table</t>
  </si>
  <si>
    <t>BD / LP</t>
  </si>
  <si>
    <t>KBP171K</t>
  </si>
  <si>
    <t>Avaa Enterprises Limited</t>
  </si>
  <si>
    <t>Year</t>
  </si>
  <si>
    <t>PY</t>
  </si>
  <si>
    <t>Age chart for life path period timing</t>
  </si>
  <si>
    <t>Life path number</t>
  </si>
  <si>
    <t>Second life path period</t>
  </si>
  <si>
    <t>First life path period</t>
  </si>
  <si>
    <t>Third life path period</t>
  </si>
  <si>
    <t>till death</t>
  </si>
  <si>
    <t>MM/DD/YYYY</t>
  </si>
  <si>
    <t>cycles</t>
  </si>
  <si>
    <t>C1</t>
  </si>
  <si>
    <t>C2</t>
  </si>
  <si>
    <t>C3</t>
  </si>
  <si>
    <t>Full Name</t>
  </si>
  <si>
    <t>First name</t>
  </si>
  <si>
    <t>Maturity no.</t>
  </si>
  <si>
    <t>Balance no.</t>
  </si>
  <si>
    <t>I Minor Challenge</t>
  </si>
  <si>
    <t>II Minor Challenge</t>
  </si>
  <si>
    <t>III Minor Challenge</t>
  </si>
  <si>
    <t>IV Minor Challenge</t>
  </si>
  <si>
    <t>Numerology chart</t>
  </si>
  <si>
    <t>Middle name</t>
  </si>
  <si>
    <t>Challenges</t>
  </si>
  <si>
    <t>Minor influences</t>
  </si>
  <si>
    <t>Date of birth</t>
  </si>
  <si>
    <t>Cycles</t>
  </si>
  <si>
    <t>Pinnacles</t>
  </si>
  <si>
    <t>Karmic lessons</t>
  </si>
  <si>
    <t>Modified karmic lessons</t>
  </si>
  <si>
    <t>no</t>
  </si>
  <si>
    <t>Hidden passion number</t>
  </si>
  <si>
    <t>Attitude no.</t>
  </si>
  <si>
    <t>ajay</t>
  </si>
  <si>
    <t>kumar</t>
  </si>
  <si>
    <t>meena</t>
  </si>
  <si>
    <t>female</t>
  </si>
  <si>
    <t>rj14cy5850</t>
  </si>
  <si>
    <t>b 25</t>
  </si>
  <si>
    <t>KAMLESH</t>
  </si>
  <si>
    <t>MEENA</t>
  </si>
  <si>
    <t>KAAMLESH</t>
  </si>
  <si>
    <t>VIJAY</t>
  </si>
  <si>
    <t>ACHARYA</t>
  </si>
</sst>
</file>

<file path=xl/styles.xml><?xml version="1.0" encoding="utf-8"?>
<styleSheet xmlns="http://schemas.openxmlformats.org/spreadsheetml/2006/main">
  <fonts count="34">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u/>
      <sz val="11"/>
      <color theme="10"/>
      <name val="Calibri"/>
      <family val="2"/>
      <scheme val="minor"/>
    </font>
    <font>
      <b/>
      <sz val="14"/>
      <name val="Calibri"/>
      <family val="2"/>
      <scheme val="minor"/>
    </font>
    <font>
      <sz val="10"/>
      <name val="Calibri"/>
      <family val="2"/>
      <scheme val="minor"/>
    </font>
    <font>
      <sz val="11"/>
      <color rgb="FFFF0000"/>
      <name val="Calibri"/>
      <family val="2"/>
      <scheme val="minor"/>
    </font>
    <font>
      <b/>
      <sz val="12"/>
      <name val="Calibri"/>
      <family val="2"/>
      <scheme val="minor"/>
    </font>
    <font>
      <b/>
      <sz val="11"/>
      <color rgb="FFFF3399"/>
      <name val="Calibri"/>
      <family val="2"/>
      <scheme val="minor"/>
    </font>
    <font>
      <b/>
      <sz val="11"/>
      <color rgb="FFFFFF00"/>
      <name val="Calibri"/>
      <family val="2"/>
      <scheme val="minor"/>
    </font>
    <font>
      <sz val="11"/>
      <color theme="0"/>
      <name val="Calibri"/>
      <family val="2"/>
      <scheme val="minor"/>
    </font>
    <font>
      <b/>
      <sz val="11"/>
      <color rgb="FFFF0000"/>
      <name val="Calibri"/>
      <family val="2"/>
      <scheme val="minor"/>
    </font>
    <font>
      <u/>
      <sz val="11"/>
      <color rgb="FFFF0000"/>
      <name val="Calibri"/>
      <family val="2"/>
      <scheme val="minor"/>
    </font>
    <font>
      <sz val="11"/>
      <color rgb="FFFF0000"/>
      <name val="Calibri"/>
      <family val="2"/>
    </font>
    <font>
      <strike/>
      <sz val="11"/>
      <color rgb="FFFF0000"/>
      <name val="Calibri"/>
      <family val="2"/>
      <scheme val="minor"/>
    </font>
    <font>
      <b/>
      <sz val="11"/>
      <color theme="8"/>
      <name val="Calibri"/>
      <family val="2"/>
      <scheme val="minor"/>
    </font>
    <font>
      <b/>
      <sz val="11"/>
      <color theme="9"/>
      <name val="Calibri"/>
      <family val="2"/>
      <scheme val="minor"/>
    </font>
    <font>
      <b/>
      <sz val="7"/>
      <name val="Calibri"/>
      <family val="2"/>
      <scheme val="minor"/>
    </font>
    <font>
      <b/>
      <sz val="11"/>
      <color theme="0"/>
      <name val="Calibri"/>
      <family val="2"/>
      <scheme val="minor"/>
    </font>
    <font>
      <sz val="11"/>
      <color theme="2" tint="-9.9978637043366805E-2"/>
      <name val="Calibri"/>
      <family val="2"/>
      <scheme val="minor"/>
    </font>
    <font>
      <sz val="11"/>
      <color rgb="FF92D050"/>
      <name val="Calibri"/>
      <family val="2"/>
      <scheme val="minor"/>
    </font>
    <font>
      <u/>
      <sz val="11"/>
      <color theme="0"/>
      <name val="Calibri"/>
      <family val="2"/>
      <scheme val="minor"/>
    </font>
    <font>
      <sz val="11"/>
      <color theme="0"/>
      <name val="Calibri"/>
      <family val="2"/>
    </font>
    <font>
      <b/>
      <sz val="12"/>
      <color theme="0"/>
      <name val="Calibri"/>
      <family val="2"/>
      <scheme val="minor"/>
    </font>
    <font>
      <b/>
      <sz val="6"/>
      <color theme="1"/>
      <name val="Calibri"/>
      <family val="2"/>
      <scheme val="minor"/>
    </font>
    <font>
      <sz val="11"/>
      <color theme="0" tint="-0.249977111117893"/>
      <name val="Calibri"/>
      <family val="2"/>
      <scheme val="minor"/>
    </font>
    <font>
      <b/>
      <i/>
      <sz val="11"/>
      <color theme="1"/>
      <name val="Times New Roman"/>
      <family val="1"/>
    </font>
    <font>
      <b/>
      <i/>
      <u/>
      <sz val="12"/>
      <color theme="1"/>
      <name val="Comic Sans MS"/>
      <family val="4"/>
    </font>
    <font>
      <i/>
      <sz val="28"/>
      <color theme="1"/>
      <name val="Rockwell"/>
      <family val="1"/>
    </font>
    <font>
      <b/>
      <i/>
      <sz val="12"/>
      <color theme="1"/>
      <name val="Times New Roman"/>
      <family val="1"/>
    </font>
    <font>
      <sz val="11"/>
      <color theme="1"/>
      <name val="Times New Roman"/>
      <family val="1"/>
    </font>
    <font>
      <b/>
      <i/>
      <sz val="11"/>
      <color theme="1"/>
      <name val="Calibri"/>
      <family val="2"/>
      <scheme val="minor"/>
    </font>
    <font>
      <b/>
      <i/>
      <sz val="11"/>
      <color theme="1"/>
      <name val="Arial"/>
      <family val="2"/>
    </font>
  </fonts>
  <fills count="23">
    <fill>
      <patternFill patternType="none"/>
    </fill>
    <fill>
      <patternFill patternType="gray125"/>
    </fill>
    <fill>
      <patternFill patternType="solid">
        <fgColor theme="5"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F00FF"/>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CC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theme="0"/>
        <bgColor indexed="64"/>
      </patternFill>
    </fill>
    <fill>
      <patternFill patternType="solid">
        <fgColor theme="4"/>
        <bgColor indexed="64"/>
      </patternFill>
    </fill>
    <fill>
      <patternFill patternType="solid">
        <fgColor theme="9"/>
        <bgColor indexed="64"/>
      </patternFill>
    </fill>
    <fill>
      <patternFill patternType="solid">
        <fgColor rgb="FFFFC000"/>
        <bgColor indexed="64"/>
      </patternFill>
    </fill>
    <fill>
      <patternFill patternType="solid">
        <fgColor theme="5" tint="0.79998168889431442"/>
        <bgColor indexed="64"/>
      </patternFill>
    </fill>
    <fill>
      <patternFill patternType="solid">
        <fgColor theme="9" tint="0.59999389629810485"/>
        <bgColor theme="9" tint="0.59999389629810485"/>
      </patternFill>
    </fill>
    <fill>
      <patternFill patternType="solid">
        <fgColor theme="9" tint="0.79998168889431442"/>
        <bgColor theme="9" tint="0.79998168889431442"/>
      </patternFill>
    </fill>
  </fills>
  <borders count="8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B0F0"/>
      </left>
      <right/>
      <top style="medium">
        <color rgb="FF00B0F0"/>
      </top>
      <bottom/>
      <diagonal/>
    </border>
    <border>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top style="medium">
        <color theme="9"/>
      </top>
      <bottom/>
      <diagonal/>
    </border>
    <border>
      <left/>
      <right/>
      <top/>
      <bottom style="medium">
        <color theme="9"/>
      </bottom>
      <diagonal/>
    </border>
    <border>
      <left/>
      <right/>
      <top/>
      <bottom style="medium">
        <color rgb="FFFFC000"/>
      </bottom>
      <diagonal/>
    </border>
    <border>
      <left/>
      <right style="thin">
        <color rgb="FF00B050"/>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DashDot">
        <color indexed="64"/>
      </left>
      <right style="mediumDashDot">
        <color indexed="64"/>
      </right>
      <top style="mediumDashDot">
        <color indexed="64"/>
      </top>
      <bottom/>
      <diagonal/>
    </border>
    <border>
      <left style="mediumDashDot">
        <color indexed="64"/>
      </left>
      <right style="mediumDashDot">
        <color indexed="64"/>
      </right>
      <top/>
      <bottom/>
      <diagonal/>
    </border>
    <border>
      <left style="mediumDashDot">
        <color indexed="64"/>
      </left>
      <right style="mediumDashDot">
        <color indexed="64"/>
      </right>
      <top/>
      <bottom style="mediumDashDot">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4" fillId="0" borderId="0" applyNumberFormat="0" applyFill="0" applyBorder="0" applyAlignment="0" applyProtection="0"/>
  </cellStyleXfs>
  <cellXfs count="779">
    <xf numFmtId="0" fontId="0" fillId="0" borderId="0" xfId="0"/>
    <xf numFmtId="0" fontId="0" fillId="0" borderId="0" xfId="0" applyAlignment="1">
      <alignment horizontal="center" vertical="center"/>
    </xf>
    <xf numFmtId="0" fontId="0" fillId="0" borderId="12" xfId="0" applyBorder="1" applyAlignment="1">
      <alignment wrapText="1"/>
    </xf>
    <xf numFmtId="0" fontId="0" fillId="0" borderId="12" xfId="0" applyBorder="1" applyAlignment="1">
      <alignment vertical="center" wrapText="1"/>
    </xf>
    <xf numFmtId="0" fontId="0" fillId="0" borderId="15" xfId="0" applyBorder="1" applyAlignment="1">
      <alignment horizontal="center" vertical="center"/>
    </xf>
    <xf numFmtId="0" fontId="0" fillId="0" borderId="16" xfId="0" applyFill="1" applyBorder="1"/>
    <xf numFmtId="0" fontId="0" fillId="0" borderId="16" xfId="0" applyBorder="1"/>
    <xf numFmtId="0" fontId="9" fillId="8" borderId="16" xfId="0" applyFont="1" applyFill="1" applyBorder="1"/>
    <xf numFmtId="0" fontId="0" fillId="0" borderId="18" xfId="0" applyBorder="1"/>
    <xf numFmtId="0" fontId="0" fillId="7" borderId="16" xfId="0" applyFill="1" applyBorder="1" applyAlignment="1" applyProtection="1">
      <alignment horizontal="center" vertical="center"/>
      <protection hidden="1"/>
    </xf>
    <xf numFmtId="0" fontId="0" fillId="0" borderId="1" xfId="0" applyBorder="1" applyProtection="1">
      <protection locked="0" hidden="1"/>
    </xf>
    <xf numFmtId="0" fontId="0" fillId="0" borderId="2" xfId="0" applyBorder="1" applyProtection="1">
      <protection locked="0" hidden="1"/>
    </xf>
    <xf numFmtId="0" fontId="0" fillId="0" borderId="2" xfId="0" applyBorder="1" applyAlignment="1" applyProtection="1">
      <alignment vertical="center"/>
      <protection locked="0" hidden="1"/>
    </xf>
    <xf numFmtId="0" fontId="0" fillId="0" borderId="3" xfId="0" applyFill="1" applyBorder="1" applyProtection="1">
      <protection locked="0" hidden="1"/>
    </xf>
    <xf numFmtId="0" fontId="0" fillId="0" borderId="0" xfId="0" applyFill="1" applyBorder="1" applyProtection="1">
      <protection locked="0" hidden="1"/>
    </xf>
    <xf numFmtId="0" fontId="7" fillId="0" borderId="0" xfId="0" applyFont="1" applyFill="1" applyBorder="1" applyProtection="1">
      <protection locked="0" hidden="1"/>
    </xf>
    <xf numFmtId="0" fontId="7" fillId="0" borderId="0" xfId="0" applyFont="1" applyFill="1" applyProtection="1">
      <protection locked="0" hidden="1"/>
    </xf>
    <xf numFmtId="0" fontId="7" fillId="0" borderId="0" xfId="0" applyFont="1" applyFill="1" applyAlignment="1" applyProtection="1">
      <alignment horizontal="center"/>
      <protection locked="0" hidden="1"/>
    </xf>
    <xf numFmtId="0" fontId="12" fillId="0" borderId="0" xfId="0" applyFont="1" applyFill="1" applyAlignment="1" applyProtection="1">
      <alignment horizontal="center" vertical="center"/>
      <protection locked="0" hidden="1"/>
    </xf>
    <xf numFmtId="0" fontId="3" fillId="0" borderId="0" xfId="0" applyFont="1" applyFill="1" applyProtection="1">
      <protection locked="0" hidden="1"/>
    </xf>
    <xf numFmtId="0" fontId="3" fillId="0" borderId="0" xfId="0" applyFont="1" applyFill="1" applyBorder="1" applyAlignment="1" applyProtection="1">
      <protection locked="0" hidden="1"/>
    </xf>
    <xf numFmtId="0" fontId="0" fillId="0" borderId="0" xfId="0" applyBorder="1" applyProtection="1">
      <protection locked="0" hidden="1"/>
    </xf>
    <xf numFmtId="0" fontId="0" fillId="0" borderId="0" xfId="0" applyBorder="1" applyAlignment="1" applyProtection="1">
      <alignment vertical="center"/>
      <protection locked="0" hidden="1"/>
    </xf>
    <xf numFmtId="0" fontId="0" fillId="0" borderId="5" xfId="0" applyFill="1" applyBorder="1" applyProtection="1">
      <protection locked="0" hidden="1"/>
    </xf>
    <xf numFmtId="0" fontId="3" fillId="8" borderId="10" xfId="0" applyFont="1" applyFill="1" applyBorder="1" applyAlignment="1" applyProtection="1">
      <alignment horizontal="center"/>
      <protection locked="0" hidden="1"/>
    </xf>
    <xf numFmtId="0" fontId="3" fillId="8" borderId="9" xfId="0" applyFont="1" applyFill="1" applyBorder="1" applyAlignment="1" applyProtection="1">
      <alignment horizontal="center"/>
      <protection locked="0" hidden="1"/>
    </xf>
    <xf numFmtId="0" fontId="3" fillId="8" borderId="11" xfId="0" applyFont="1" applyFill="1" applyBorder="1" applyAlignment="1" applyProtection="1">
      <alignment horizontal="center"/>
      <protection locked="0" hidden="1"/>
    </xf>
    <xf numFmtId="0" fontId="3" fillId="0" borderId="0" xfId="0" applyFont="1" applyFill="1" applyAlignment="1" applyProtection="1">
      <alignment horizontal="center"/>
      <protection locked="0" hidden="1"/>
    </xf>
    <xf numFmtId="0" fontId="7" fillId="0" borderId="0" xfId="0" applyFont="1" applyFill="1" applyAlignment="1" applyProtection="1">
      <alignment horizontal="center" vertical="center"/>
      <protection locked="0" hidden="1"/>
    </xf>
    <xf numFmtId="16" fontId="7" fillId="0" borderId="0" xfId="0" applyNumberFormat="1" applyFont="1" applyProtection="1">
      <protection locked="0" hidden="1"/>
    </xf>
    <xf numFmtId="0" fontId="7" fillId="0" borderId="0" xfId="0" applyFont="1" applyProtection="1">
      <protection locked="0" hidden="1"/>
    </xf>
    <xf numFmtId="0" fontId="0" fillId="0" borderId="4" xfId="0" applyBorder="1" applyProtection="1">
      <protection locked="0" hidden="1"/>
    </xf>
    <xf numFmtId="0" fontId="3" fillId="4" borderId="0" xfId="0" applyFont="1" applyFill="1" applyBorder="1" applyAlignment="1" applyProtection="1">
      <alignment horizontal="center"/>
      <protection locked="0" hidden="1"/>
    </xf>
    <xf numFmtId="0" fontId="3" fillId="3" borderId="0" xfId="0" applyFont="1" applyFill="1" applyBorder="1" applyAlignment="1" applyProtection="1">
      <alignment horizontal="center"/>
      <protection locked="0" hidden="1"/>
    </xf>
    <xf numFmtId="0" fontId="3" fillId="9" borderId="4" xfId="0" applyFont="1" applyFill="1" applyBorder="1" applyAlignment="1" applyProtection="1">
      <alignment horizontal="center"/>
      <protection locked="0" hidden="1"/>
    </xf>
    <xf numFmtId="0" fontId="3" fillId="9" borderId="0" xfId="0" applyFont="1" applyFill="1" applyBorder="1" applyAlignment="1" applyProtection="1">
      <alignment horizontal="center"/>
      <protection locked="0" hidden="1"/>
    </xf>
    <xf numFmtId="0" fontId="3" fillId="0" borderId="5" xfId="0" applyFont="1" applyFill="1" applyBorder="1" applyAlignment="1" applyProtection="1">
      <alignment horizontal="center"/>
      <protection locked="0" hidden="1"/>
    </xf>
    <xf numFmtId="0" fontId="3" fillId="6" borderId="0" xfId="0" applyFont="1" applyFill="1" applyBorder="1" applyAlignment="1" applyProtection="1">
      <alignment horizontal="center"/>
      <protection locked="0" hidden="1"/>
    </xf>
    <xf numFmtId="0" fontId="0" fillId="2" borderId="0" xfId="0" applyFill="1" applyBorder="1" applyProtection="1">
      <protection locked="0" hidden="1"/>
    </xf>
    <xf numFmtId="0" fontId="13" fillId="0" borderId="0" xfId="1" applyFont="1" applyFill="1" applyAlignment="1" applyProtection="1">
      <alignment horizontal="center" vertical="center"/>
      <protection locked="0" hidden="1"/>
    </xf>
    <xf numFmtId="0" fontId="3" fillId="0" borderId="0" xfId="0" applyFont="1" applyFill="1" applyBorder="1" applyAlignment="1" applyProtection="1">
      <alignment horizontal="center" vertical="center"/>
      <protection locked="0" hidden="1"/>
    </xf>
    <xf numFmtId="0" fontId="3" fillId="0" borderId="4" xfId="0" applyFont="1" applyFill="1" applyBorder="1" applyAlignment="1" applyProtection="1">
      <alignment horizontal="center"/>
      <protection locked="0" hidden="1"/>
    </xf>
    <xf numFmtId="0" fontId="3" fillId="0" borderId="0" xfId="0" applyFont="1" applyAlignment="1" applyProtection="1">
      <alignment horizontal="center"/>
      <protection locked="0" hidden="1"/>
    </xf>
    <xf numFmtId="0" fontId="3" fillId="0" borderId="6" xfId="0" applyFont="1" applyFill="1" applyBorder="1" applyAlignment="1" applyProtection="1">
      <alignment horizontal="center"/>
      <protection locked="0" hidden="1"/>
    </xf>
    <xf numFmtId="0" fontId="3" fillId="0" borderId="7" xfId="0" applyFont="1" applyFill="1" applyBorder="1" applyAlignment="1" applyProtection="1">
      <alignment horizontal="center"/>
      <protection locked="0" hidden="1"/>
    </xf>
    <xf numFmtId="0" fontId="3" fillId="0" borderId="8" xfId="0" applyFont="1" applyFill="1" applyBorder="1" applyAlignment="1" applyProtection="1">
      <alignment horizontal="center"/>
      <protection locked="0" hidden="1"/>
    </xf>
    <xf numFmtId="0" fontId="14" fillId="0" borderId="0" xfId="0" applyFont="1" applyFill="1" applyAlignment="1" applyProtection="1">
      <alignment horizontal="center" vertical="center"/>
      <protection locked="0" hidden="1"/>
    </xf>
    <xf numFmtId="0" fontId="2" fillId="0" borderId="5" xfId="0" applyFont="1" applyFill="1" applyBorder="1" applyAlignment="1" applyProtection="1">
      <alignment horizontal="center"/>
      <protection locked="0" hidden="1"/>
    </xf>
    <xf numFmtId="0" fontId="12" fillId="0" borderId="0" xfId="0" applyFont="1" applyFill="1" applyBorder="1" applyAlignment="1" applyProtection="1">
      <alignment horizontal="center"/>
      <protection locked="0" hidden="1"/>
    </xf>
    <xf numFmtId="0" fontId="0" fillId="0" borderId="0" xfId="0" applyProtection="1">
      <protection locked="0" hidden="1"/>
    </xf>
    <xf numFmtId="0" fontId="0" fillId="0" borderId="0" xfId="0" applyBorder="1" applyAlignment="1" applyProtection="1">
      <alignment horizontal="center"/>
      <protection locked="0" hidden="1"/>
    </xf>
    <xf numFmtId="0" fontId="3" fillId="0" borderId="4" xfId="0" applyFont="1" applyBorder="1" applyAlignment="1" applyProtection="1">
      <alignment horizontal="left"/>
      <protection locked="0" hidden="1"/>
    </xf>
    <xf numFmtId="0" fontId="3" fillId="0" borderId="0" xfId="0" applyFont="1" applyBorder="1" applyProtection="1">
      <protection locked="0" hidden="1"/>
    </xf>
    <xf numFmtId="2" fontId="0" fillId="0" borderId="0" xfId="0" applyNumberFormat="1" applyBorder="1" applyAlignment="1" applyProtection="1">
      <alignment horizontal="center"/>
      <protection locked="0" hidden="1"/>
    </xf>
    <xf numFmtId="0" fontId="0" fillId="0" borderId="0" xfId="0" applyAlignment="1" applyProtection="1">
      <alignment vertical="center"/>
      <protection locked="0" hidden="1"/>
    </xf>
    <xf numFmtId="0" fontId="11" fillId="0" borderId="0" xfId="0" applyFont="1" applyBorder="1" applyProtection="1">
      <protection locked="0" hidden="1"/>
    </xf>
    <xf numFmtId="0" fontId="0" fillId="0" borderId="19" xfId="0" applyBorder="1" applyAlignment="1" applyProtection="1">
      <alignment horizontal="center"/>
      <protection locked="0" hidden="1"/>
    </xf>
    <xf numFmtId="0" fontId="2" fillId="3" borderId="0" xfId="0" applyFont="1" applyFill="1" applyBorder="1" applyAlignment="1" applyProtection="1">
      <alignment horizontal="center"/>
      <protection locked="0" hidden="1"/>
    </xf>
    <xf numFmtId="0" fontId="0" fillId="0" borderId="6" xfId="0" applyBorder="1" applyProtection="1">
      <protection locked="0" hidden="1"/>
    </xf>
    <xf numFmtId="0" fontId="0" fillId="0" borderId="7" xfId="0" applyBorder="1" applyProtection="1">
      <protection locked="0" hidden="1"/>
    </xf>
    <xf numFmtId="0" fontId="0" fillId="0" borderId="7" xfId="0" applyBorder="1" applyAlignment="1" applyProtection="1">
      <alignment horizontal="center"/>
      <protection locked="0" hidden="1"/>
    </xf>
    <xf numFmtId="0" fontId="0" fillId="0" borderId="0" xfId="0" applyFill="1" applyProtection="1">
      <protection locked="0" hidden="1"/>
    </xf>
    <xf numFmtId="0" fontId="3" fillId="0" borderId="0" xfId="0" applyFont="1" applyFill="1" applyAlignment="1" applyProtection="1">
      <protection locked="0" hidden="1"/>
    </xf>
    <xf numFmtId="0" fontId="3" fillId="3" borderId="0" xfId="0" applyFont="1" applyFill="1" applyAlignment="1" applyProtection="1">
      <alignment horizontal="center"/>
      <protection locked="0" hidden="1"/>
    </xf>
    <xf numFmtId="0" fontId="3" fillId="6" borderId="0" xfId="0" applyFont="1" applyFill="1" applyAlignment="1" applyProtection="1">
      <alignment horizontal="center"/>
      <protection locked="0" hidden="1"/>
    </xf>
    <xf numFmtId="0" fontId="0" fillId="2" borderId="0" xfId="0" applyFill="1" applyProtection="1">
      <protection locked="0" hidden="1"/>
    </xf>
    <xf numFmtId="0" fontId="2" fillId="0" borderId="0" xfId="0" applyFont="1" applyFill="1" applyAlignment="1" applyProtection="1">
      <alignment horizontal="center"/>
      <protection locked="0" hidden="1"/>
    </xf>
    <xf numFmtId="0" fontId="3" fillId="0" borderId="0" xfId="0" applyFont="1" applyAlignment="1" applyProtection="1">
      <alignment horizontal="left"/>
      <protection locked="0" hidden="1"/>
    </xf>
    <xf numFmtId="0" fontId="3" fillId="0" borderId="0" xfId="0" applyFont="1" applyProtection="1">
      <protection locked="0" hidden="1"/>
    </xf>
    <xf numFmtId="0" fontId="7" fillId="0" borderId="0" xfId="0" applyFont="1" applyFill="1" applyBorder="1" applyAlignment="1" applyProtection="1">
      <alignment horizontal="center"/>
      <protection locked="0" hidden="1"/>
    </xf>
    <xf numFmtId="0" fontId="3" fillId="0" borderId="2" xfId="0" applyFont="1" applyBorder="1" applyProtection="1">
      <protection locked="0" hidden="1"/>
    </xf>
    <xf numFmtId="0" fontId="3" fillId="0" borderId="2" xfId="0" applyFont="1" applyFill="1" applyBorder="1" applyProtection="1">
      <protection locked="0" hidden="1"/>
    </xf>
    <xf numFmtId="0" fontId="0" fillId="0" borderId="3" xfId="0" applyBorder="1" applyProtection="1">
      <protection locked="0" hidden="1"/>
    </xf>
    <xf numFmtId="0" fontId="0" fillId="0" borderId="5" xfId="0" applyBorder="1" applyProtection="1">
      <protection locked="0" hidden="1"/>
    </xf>
    <xf numFmtId="0" fontId="3" fillId="0" borderId="0" xfId="0" applyFont="1" applyFill="1" applyBorder="1" applyProtection="1">
      <protection locked="0" hidden="1"/>
    </xf>
    <xf numFmtId="0" fontId="2" fillId="8" borderId="4" xfId="0" applyFont="1" applyFill="1" applyBorder="1" applyAlignment="1" applyProtection="1">
      <alignment horizontal="left"/>
      <protection locked="0" hidden="1"/>
    </xf>
    <xf numFmtId="0" fontId="3" fillId="0" borderId="4" xfId="0" applyFont="1" applyBorder="1" applyAlignment="1" applyProtection="1">
      <alignment horizontal="center"/>
      <protection locked="0" hidden="1"/>
    </xf>
    <xf numFmtId="0" fontId="3" fillId="0" borderId="5" xfId="0" applyFont="1" applyBorder="1" applyAlignment="1" applyProtection="1">
      <alignment horizontal="center"/>
      <protection locked="0" hidden="1"/>
    </xf>
    <xf numFmtId="0" fontId="5" fillId="0" borderId="0" xfId="0" applyFont="1" applyFill="1" applyBorder="1" applyAlignment="1" applyProtection="1">
      <alignment horizontal="center" vertical="center"/>
      <protection locked="0" hidden="1"/>
    </xf>
    <xf numFmtId="0" fontId="8" fillId="8" borderId="1" xfId="0" applyFont="1" applyFill="1" applyBorder="1" applyAlignment="1" applyProtection="1">
      <alignment vertical="center"/>
      <protection locked="0" hidden="1"/>
    </xf>
    <xf numFmtId="0" fontId="8" fillId="8" borderId="2" xfId="0" applyFont="1" applyFill="1" applyBorder="1" applyAlignment="1" applyProtection="1">
      <alignment vertical="center"/>
      <protection locked="0" hidden="1"/>
    </xf>
    <xf numFmtId="0" fontId="8" fillId="8" borderId="2" xfId="0" applyFont="1" applyFill="1" applyBorder="1" applyAlignment="1" applyProtection="1">
      <alignment horizontal="center" vertical="center"/>
      <protection locked="0" hidden="1"/>
    </xf>
    <xf numFmtId="0" fontId="8" fillId="8" borderId="3" xfId="0" applyFont="1" applyFill="1" applyBorder="1" applyAlignment="1" applyProtection="1">
      <alignment horizontal="center" vertical="center"/>
      <protection locked="0" hidden="1"/>
    </xf>
    <xf numFmtId="0" fontId="0" fillId="0" borderId="5" xfId="0" applyBorder="1" applyAlignment="1" applyProtection="1">
      <alignment horizontal="center"/>
      <protection locked="0" hidden="1"/>
    </xf>
    <xf numFmtId="0" fontId="3" fillId="0" borderId="6" xfId="0" applyFont="1" applyBorder="1" applyAlignment="1" applyProtection="1">
      <alignment horizontal="center"/>
      <protection locked="0" hidden="1"/>
    </xf>
    <xf numFmtId="0" fontId="2" fillId="3" borderId="7" xfId="0" applyFont="1" applyFill="1" applyBorder="1" applyAlignment="1" applyProtection="1">
      <alignment horizontal="center"/>
      <protection locked="0" hidden="1"/>
    </xf>
    <xf numFmtId="0" fontId="0" fillId="0" borderId="8" xfId="0" applyBorder="1" applyAlignment="1" applyProtection="1">
      <alignment horizontal="center"/>
      <protection locked="0" hidden="1"/>
    </xf>
    <xf numFmtId="0" fontId="0" fillId="0" borderId="8" xfId="0" applyBorder="1" applyProtection="1">
      <protection locked="0" hidden="1"/>
    </xf>
    <xf numFmtId="0" fontId="3" fillId="4" borderId="2" xfId="0" applyFont="1" applyFill="1" applyBorder="1" applyAlignment="1" applyProtection="1">
      <alignment horizontal="center"/>
      <protection locked="0" hidden="1"/>
    </xf>
    <xf numFmtId="0" fontId="3" fillId="0" borderId="0" xfId="0" quotePrefix="1" applyFont="1" applyBorder="1" applyAlignment="1" applyProtection="1">
      <alignment horizontal="center"/>
      <protection locked="0" hidden="1"/>
    </xf>
    <xf numFmtId="0" fontId="3" fillId="4" borderId="0" xfId="0" quotePrefix="1" applyFont="1" applyFill="1" applyBorder="1" applyAlignment="1" applyProtection="1">
      <alignment horizontal="center"/>
      <protection locked="0" hidden="1"/>
    </xf>
    <xf numFmtId="0" fontId="7" fillId="0" borderId="0" xfId="0" applyFont="1" applyFill="1" applyAlignment="1" applyProtection="1">
      <alignment vertical="center"/>
      <protection locked="0" hidden="1"/>
    </xf>
    <xf numFmtId="0" fontId="2" fillId="3" borderId="5" xfId="0" applyFont="1" applyFill="1" applyBorder="1" applyAlignment="1" applyProtection="1">
      <alignment horizontal="center"/>
      <protection locked="0" hidden="1"/>
    </xf>
    <xf numFmtId="0" fontId="3" fillId="0" borderId="7" xfId="0" applyFont="1" applyBorder="1" applyAlignment="1" applyProtection="1">
      <alignment horizontal="center"/>
      <protection locked="0" hidden="1"/>
    </xf>
    <xf numFmtId="0" fontId="2" fillId="3" borderId="8" xfId="0" applyFont="1" applyFill="1" applyBorder="1" applyAlignment="1" applyProtection="1">
      <alignment horizontal="center"/>
      <protection locked="0" hidden="1"/>
    </xf>
    <xf numFmtId="0" fontId="0" fillId="4" borderId="0" xfId="0" applyFill="1" applyProtection="1">
      <protection locked="0" hidden="1"/>
    </xf>
    <xf numFmtId="0" fontId="3" fillId="3" borderId="0" xfId="0" applyFont="1" applyFill="1" applyAlignment="1" applyProtection="1">
      <alignment horizontal="center" vertical="center"/>
      <protection locked="0" hidden="1"/>
    </xf>
    <xf numFmtId="0" fontId="3" fillId="0" borderId="0" xfId="0" applyFont="1" applyFill="1" applyAlignment="1" applyProtection="1">
      <alignment horizontal="center" vertical="center"/>
      <protection locked="0" hidden="1"/>
    </xf>
    <xf numFmtId="0" fontId="3" fillId="0" borderId="0" xfId="0" applyFont="1" applyAlignment="1" applyProtection="1">
      <alignment horizontal="center" vertical="center"/>
      <protection locked="0" hidden="1"/>
    </xf>
    <xf numFmtId="0" fontId="3" fillId="0" borderId="8" xfId="0" applyFont="1" applyBorder="1" applyAlignment="1" applyProtection="1">
      <alignment horizontal="center"/>
      <protection locked="0" hidden="1"/>
    </xf>
    <xf numFmtId="0" fontId="2" fillId="5" borderId="2" xfId="0" applyFont="1" applyFill="1" applyBorder="1" applyAlignment="1" applyProtection="1">
      <alignment horizontal="center"/>
      <protection locked="0" hidden="1"/>
    </xf>
    <xf numFmtId="0" fontId="2" fillId="8" borderId="6" xfId="0" applyFont="1" applyFill="1" applyBorder="1" applyAlignment="1" applyProtection="1">
      <alignment horizontal="center"/>
      <protection locked="0" hidden="1"/>
    </xf>
    <xf numFmtId="0" fontId="2" fillId="5" borderId="7" xfId="0" applyFont="1" applyFill="1" applyBorder="1" applyAlignment="1" applyProtection="1">
      <alignment horizontal="center"/>
      <protection locked="0" hidden="1"/>
    </xf>
    <xf numFmtId="0" fontId="0" fillId="0" borderId="6" xfId="0" applyBorder="1" applyAlignment="1" applyProtection="1">
      <alignment horizontal="center"/>
      <protection locked="0" hidden="1"/>
    </xf>
    <xf numFmtId="0" fontId="3" fillId="7" borderId="5" xfId="0" applyFont="1" applyFill="1" applyBorder="1" applyAlignment="1" applyProtection="1">
      <alignment horizontal="center"/>
      <protection locked="0" hidden="1"/>
    </xf>
    <xf numFmtId="0" fontId="2" fillId="0" borderId="4" xfId="0" applyFont="1" applyFill="1" applyBorder="1" applyAlignment="1" applyProtection="1">
      <alignment horizontal="center"/>
      <protection locked="0" hidden="1"/>
    </xf>
    <xf numFmtId="0" fontId="3" fillId="0" borderId="5" xfId="0" applyFont="1" applyFill="1" applyBorder="1" applyAlignment="1" applyProtection="1">
      <alignment horizontal="center" vertical="center"/>
      <protection locked="0" hidden="1"/>
    </xf>
    <xf numFmtId="0" fontId="1" fillId="8" borderId="20" xfId="0" applyFont="1" applyFill="1" applyBorder="1" applyProtection="1">
      <protection locked="0" hidden="1"/>
    </xf>
    <xf numFmtId="0" fontId="3" fillId="0" borderId="21" xfId="0" applyFont="1" applyFill="1" applyBorder="1" applyAlignment="1" applyProtection="1">
      <alignment horizontal="center"/>
      <protection locked="0" hidden="1"/>
    </xf>
    <xf numFmtId="0" fontId="3" fillId="0" borderId="22" xfId="0" applyFont="1" applyFill="1" applyBorder="1" applyAlignment="1" applyProtection="1">
      <alignment horizontal="center"/>
      <protection locked="0" hidden="1"/>
    </xf>
    <xf numFmtId="0" fontId="3" fillId="0" borderId="23" xfId="0" applyFont="1" applyFill="1" applyBorder="1" applyAlignment="1" applyProtection="1">
      <alignment horizontal="center"/>
      <protection locked="0" hidden="1"/>
    </xf>
    <xf numFmtId="0" fontId="2" fillId="5" borderId="24" xfId="0" applyFont="1" applyFill="1" applyBorder="1" applyAlignment="1" applyProtection="1">
      <alignment horizontal="center"/>
      <protection locked="0" hidden="1"/>
    </xf>
    <xf numFmtId="0" fontId="3" fillId="0" borderId="23" xfId="0" applyFont="1" applyBorder="1" applyAlignment="1" applyProtection="1">
      <alignment horizontal="center"/>
      <protection locked="0" hidden="1"/>
    </xf>
    <xf numFmtId="0" fontId="3" fillId="0" borderId="25" xfId="0" applyFont="1" applyBorder="1" applyAlignment="1" applyProtection="1">
      <alignment horizontal="center"/>
      <protection locked="0" hidden="1"/>
    </xf>
    <xf numFmtId="0" fontId="3" fillId="0" borderId="26" xfId="0" applyFont="1" applyBorder="1" applyAlignment="1" applyProtection="1">
      <alignment horizontal="center"/>
      <protection locked="0" hidden="1"/>
    </xf>
    <xf numFmtId="0" fontId="0" fillId="0" borderId="27" xfId="0" applyBorder="1" applyProtection="1">
      <protection locked="0" hidden="1"/>
    </xf>
    <xf numFmtId="0" fontId="0" fillId="0" borderId="28" xfId="0" applyBorder="1" applyProtection="1">
      <protection locked="0" hidden="1"/>
    </xf>
    <xf numFmtId="0" fontId="0" fillId="0" borderId="29" xfId="0" applyBorder="1" applyProtection="1">
      <protection locked="0" hidden="1"/>
    </xf>
    <xf numFmtId="0" fontId="3" fillId="0" borderId="7" xfId="0" applyFont="1" applyFill="1" applyBorder="1" applyAlignment="1" applyProtection="1">
      <alignment horizontal="center" vertical="center"/>
      <protection locked="0" hidden="1"/>
    </xf>
    <xf numFmtId="0" fontId="0" fillId="0" borderId="30" xfId="0" applyBorder="1" applyProtection="1">
      <protection locked="0" hidden="1"/>
    </xf>
    <xf numFmtId="0" fontId="2" fillId="8" borderId="20" xfId="0" applyFont="1" applyFill="1" applyBorder="1" applyAlignment="1" applyProtection="1">
      <alignment horizontal="center"/>
      <protection locked="0" hidden="1"/>
    </xf>
    <xf numFmtId="0" fontId="0" fillId="8" borderId="19" xfId="0" applyFill="1" applyBorder="1" applyAlignment="1" applyProtection="1">
      <alignment horizontal="center"/>
      <protection locked="0" hidden="1"/>
    </xf>
    <xf numFmtId="0" fontId="0" fillId="8" borderId="11" xfId="0" applyFill="1" applyBorder="1" applyAlignment="1" applyProtection="1">
      <alignment horizontal="center"/>
      <protection locked="0" hidden="1"/>
    </xf>
    <xf numFmtId="0" fontId="0" fillId="0" borderId="31" xfId="0" applyBorder="1" applyAlignment="1" applyProtection="1">
      <alignment horizontal="center"/>
      <protection locked="0" hidden="1"/>
    </xf>
    <xf numFmtId="0" fontId="0" fillId="0" borderId="32" xfId="0" applyBorder="1" applyAlignment="1" applyProtection="1">
      <alignment horizontal="center"/>
      <protection locked="0" hidden="1"/>
    </xf>
    <xf numFmtId="0" fontId="0" fillId="8" borderId="32" xfId="0" applyFill="1" applyBorder="1" applyAlignment="1" applyProtection="1">
      <alignment horizontal="center"/>
      <protection locked="0" hidden="1"/>
    </xf>
    <xf numFmtId="0" fontId="0" fillId="8" borderId="8" xfId="0" applyFill="1" applyBorder="1" applyAlignment="1" applyProtection="1">
      <alignment horizontal="center"/>
      <protection locked="0" hidden="1"/>
    </xf>
    <xf numFmtId="0" fontId="0" fillId="0" borderId="0" xfId="0" applyBorder="1" applyProtection="1">
      <protection hidden="1"/>
    </xf>
    <xf numFmtId="0" fontId="0" fillId="0" borderId="0" xfId="0" applyProtection="1">
      <protection hidden="1"/>
    </xf>
    <xf numFmtId="0" fontId="3" fillId="0" borderId="0" xfId="0" applyFont="1" applyBorder="1" applyProtection="1">
      <protection hidden="1"/>
    </xf>
    <xf numFmtId="0" fontId="12" fillId="0" borderId="0" xfId="0" applyFont="1" applyFill="1" applyProtection="1">
      <protection locked="0" hidden="1"/>
    </xf>
    <xf numFmtId="0" fontId="2" fillId="3" borderId="3" xfId="0" applyFont="1" applyFill="1" applyBorder="1" applyAlignment="1" applyProtection="1">
      <alignment horizontal="center"/>
      <protection locked="0" hidden="1"/>
    </xf>
    <xf numFmtId="0" fontId="0" fillId="0" borderId="1" xfId="0" applyBorder="1" applyAlignment="1" applyProtection="1">
      <alignment horizontal="center"/>
      <protection locked="0" hidden="1"/>
    </xf>
    <xf numFmtId="0" fontId="0" fillId="0" borderId="2" xfId="0" applyBorder="1" applyAlignment="1" applyProtection="1">
      <alignment horizontal="center"/>
      <protection locked="0" hidden="1"/>
    </xf>
    <xf numFmtId="0" fontId="0" fillId="0" borderId="3" xfId="0" applyBorder="1" applyAlignment="1" applyProtection="1">
      <alignment horizontal="center"/>
      <protection locked="0" hidden="1"/>
    </xf>
    <xf numFmtId="0" fontId="0" fillId="0" borderId="4" xfId="0" applyBorder="1" applyAlignment="1" applyProtection="1">
      <alignment horizontal="center"/>
      <protection locked="0" hidden="1"/>
    </xf>
    <xf numFmtId="0" fontId="7" fillId="0" borderId="12" xfId="0" applyFont="1" applyFill="1" applyBorder="1" applyAlignment="1" applyProtection="1">
      <alignment horizontal="center"/>
      <protection locked="0" hidden="1"/>
    </xf>
    <xf numFmtId="0" fontId="12" fillId="11" borderId="12" xfId="0" applyFont="1" applyFill="1" applyBorder="1" applyAlignment="1" applyProtection="1">
      <alignment horizontal="center"/>
      <protection locked="0" hidden="1"/>
    </xf>
    <xf numFmtId="0" fontId="1" fillId="0" borderId="12" xfId="0" applyFont="1" applyFill="1" applyBorder="1" applyAlignment="1" applyProtection="1">
      <alignment horizontal="center" vertical="center"/>
      <protection locked="0" hidden="1"/>
    </xf>
    <xf numFmtId="0" fontId="15" fillId="0" borderId="12" xfId="0" applyFont="1" applyFill="1" applyBorder="1" applyAlignment="1" applyProtection="1">
      <alignment horizontal="center"/>
      <protection locked="0" hidden="1"/>
    </xf>
    <xf numFmtId="0" fontId="0" fillId="0" borderId="12" xfId="0" applyFont="1" applyFill="1" applyBorder="1" applyAlignment="1" applyProtection="1">
      <alignment horizontal="center"/>
      <protection locked="0" hidden="1"/>
    </xf>
    <xf numFmtId="0" fontId="0" fillId="12" borderId="12" xfId="0" applyFont="1" applyFill="1" applyBorder="1" applyAlignment="1" applyProtection="1">
      <alignment horizontal="center"/>
      <protection locked="0" hidden="1"/>
    </xf>
    <xf numFmtId="0" fontId="3" fillId="0" borderId="12" xfId="0" applyFont="1" applyFill="1" applyBorder="1" applyAlignment="1" applyProtection="1">
      <alignment horizontal="center"/>
      <protection locked="0" hidden="1"/>
    </xf>
    <xf numFmtId="0" fontId="3" fillId="12" borderId="12" xfId="0" applyFont="1" applyFill="1" applyBorder="1" applyAlignment="1" applyProtection="1">
      <alignment horizontal="center"/>
      <protection locked="0" hidden="1"/>
    </xf>
    <xf numFmtId="0" fontId="16" fillId="0" borderId="12" xfId="0" applyFont="1" applyFill="1" applyBorder="1" applyAlignment="1" applyProtection="1">
      <alignment horizontal="center"/>
      <protection locked="0" hidden="1"/>
    </xf>
    <xf numFmtId="0" fontId="17" fillId="0" borderId="12" xfId="0" applyFont="1" applyFill="1" applyBorder="1" applyAlignment="1" applyProtection="1">
      <alignment horizontal="center"/>
      <protection locked="0" hidden="1"/>
    </xf>
    <xf numFmtId="0" fontId="12" fillId="0" borderId="12" xfId="0" applyFont="1" applyFill="1" applyBorder="1" applyAlignment="1" applyProtection="1">
      <alignment horizontal="center" vertical="center"/>
      <protection locked="0" hidden="1"/>
    </xf>
    <xf numFmtId="0" fontId="3" fillId="0" borderId="2" xfId="0" applyFont="1" applyBorder="1" applyAlignment="1" applyProtection="1">
      <alignment horizontal="center"/>
      <protection locked="0" hidden="1"/>
    </xf>
    <xf numFmtId="0" fontId="3" fillId="0" borderId="0" xfId="0" applyFont="1" applyBorder="1" applyAlignment="1" applyProtection="1">
      <alignment horizontal="center"/>
      <protection locked="0" hidden="1"/>
    </xf>
    <xf numFmtId="0" fontId="2" fillId="8" borderId="1" xfId="0" applyFont="1" applyFill="1" applyBorder="1" applyAlignment="1" applyProtection="1">
      <alignment horizontal="center"/>
      <protection locked="0" hidden="1"/>
    </xf>
    <xf numFmtId="14" fontId="3" fillId="4" borderId="0" xfId="0" applyNumberFormat="1" applyFont="1" applyFill="1" applyBorder="1" applyAlignment="1" applyProtection="1">
      <alignment horizontal="left"/>
      <protection locked="0" hidden="1"/>
    </xf>
    <xf numFmtId="0" fontId="3" fillId="0" borderId="1" xfId="0" applyFont="1" applyBorder="1" applyAlignment="1" applyProtection="1">
      <alignment horizontal="left"/>
      <protection hidden="1"/>
    </xf>
    <xf numFmtId="0" fontId="3" fillId="0" borderId="2" xfId="0" applyFont="1" applyBorder="1" applyProtection="1">
      <protection hidden="1"/>
    </xf>
    <xf numFmtId="0" fontId="3" fillId="0" borderId="2" xfId="0" applyFont="1" applyBorder="1" applyAlignment="1" applyProtection="1">
      <alignment horizontal="center"/>
      <protection hidden="1"/>
    </xf>
    <xf numFmtId="0" fontId="0" fillId="4" borderId="19" xfId="0" applyFill="1" applyBorder="1" applyAlignment="1" applyProtection="1">
      <alignment wrapText="1"/>
      <protection hidden="1"/>
    </xf>
    <xf numFmtId="0" fontId="0" fillId="4" borderId="19" xfId="0" applyFill="1" applyBorder="1" applyAlignment="1" applyProtection="1">
      <alignment horizontal="center" vertical="center"/>
      <protection hidden="1"/>
    </xf>
    <xf numFmtId="0" fontId="3" fillId="0" borderId="4" xfId="0" applyFont="1" applyBorder="1" applyAlignment="1" applyProtection="1">
      <alignment horizontal="left"/>
      <protection hidden="1"/>
    </xf>
    <xf numFmtId="0" fontId="3" fillId="0" borderId="0" xfId="0" applyFont="1" applyFill="1" applyBorder="1" applyAlignment="1" applyProtection="1">
      <alignment horizontal="center"/>
      <protection hidden="1"/>
    </xf>
    <xf numFmtId="0" fontId="3" fillId="0" borderId="5" xfId="0" applyFont="1" applyBorder="1" applyProtection="1">
      <protection hidden="1"/>
    </xf>
    <xf numFmtId="0" fontId="0" fillId="3" borderId="19" xfId="0" applyFill="1" applyBorder="1" applyAlignment="1" applyProtection="1">
      <alignment wrapText="1"/>
      <protection hidden="1"/>
    </xf>
    <xf numFmtId="0" fontId="0" fillId="0" borderId="4" xfId="0" applyBorder="1" applyAlignment="1" applyProtection="1">
      <alignment horizontal="center" vertical="center"/>
      <protection hidden="1"/>
    </xf>
    <xf numFmtId="0" fontId="0" fillId="3" borderId="5" xfId="0"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11" fillId="0" borderId="4" xfId="0" applyFont="1" applyBorder="1" applyProtection="1">
      <protection hidden="1"/>
    </xf>
    <xf numFmtId="0" fontId="0" fillId="0" borderId="5" xfId="0" applyBorder="1" applyProtection="1">
      <protection hidden="1"/>
    </xf>
    <xf numFmtId="0" fontId="0" fillId="0" borderId="0" xfId="0" applyBorder="1" applyAlignment="1" applyProtection="1">
      <alignment vertical="center"/>
      <protection hidden="1"/>
    </xf>
    <xf numFmtId="0" fontId="11" fillId="0" borderId="4" xfId="0" applyFont="1" applyBorder="1" applyAlignment="1" applyProtection="1">
      <alignment vertical="center"/>
      <protection hidden="1"/>
    </xf>
    <xf numFmtId="0" fontId="2" fillId="3" borderId="0" xfId="0" applyFont="1" applyFill="1" applyBorder="1" applyAlignment="1" applyProtection="1">
      <alignment horizontal="center"/>
      <protection hidden="1"/>
    </xf>
    <xf numFmtId="0" fontId="3" fillId="0" borderId="6" xfId="0" applyFont="1" applyBorder="1" applyAlignment="1" applyProtection="1">
      <alignment horizontal="left"/>
      <protection hidden="1"/>
    </xf>
    <xf numFmtId="0" fontId="3" fillId="0" borderId="7" xfId="0" applyFont="1" applyBorder="1" applyAlignment="1" applyProtection="1">
      <alignment horizontal="center"/>
      <protection hidden="1"/>
    </xf>
    <xf numFmtId="0" fontId="2" fillId="3" borderId="1" xfId="0" applyFont="1" applyFill="1" applyBorder="1" applyAlignment="1" applyProtection="1">
      <alignment horizontal="left"/>
      <protection hidden="1"/>
    </xf>
    <xf numFmtId="0" fontId="3" fillId="0" borderId="2" xfId="0" applyFont="1" applyFill="1" applyBorder="1" applyProtection="1">
      <protection hidden="1"/>
    </xf>
    <xf numFmtId="0" fontId="0" fillId="0" borderId="2" xfId="0" applyBorder="1" applyProtection="1">
      <protection hidden="1"/>
    </xf>
    <xf numFmtId="0" fontId="0" fillId="0" borderId="3" xfId="0" applyBorder="1" applyProtection="1">
      <protection hidden="1"/>
    </xf>
    <xf numFmtId="14" fontId="3" fillId="0" borderId="4" xfId="0" applyNumberFormat="1" applyFont="1" applyBorder="1" applyAlignment="1" applyProtection="1">
      <alignment horizontal="left"/>
      <protection hidden="1"/>
    </xf>
    <xf numFmtId="0" fontId="2" fillId="0" borderId="0" xfId="0" applyFont="1" applyFill="1" applyBorder="1" applyAlignment="1" applyProtection="1">
      <alignment horizontal="center"/>
      <protection hidden="1"/>
    </xf>
    <xf numFmtId="0" fontId="3" fillId="0" borderId="0" xfId="0" applyFont="1" applyFill="1" applyBorder="1" applyProtection="1">
      <protection hidden="1"/>
    </xf>
    <xf numFmtId="0" fontId="2" fillId="8" borderId="4" xfId="0" applyFont="1" applyFill="1" applyBorder="1" applyAlignment="1" applyProtection="1">
      <alignment horizontal="left"/>
      <protection hidden="1"/>
    </xf>
    <xf numFmtId="0" fontId="18" fillId="0" borderId="0" xfId="0" applyFont="1" applyBorder="1" applyAlignment="1" applyProtection="1">
      <alignment vertical="center" wrapText="1"/>
      <protection hidden="1"/>
    </xf>
    <xf numFmtId="0" fontId="3" fillId="0" borderId="7" xfId="0" applyFont="1" applyBorder="1" applyProtection="1">
      <protection hidden="1"/>
    </xf>
    <xf numFmtId="0" fontId="0" fillId="0" borderId="8" xfId="0" applyBorder="1" applyProtection="1">
      <protection hidden="1"/>
    </xf>
    <xf numFmtId="0" fontId="0" fillId="3" borderId="8" xfId="0" applyFill="1"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3" fillId="0" borderId="0" xfId="0" applyFont="1" applyProtection="1">
      <protection hidden="1"/>
    </xf>
    <xf numFmtId="0" fontId="2" fillId="10" borderId="19" xfId="0" applyFont="1" applyFill="1" applyBorder="1" applyAlignment="1" applyProtection="1">
      <alignment horizontal="center"/>
      <protection hidden="1"/>
    </xf>
    <xf numFmtId="0" fontId="2" fillId="0" borderId="0" xfId="0" applyFont="1" applyAlignment="1" applyProtection="1">
      <alignment horizontal="center"/>
      <protection hidden="1"/>
    </xf>
    <xf numFmtId="0" fontId="2" fillId="0" borderId="33" xfId="0" applyFont="1" applyFill="1" applyBorder="1" applyAlignment="1" applyProtection="1">
      <alignment horizontal="center" vertical="center" wrapText="1"/>
      <protection hidden="1"/>
    </xf>
    <xf numFmtId="0" fontId="2" fillId="0" borderId="34" xfId="0" applyFont="1" applyFill="1" applyBorder="1" applyAlignment="1" applyProtection="1">
      <alignment horizontal="center" vertical="center" wrapText="1"/>
      <protection hidden="1"/>
    </xf>
    <xf numFmtId="0" fontId="2" fillId="0" borderId="35" xfId="0" applyFont="1" applyFill="1" applyBorder="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0" fontId="3" fillId="0" borderId="36" xfId="0" applyFont="1" applyBorder="1" applyAlignment="1" applyProtection="1">
      <alignment horizontal="center" vertical="center"/>
      <protection hidden="1"/>
    </xf>
    <xf numFmtId="0" fontId="3" fillId="0" borderId="37" xfId="0" applyFont="1" applyBorder="1" applyAlignment="1" applyProtection="1">
      <alignment horizontal="center" vertical="center"/>
      <protection hidden="1"/>
    </xf>
    <xf numFmtId="0" fontId="2" fillId="0" borderId="0" xfId="0" applyFont="1" applyAlignment="1" applyProtection="1">
      <alignment horizontal="center" vertical="center"/>
      <protection hidden="1"/>
    </xf>
    <xf numFmtId="0" fontId="2" fillId="0" borderId="39" xfId="0" applyFont="1" applyFill="1" applyBorder="1" applyAlignment="1" applyProtection="1">
      <alignment horizontal="center" vertical="center" wrapText="1"/>
      <protection hidden="1"/>
    </xf>
    <xf numFmtId="0" fontId="2" fillId="0" borderId="40" xfId="0" applyFont="1" applyFill="1" applyBorder="1" applyAlignment="1" applyProtection="1">
      <alignment horizontal="center" vertical="center" wrapText="1"/>
      <protection hidden="1"/>
    </xf>
    <xf numFmtId="0" fontId="2" fillId="0" borderId="41" xfId="0" applyFont="1" applyFill="1" applyBorder="1" applyAlignment="1" applyProtection="1">
      <alignment horizontal="center" vertical="center" wrapText="1"/>
      <protection hidden="1"/>
    </xf>
    <xf numFmtId="0" fontId="3" fillId="0" borderId="42" xfId="0" applyFont="1" applyBorder="1" applyAlignment="1" applyProtection="1">
      <alignment horizontal="center" vertical="center"/>
      <protection hidden="1"/>
    </xf>
    <xf numFmtId="0" fontId="3" fillId="0" borderId="43" xfId="0" applyFont="1" applyBorder="1" applyAlignment="1" applyProtection="1">
      <alignment horizontal="center" vertical="center"/>
      <protection hidden="1"/>
    </xf>
    <xf numFmtId="0" fontId="3" fillId="0" borderId="44" xfId="0" applyFont="1" applyBorder="1" applyAlignment="1" applyProtection="1">
      <alignment horizontal="center" vertical="center"/>
      <protection hidden="1"/>
    </xf>
    <xf numFmtId="0" fontId="3" fillId="0" borderId="36" xfId="0" applyFont="1" applyBorder="1" applyAlignment="1" applyProtection="1">
      <alignment horizontal="center"/>
      <protection hidden="1"/>
    </xf>
    <xf numFmtId="0" fontId="3" fillId="0" borderId="37"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1" fillId="0" borderId="0" xfId="0" applyFont="1" applyFill="1" applyBorder="1" applyProtection="1">
      <protection locked="0" hidden="1"/>
    </xf>
    <xf numFmtId="0" fontId="0" fillId="4" borderId="0" xfId="0" applyFill="1" applyAlignment="1" applyProtection="1">
      <alignment horizontal="center" vertical="center"/>
      <protection locked="0" hidden="1"/>
    </xf>
    <xf numFmtId="0" fontId="11" fillId="0" borderId="10" xfId="0" applyFont="1" applyBorder="1" applyAlignment="1" applyProtection="1">
      <alignment horizontal="center" vertical="center"/>
      <protection hidden="1"/>
    </xf>
    <xf numFmtId="0" fontId="11" fillId="0" borderId="0" xfId="0" applyFont="1" applyProtection="1">
      <protection locked="0" hidden="1"/>
    </xf>
    <xf numFmtId="0" fontId="19" fillId="0" borderId="0" xfId="0" applyFont="1" applyFill="1" applyBorder="1" applyAlignment="1" applyProtection="1">
      <protection locked="0" hidden="1"/>
    </xf>
    <xf numFmtId="0" fontId="2" fillId="0" borderId="7" xfId="0" applyFont="1" applyFill="1" applyBorder="1" applyAlignment="1" applyProtection="1">
      <alignment horizontal="center"/>
      <protection locked="0" hidden="1"/>
    </xf>
    <xf numFmtId="0" fontId="3" fillId="0" borderId="2" xfId="0" applyFont="1" applyFill="1" applyBorder="1" applyAlignment="1" applyProtection="1">
      <alignment horizontal="center"/>
      <protection locked="0" hidden="1"/>
    </xf>
    <xf numFmtId="0" fontId="3" fillId="0" borderId="2" xfId="0" quotePrefix="1" applyFont="1" applyFill="1" applyBorder="1" applyAlignment="1" applyProtection="1">
      <alignment horizontal="center"/>
      <protection locked="0" hidden="1"/>
    </xf>
    <xf numFmtId="0" fontId="2" fillId="0" borderId="2" xfId="0" applyFont="1" applyFill="1" applyBorder="1" applyAlignment="1" applyProtection="1">
      <alignment horizontal="center"/>
      <protection locked="0" hidden="1"/>
    </xf>
    <xf numFmtId="0" fontId="3" fillId="0" borderId="0" xfId="0" quotePrefix="1" applyFont="1" applyFill="1" applyBorder="1" applyAlignment="1" applyProtection="1">
      <alignment horizontal="center"/>
      <protection locked="0" hidden="1"/>
    </xf>
    <xf numFmtId="2" fontId="3" fillId="0" borderId="0" xfId="0" applyNumberFormat="1" applyFont="1" applyFill="1" applyBorder="1" applyAlignment="1" applyProtection="1">
      <alignment horizontal="center"/>
      <protection locked="0" hidden="1"/>
    </xf>
    <xf numFmtId="0" fontId="7" fillId="0" borderId="0" xfId="0" quotePrefix="1" applyFont="1" applyFill="1" applyAlignment="1" applyProtection="1">
      <alignment horizontal="center"/>
      <protection locked="0" hidden="1"/>
    </xf>
    <xf numFmtId="0" fontId="7" fillId="0" borderId="0" xfId="0" quotePrefix="1" applyFont="1" applyFill="1" applyBorder="1" applyAlignment="1" applyProtection="1">
      <alignment horizontal="center"/>
      <protection locked="0" hidden="1"/>
    </xf>
    <xf numFmtId="0" fontId="2" fillId="8" borderId="1" xfId="0" applyFont="1" applyFill="1" applyBorder="1" applyAlignment="1" applyProtection="1">
      <alignment horizontal="left"/>
      <protection locked="0" hidden="1"/>
    </xf>
    <xf numFmtId="0" fontId="2" fillId="0" borderId="2" xfId="0" applyFont="1" applyFill="1" applyBorder="1" applyAlignment="1" applyProtection="1">
      <protection locked="0" hidden="1"/>
    </xf>
    <xf numFmtId="0" fontId="3" fillId="0" borderId="6" xfId="0" applyFont="1" applyBorder="1" applyAlignment="1" applyProtection="1">
      <alignment horizontal="left"/>
      <protection locked="0" hidden="1"/>
    </xf>
    <xf numFmtId="0" fontId="3" fillId="0" borderId="7" xfId="0" applyFont="1" applyBorder="1" applyProtection="1">
      <protection locked="0" hidden="1"/>
    </xf>
    <xf numFmtId="0" fontId="3" fillId="0" borderId="0" xfId="0" applyFont="1" applyBorder="1" applyAlignment="1" applyProtection="1">
      <alignment horizontal="center"/>
      <protection hidden="1"/>
    </xf>
    <xf numFmtId="0" fontId="0" fillId="0" borderId="5" xfId="0" applyBorder="1" applyAlignment="1" applyProtection="1">
      <alignment vertical="center"/>
      <protection hidden="1"/>
    </xf>
    <xf numFmtId="0" fontId="3" fillId="0" borderId="0" xfId="0" applyFont="1" applyBorder="1" applyAlignment="1" applyProtection="1">
      <alignment horizontal="center" vertical="center"/>
      <protection locked="0" hidden="1"/>
    </xf>
    <xf numFmtId="0" fontId="0" fillId="0" borderId="0" xfId="0" applyFill="1" applyBorder="1" applyProtection="1">
      <protection hidden="1"/>
    </xf>
    <xf numFmtId="0" fontId="6" fillId="0" borderId="0" xfId="0" applyFont="1" applyFill="1" applyBorder="1" applyAlignment="1" applyProtection="1">
      <alignment horizontal="center" vertical="center" wrapText="1"/>
      <protection hidden="1"/>
    </xf>
    <xf numFmtId="0" fontId="3" fillId="0" borderId="0" xfId="0" applyFont="1" applyFill="1" applyBorder="1" applyAlignment="1" applyProtection="1">
      <alignment vertical="center"/>
      <protection hidden="1"/>
    </xf>
    <xf numFmtId="0" fontId="3" fillId="0" borderId="0" xfId="0" applyFont="1" applyFill="1" applyBorder="1" applyAlignment="1" applyProtection="1">
      <alignment horizontal="center" vertical="center"/>
      <protection hidden="1"/>
    </xf>
    <xf numFmtId="0" fontId="0" fillId="0" borderId="0" xfId="0" applyFill="1" applyBorder="1" applyAlignment="1" applyProtection="1">
      <alignment vertical="center"/>
      <protection hidden="1"/>
    </xf>
    <xf numFmtId="14" fontId="3" fillId="0" borderId="0" xfId="0" applyNumberFormat="1" applyFont="1" applyFill="1" applyBorder="1" applyAlignment="1" applyProtection="1">
      <alignment horizontal="left"/>
      <protection hidden="1"/>
    </xf>
    <xf numFmtId="0" fontId="3" fillId="0" borderId="0" xfId="0" applyFont="1" applyFill="1" applyBorder="1" applyAlignment="1" applyProtection="1">
      <alignment horizontal="left"/>
      <protection hidden="1"/>
    </xf>
    <xf numFmtId="0" fontId="5" fillId="0" borderId="7" xfId="0" applyFont="1" applyFill="1" applyBorder="1" applyAlignment="1" applyProtection="1">
      <alignment horizontal="center" vertical="center"/>
      <protection hidden="1"/>
    </xf>
    <xf numFmtId="0" fontId="3" fillId="0" borderId="8" xfId="0" applyFont="1" applyBorder="1" applyProtection="1">
      <protection hidden="1"/>
    </xf>
    <xf numFmtId="0" fontId="3" fillId="0" borderId="0" xfId="0" applyFont="1" applyFill="1" applyBorder="1" applyAlignment="1" applyProtection="1">
      <alignment horizontal="center"/>
      <protection locked="0" hidden="1"/>
    </xf>
    <xf numFmtId="0" fontId="2" fillId="0" borderId="0" xfId="0" applyFont="1" applyFill="1" applyBorder="1" applyAlignment="1" applyProtection="1">
      <alignment horizontal="center"/>
      <protection locked="0" hidden="1"/>
    </xf>
    <xf numFmtId="0" fontId="3" fillId="0" borderId="0" xfId="0" applyFont="1" applyFill="1" applyBorder="1" applyAlignment="1" applyProtection="1">
      <alignment horizontal="center"/>
      <protection locked="0" hidden="1"/>
    </xf>
    <xf numFmtId="0" fontId="0" fillId="0" borderId="1" xfId="0" applyBorder="1" applyAlignment="1" applyProtection="1">
      <alignment horizontal="center" vertical="center"/>
      <protection hidden="1"/>
    </xf>
    <xf numFmtId="0" fontId="0" fillId="3" borderId="3" xfId="0" applyFill="1" applyBorder="1" applyAlignment="1" applyProtection="1">
      <alignment horizontal="center" vertical="center"/>
      <protection hidden="1"/>
    </xf>
    <xf numFmtId="0" fontId="1" fillId="0" borderId="9" xfId="0" applyFont="1" applyFill="1" applyBorder="1" applyAlignment="1" applyProtection="1">
      <alignment horizontal="center" vertical="center"/>
      <protection hidden="1"/>
    </xf>
    <xf numFmtId="0" fontId="0" fillId="0" borderId="9" xfId="0" applyFill="1" applyBorder="1" applyAlignment="1" applyProtection="1">
      <alignment horizontal="center" vertical="center"/>
      <protection hidden="1"/>
    </xf>
    <xf numFmtId="0" fontId="0" fillId="0" borderId="2" xfId="0" applyFill="1"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10" xfId="0" applyFill="1" applyBorder="1" applyAlignment="1" applyProtection="1">
      <alignment horizontal="center" vertical="center"/>
      <protection hidden="1"/>
    </xf>
    <xf numFmtId="0" fontId="0" fillId="0" borderId="7" xfId="0" applyFill="1" applyBorder="1" applyAlignment="1" applyProtection="1">
      <alignment horizontal="center" vertical="center"/>
      <protection hidden="1"/>
    </xf>
    <xf numFmtId="0" fontId="2" fillId="8" borderId="45" xfId="0" applyFont="1" applyFill="1" applyBorder="1" applyAlignment="1" applyProtection="1">
      <alignment horizontal="center"/>
      <protection hidden="1"/>
    </xf>
    <xf numFmtId="0" fontId="2" fillId="8" borderId="32" xfId="0" applyFont="1" applyFill="1" applyBorder="1" applyAlignment="1" applyProtection="1">
      <alignment horizontal="center"/>
      <protection hidden="1"/>
    </xf>
    <xf numFmtId="0" fontId="2" fillId="8" borderId="19" xfId="0" applyFont="1" applyFill="1" applyBorder="1" applyAlignment="1" applyProtection="1">
      <alignment horizontal="center" vertical="center"/>
      <protection hidden="1"/>
    </xf>
    <xf numFmtId="0" fontId="2" fillId="8" borderId="0" xfId="0" applyFont="1" applyFill="1" applyBorder="1" applyAlignment="1" applyProtection="1">
      <alignment horizontal="center"/>
      <protection locked="0" hidden="1"/>
    </xf>
    <xf numFmtId="0" fontId="2" fillId="0" borderId="0" xfId="0" applyFont="1" applyFill="1" applyBorder="1" applyAlignment="1" applyProtection="1">
      <alignment horizontal="center"/>
      <protection locked="0" hidden="1"/>
    </xf>
    <xf numFmtId="0" fontId="2" fillId="5" borderId="0" xfId="0" applyFont="1" applyFill="1" applyBorder="1" applyAlignment="1" applyProtection="1">
      <alignment horizontal="center"/>
      <protection locked="0" hidden="1"/>
    </xf>
    <xf numFmtId="0" fontId="12" fillId="0" borderId="0" xfId="0" applyFont="1" applyFill="1" applyAlignment="1" applyProtection="1">
      <alignment horizontal="center"/>
      <protection locked="0" hidden="1"/>
    </xf>
    <xf numFmtId="0" fontId="3" fillId="0" borderId="0" xfId="0" applyFont="1" applyFill="1" applyBorder="1" applyAlignment="1" applyProtection="1">
      <alignment horizontal="center"/>
      <protection locked="0" hidden="1"/>
    </xf>
    <xf numFmtId="0" fontId="2" fillId="8" borderId="4" xfId="0" applyFont="1" applyFill="1" applyBorder="1" applyAlignment="1" applyProtection="1">
      <alignment horizontal="center"/>
      <protection locked="0" hidden="1"/>
    </xf>
    <xf numFmtId="0" fontId="1" fillId="0" borderId="9" xfId="0" applyFont="1" applyFill="1" applyBorder="1" applyAlignment="1" applyProtection="1">
      <alignment horizontal="center" vertical="center"/>
      <protection locked="0" hidden="1"/>
    </xf>
    <xf numFmtId="0" fontId="3" fillId="0" borderId="1" xfId="0" applyFont="1" applyBorder="1" applyAlignment="1" applyProtection="1">
      <alignment horizontal="left"/>
      <protection locked="0" hidden="1"/>
    </xf>
    <xf numFmtId="0" fontId="0" fillId="4" borderId="19" xfId="0" applyFill="1" applyBorder="1" applyAlignment="1" applyProtection="1">
      <alignment wrapText="1"/>
      <protection locked="0" hidden="1"/>
    </xf>
    <xf numFmtId="0" fontId="11" fillId="0" borderId="10" xfId="0" applyFont="1" applyBorder="1" applyAlignment="1" applyProtection="1">
      <alignment horizontal="center" vertical="center"/>
      <protection locked="0" hidden="1"/>
    </xf>
    <xf numFmtId="0" fontId="0" fillId="4" borderId="45" xfId="0" applyFill="1" applyBorder="1" applyAlignment="1" applyProtection="1">
      <alignment horizontal="center" vertical="center"/>
      <protection locked="0" hidden="1"/>
    </xf>
    <xf numFmtId="0" fontId="0" fillId="0" borderId="9" xfId="0" applyFill="1" applyBorder="1" applyAlignment="1" applyProtection="1">
      <alignment horizontal="center" vertical="center"/>
      <protection locked="0" hidden="1"/>
    </xf>
    <xf numFmtId="0" fontId="0" fillId="0" borderId="10" xfId="0" applyFill="1" applyBorder="1" applyAlignment="1" applyProtection="1">
      <alignment horizontal="center" vertical="center"/>
      <protection locked="0" hidden="1"/>
    </xf>
    <xf numFmtId="0" fontId="0" fillId="3" borderId="19" xfId="0" applyFill="1" applyBorder="1" applyAlignment="1" applyProtection="1">
      <alignment wrapText="1"/>
      <protection locked="0" hidden="1"/>
    </xf>
    <xf numFmtId="0" fontId="0" fillId="0" borderId="1" xfId="0" applyBorder="1" applyAlignment="1" applyProtection="1">
      <alignment horizontal="center" vertical="center"/>
      <protection locked="0" hidden="1"/>
    </xf>
    <xf numFmtId="0" fontId="0" fillId="3" borderId="46" xfId="0" applyFill="1" applyBorder="1" applyAlignment="1" applyProtection="1">
      <alignment horizontal="center" vertical="center"/>
      <protection locked="0" hidden="1"/>
    </xf>
    <xf numFmtId="0" fontId="0" fillId="0" borderId="2" xfId="0" applyFill="1" applyBorder="1" applyAlignment="1" applyProtection="1">
      <alignment horizontal="center" vertical="center"/>
      <protection locked="0" hidden="1"/>
    </xf>
    <xf numFmtId="0" fontId="11" fillId="0" borderId="4" xfId="0" applyFont="1" applyBorder="1" applyProtection="1">
      <protection locked="0" hidden="1"/>
    </xf>
    <xf numFmtId="0" fontId="0" fillId="0" borderId="4" xfId="0" applyBorder="1" applyAlignment="1" applyProtection="1">
      <alignment horizontal="center" vertical="center"/>
      <protection locked="0" hidden="1"/>
    </xf>
    <xf numFmtId="0" fontId="0" fillId="3" borderId="47" xfId="0" applyFill="1" applyBorder="1" applyAlignment="1" applyProtection="1">
      <alignment horizontal="center" vertical="center"/>
      <protection locked="0" hidden="1"/>
    </xf>
    <xf numFmtId="0" fontId="0" fillId="0" borderId="0" xfId="0" applyFill="1" applyBorder="1" applyAlignment="1" applyProtection="1">
      <alignment horizontal="center" vertical="center"/>
      <protection locked="0" hidden="1"/>
    </xf>
    <xf numFmtId="0" fontId="11" fillId="0" borderId="4" xfId="0" applyFont="1" applyBorder="1" applyAlignment="1" applyProtection="1">
      <alignment vertical="center"/>
      <protection locked="0" hidden="1"/>
    </xf>
    <xf numFmtId="0" fontId="2" fillId="8" borderId="19" xfId="0" applyFont="1" applyFill="1" applyBorder="1" applyAlignment="1" applyProtection="1">
      <alignment horizontal="center" vertical="center"/>
      <protection locked="0" hidden="1"/>
    </xf>
    <xf numFmtId="0" fontId="0" fillId="0" borderId="5" xfId="0" applyBorder="1" applyAlignment="1" applyProtection="1">
      <alignment vertical="center"/>
      <protection locked="0" hidden="1"/>
    </xf>
    <xf numFmtId="0" fontId="0" fillId="0" borderId="11" xfId="0" applyBorder="1" applyAlignment="1" applyProtection="1">
      <alignment horizontal="center"/>
      <protection locked="0" hidden="1"/>
    </xf>
    <xf numFmtId="0" fontId="2" fillId="8" borderId="45" xfId="0" applyFont="1" applyFill="1" applyBorder="1" applyAlignment="1" applyProtection="1">
      <alignment horizontal="center"/>
      <protection locked="0" hidden="1"/>
    </xf>
    <xf numFmtId="0" fontId="2" fillId="8" borderId="32" xfId="0" applyFont="1" applyFill="1" applyBorder="1" applyAlignment="1" applyProtection="1">
      <alignment horizontal="center"/>
      <protection locked="0" hidden="1"/>
    </xf>
    <xf numFmtId="0" fontId="2" fillId="4" borderId="1" xfId="0" applyFont="1" applyFill="1" applyBorder="1" applyAlignment="1" applyProtection="1">
      <alignment horizontal="left"/>
      <protection locked="0" hidden="1"/>
    </xf>
    <xf numFmtId="14" fontId="2" fillId="4" borderId="4" xfId="0" applyNumberFormat="1" applyFont="1" applyFill="1" applyBorder="1" applyAlignment="1" applyProtection="1">
      <alignment horizontal="left"/>
      <protection locked="0" hidden="1"/>
    </xf>
    <xf numFmtId="0" fontId="11" fillId="0" borderId="4" xfId="0" applyFont="1" applyBorder="1" applyAlignment="1" applyProtection="1">
      <alignment horizontal="left"/>
      <protection locked="0" hidden="1"/>
    </xf>
    <xf numFmtId="0" fontId="18" fillId="0" borderId="0" xfId="0" applyFont="1" applyBorder="1" applyAlignment="1" applyProtection="1">
      <alignment vertical="center" wrapText="1"/>
      <protection locked="0" hidden="1"/>
    </xf>
    <xf numFmtId="0" fontId="3" fillId="0" borderId="5" xfId="0" applyFont="1" applyBorder="1" applyProtection="1">
      <protection locked="0" hidden="1"/>
    </xf>
    <xf numFmtId="0" fontId="5" fillId="0" borderId="7" xfId="0" applyFont="1" applyFill="1" applyBorder="1" applyAlignment="1" applyProtection="1">
      <alignment horizontal="center" vertical="center"/>
      <protection locked="0" hidden="1"/>
    </xf>
    <xf numFmtId="0" fontId="3" fillId="0" borderId="8" xfId="0" applyFont="1" applyBorder="1" applyProtection="1">
      <protection locked="0" hidden="1"/>
    </xf>
    <xf numFmtId="0" fontId="6" fillId="0" borderId="0" xfId="0" applyFont="1" applyFill="1" applyBorder="1" applyAlignment="1" applyProtection="1">
      <alignment horizontal="center" vertical="center" wrapText="1"/>
      <protection locked="0" hidden="1"/>
    </xf>
    <xf numFmtId="0" fontId="3" fillId="0" borderId="0" xfId="0" applyFont="1" applyFill="1" applyBorder="1" applyAlignment="1" applyProtection="1">
      <alignment vertical="center"/>
      <protection locked="0" hidden="1"/>
    </xf>
    <xf numFmtId="0" fontId="0" fillId="0" borderId="0" xfId="0" applyFill="1" applyBorder="1" applyAlignment="1" applyProtection="1">
      <alignment vertical="center"/>
      <protection locked="0" hidden="1"/>
    </xf>
    <xf numFmtId="14" fontId="3" fillId="0" borderId="0" xfId="0" applyNumberFormat="1" applyFont="1" applyFill="1" applyBorder="1" applyAlignment="1" applyProtection="1">
      <alignment horizontal="left"/>
      <protection locked="0" hidden="1"/>
    </xf>
    <xf numFmtId="0" fontId="3" fillId="0" borderId="0" xfId="0" applyFont="1" applyFill="1" applyBorder="1" applyAlignment="1" applyProtection="1">
      <alignment horizontal="left"/>
      <protection locked="0" hidden="1"/>
    </xf>
    <xf numFmtId="0" fontId="2" fillId="0" borderId="0" xfId="0" applyFont="1" applyFill="1" applyBorder="1" applyAlignment="1" applyProtection="1">
      <alignment horizontal="left"/>
      <protection locked="0" hidden="1"/>
    </xf>
    <xf numFmtId="0" fontId="0" fillId="0" borderId="6" xfId="0" applyBorder="1" applyAlignment="1" applyProtection="1">
      <alignment horizontal="center" vertical="center"/>
      <protection locked="0" hidden="1"/>
    </xf>
    <xf numFmtId="0" fontId="0" fillId="3" borderId="48" xfId="0" applyFill="1" applyBorder="1" applyAlignment="1" applyProtection="1">
      <alignment horizontal="center" vertical="center"/>
      <protection locked="0" hidden="1"/>
    </xf>
    <xf numFmtId="0" fontId="0" fillId="0" borderId="0" xfId="0" applyBorder="1" applyAlignment="1" applyProtection="1">
      <alignment horizontal="center" vertical="center"/>
      <protection locked="0" hidden="1"/>
    </xf>
    <xf numFmtId="0" fontId="0" fillId="0" borderId="7" xfId="0" applyFill="1" applyBorder="1" applyAlignment="1" applyProtection="1">
      <alignment horizontal="center" vertical="center"/>
      <protection locked="0" hidden="1"/>
    </xf>
    <xf numFmtId="0" fontId="0" fillId="0" borderId="0" xfId="0" applyFill="1" applyBorder="1" applyAlignment="1" applyProtection="1">
      <alignment horizontal="center"/>
      <protection locked="0" hidden="1"/>
    </xf>
    <xf numFmtId="0" fontId="2" fillId="0" borderId="0" xfId="0" applyFont="1" applyFill="1" applyBorder="1" applyAlignment="1" applyProtection="1">
      <protection locked="0" hidden="1"/>
    </xf>
    <xf numFmtId="0" fontId="0" fillId="0" borderId="0" xfId="0" applyAlignment="1" applyProtection="1">
      <alignment horizontal="center"/>
      <protection locked="0" hidden="1"/>
    </xf>
    <xf numFmtId="0" fontId="0" fillId="0" borderId="0" xfId="0" applyFill="1" applyAlignment="1" applyProtection="1">
      <alignment horizontal="center"/>
      <protection locked="0" hidden="1"/>
    </xf>
    <xf numFmtId="0" fontId="0" fillId="0" borderId="12" xfId="0" applyBorder="1" applyAlignment="1">
      <alignment horizontal="center"/>
    </xf>
    <xf numFmtId="0" fontId="0" fillId="0" borderId="12" xfId="0" applyFill="1" applyBorder="1" applyProtection="1">
      <protection locked="0" hidden="1"/>
    </xf>
    <xf numFmtId="0" fontId="0" fillId="0" borderId="49" xfId="0" applyFill="1" applyBorder="1" applyProtection="1">
      <protection locked="0" hidden="1"/>
    </xf>
    <xf numFmtId="0" fontId="1" fillId="0" borderId="49" xfId="0" applyFont="1" applyFill="1" applyBorder="1" applyAlignment="1" applyProtection="1">
      <alignment horizontal="center" vertical="center"/>
      <protection locked="0" hidden="1"/>
    </xf>
    <xf numFmtId="0" fontId="12" fillId="0" borderId="49" xfId="0" applyFont="1" applyFill="1" applyBorder="1" applyAlignment="1" applyProtection="1">
      <alignment horizontal="center" vertical="center"/>
      <protection locked="0" hidden="1"/>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50" xfId="0" applyBorder="1" applyAlignment="1">
      <alignment horizontal="center"/>
    </xf>
    <xf numFmtId="0" fontId="0" fillId="0" borderId="18"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1" fillId="0" borderId="53" xfId="0" applyFont="1" applyFill="1" applyBorder="1" applyAlignment="1" applyProtection="1">
      <alignment horizontal="center" vertical="center"/>
      <protection locked="0" hidden="1"/>
    </xf>
    <xf numFmtId="0" fontId="0" fillId="0" borderId="54" xfId="0" applyFill="1" applyBorder="1" applyProtection="1">
      <protection locked="0" hidden="1"/>
    </xf>
    <xf numFmtId="0" fontId="1" fillId="0" borderId="55" xfId="0" applyFont="1" applyFill="1" applyBorder="1" applyAlignment="1" applyProtection="1">
      <alignment horizontal="center" vertical="center"/>
      <protection locked="0" hidden="1"/>
    </xf>
    <xf numFmtId="0" fontId="15" fillId="0" borderId="56" xfId="0" applyFont="1" applyFill="1" applyBorder="1" applyAlignment="1" applyProtection="1">
      <alignment horizontal="center"/>
      <protection locked="0" hidden="1"/>
    </xf>
    <xf numFmtId="0" fontId="0" fillId="0" borderId="56" xfId="0" applyFont="1" applyFill="1" applyBorder="1" applyAlignment="1" applyProtection="1">
      <alignment horizontal="center"/>
      <protection locked="0" hidden="1"/>
    </xf>
    <xf numFmtId="0" fontId="0" fillId="12" borderId="56" xfId="0" applyFont="1" applyFill="1" applyBorder="1" applyAlignment="1" applyProtection="1">
      <alignment horizontal="center"/>
      <protection locked="0" hidden="1"/>
    </xf>
    <xf numFmtId="0" fontId="0" fillId="12" borderId="14" xfId="0" applyFont="1" applyFill="1" applyBorder="1" applyAlignment="1" applyProtection="1">
      <alignment horizontal="center"/>
      <protection locked="0" hidden="1"/>
    </xf>
    <xf numFmtId="0" fontId="0" fillId="12" borderId="16" xfId="0" applyFont="1" applyFill="1" applyBorder="1" applyAlignment="1" applyProtection="1">
      <alignment horizontal="center"/>
      <protection locked="0" hidden="1"/>
    </xf>
    <xf numFmtId="0" fontId="15" fillId="0" borderId="16" xfId="0" applyFont="1" applyFill="1" applyBorder="1" applyAlignment="1" applyProtection="1">
      <alignment horizontal="center"/>
      <protection locked="0" hidden="1"/>
    </xf>
    <xf numFmtId="0" fontId="0" fillId="0" borderId="16" xfId="0" applyFont="1" applyFill="1" applyBorder="1" applyAlignment="1" applyProtection="1">
      <alignment horizontal="center"/>
      <protection locked="0" hidden="1"/>
    </xf>
    <xf numFmtId="0" fontId="0" fillId="0" borderId="57" xfId="0" applyFill="1" applyBorder="1" applyProtection="1">
      <protection locked="0" hidden="1"/>
    </xf>
    <xf numFmtId="0" fontId="15" fillId="0" borderId="17" xfId="0" applyFont="1" applyFill="1" applyBorder="1" applyAlignment="1" applyProtection="1">
      <alignment horizontal="center"/>
      <protection locked="0" hidden="1"/>
    </xf>
    <xf numFmtId="0" fontId="3" fillId="0" borderId="17" xfId="0" applyFont="1" applyFill="1" applyBorder="1" applyAlignment="1" applyProtection="1">
      <alignment horizontal="center"/>
      <protection locked="0" hidden="1"/>
    </xf>
    <xf numFmtId="0" fontId="0" fillId="12" borderId="17" xfId="0" applyFont="1" applyFill="1" applyBorder="1" applyAlignment="1" applyProtection="1">
      <alignment horizontal="center"/>
      <protection locked="0" hidden="1"/>
    </xf>
    <xf numFmtId="0" fontId="0" fillId="0" borderId="18" xfId="0" applyFont="1" applyFill="1" applyBorder="1" applyAlignment="1" applyProtection="1">
      <alignment horizontal="center"/>
      <protection locked="0" hidden="1"/>
    </xf>
    <xf numFmtId="0" fontId="0" fillId="0" borderId="34" xfId="0" applyBorder="1"/>
    <xf numFmtId="0" fontId="0" fillId="0" borderId="58" xfId="0" applyBorder="1"/>
    <xf numFmtId="0" fontId="0" fillId="0" borderId="37" xfId="0" applyBorder="1"/>
    <xf numFmtId="0" fontId="3" fillId="9" borderId="56" xfId="0" applyFont="1" applyFill="1" applyBorder="1" applyAlignment="1" applyProtection="1">
      <alignment horizontal="center"/>
      <protection locked="0" hidden="1"/>
    </xf>
    <xf numFmtId="0" fontId="3" fillId="0" borderId="56" xfId="0" applyFont="1" applyFill="1" applyBorder="1" applyAlignment="1" applyProtection="1">
      <alignment horizontal="center"/>
      <protection locked="0" hidden="1"/>
    </xf>
    <xf numFmtId="0" fontId="3" fillId="0" borderId="14" xfId="0" applyFont="1" applyFill="1" applyBorder="1" applyAlignment="1" applyProtection="1">
      <alignment horizontal="center"/>
      <protection locked="0" hidden="1"/>
    </xf>
    <xf numFmtId="0" fontId="3" fillId="0" borderId="16" xfId="0" applyFont="1" applyFill="1" applyBorder="1" applyAlignment="1" applyProtection="1">
      <alignment horizontal="center"/>
      <protection locked="0" hidden="1"/>
    </xf>
    <xf numFmtId="0" fontId="3" fillId="0" borderId="18" xfId="0" applyFont="1" applyFill="1" applyBorder="1" applyAlignment="1" applyProtection="1">
      <alignment horizontal="center"/>
      <protection locked="0" hidden="1"/>
    </xf>
    <xf numFmtId="0" fontId="3" fillId="9" borderId="55" xfId="0" applyFont="1" applyFill="1" applyBorder="1" applyAlignment="1" applyProtection="1">
      <alignment horizontal="center"/>
      <protection locked="0" hidden="1"/>
    </xf>
    <xf numFmtId="0" fontId="3" fillId="0" borderId="49" xfId="0" applyFont="1" applyFill="1" applyBorder="1" applyAlignment="1" applyProtection="1">
      <alignment horizontal="center"/>
      <protection locked="0" hidden="1"/>
    </xf>
    <xf numFmtId="0" fontId="3" fillId="9" borderId="49" xfId="0" applyFont="1" applyFill="1" applyBorder="1" applyAlignment="1" applyProtection="1">
      <alignment horizontal="center"/>
      <protection locked="0" hidden="1"/>
    </xf>
    <xf numFmtId="0" fontId="3" fillId="0" borderId="57" xfId="0" applyFont="1" applyFill="1" applyBorder="1" applyAlignment="1" applyProtection="1">
      <alignment horizontal="center"/>
      <protection locked="0" hidden="1"/>
    </xf>
    <xf numFmtId="0" fontId="3" fillId="8" borderId="34" xfId="0" applyFont="1" applyFill="1" applyBorder="1" applyAlignment="1" applyProtection="1">
      <alignment horizontal="center"/>
      <protection locked="0" hidden="1"/>
    </xf>
    <xf numFmtId="0" fontId="3" fillId="8" borderId="58" xfId="0" applyFont="1" applyFill="1" applyBorder="1" applyAlignment="1" applyProtection="1">
      <alignment horizontal="center"/>
      <protection locked="0" hidden="1"/>
    </xf>
    <xf numFmtId="0" fontId="3" fillId="8" borderId="37" xfId="0" applyFont="1" applyFill="1" applyBorder="1" applyAlignment="1" applyProtection="1">
      <alignment horizontal="center"/>
      <protection locked="0" hidden="1"/>
    </xf>
    <xf numFmtId="0" fontId="3" fillId="0" borderId="0" xfId="0" applyFont="1" applyBorder="1" applyAlignment="1" applyProtection="1">
      <alignment horizontal="left"/>
      <protection locked="0" hidden="1"/>
    </xf>
    <xf numFmtId="0" fontId="0" fillId="0" borderId="56" xfId="0" applyBorder="1" applyAlignment="1">
      <alignment horizontal="center"/>
    </xf>
    <xf numFmtId="0" fontId="1" fillId="0" borderId="56" xfId="0" applyFont="1" applyBorder="1" applyAlignment="1">
      <alignment horizontal="center"/>
    </xf>
    <xf numFmtId="0" fontId="1" fillId="0" borderId="14" xfId="0" applyFont="1" applyBorder="1" applyAlignment="1">
      <alignment horizontal="center"/>
    </xf>
    <xf numFmtId="0" fontId="0" fillId="0" borderId="17" xfId="0" applyBorder="1" applyAlignment="1">
      <alignment horizontal="center"/>
    </xf>
    <xf numFmtId="0" fontId="15" fillId="0" borderId="13" xfId="0" applyFont="1" applyFill="1" applyBorder="1" applyAlignment="1" applyProtection="1">
      <alignment horizontal="center"/>
      <protection locked="0" hidden="1"/>
    </xf>
    <xf numFmtId="0" fontId="15" fillId="0" borderId="14" xfId="0" applyFont="1" applyFill="1" applyBorder="1" applyAlignment="1" applyProtection="1">
      <alignment horizontal="center"/>
      <protection locked="0" hidden="1"/>
    </xf>
    <xf numFmtId="0" fontId="0" fillId="0" borderId="15" xfId="0" applyFont="1" applyFill="1" applyBorder="1" applyAlignment="1" applyProtection="1">
      <alignment horizontal="center"/>
      <protection locked="0" hidden="1"/>
    </xf>
    <xf numFmtId="0" fontId="0" fillId="12" borderId="15" xfId="0" applyFont="1" applyFill="1" applyBorder="1" applyAlignment="1" applyProtection="1">
      <alignment horizontal="center"/>
      <protection locked="0" hidden="1"/>
    </xf>
    <xf numFmtId="0" fontId="15" fillId="0" borderId="15" xfId="0" applyFont="1" applyFill="1" applyBorder="1" applyAlignment="1" applyProtection="1">
      <alignment horizontal="center"/>
      <protection locked="0" hidden="1"/>
    </xf>
    <xf numFmtId="0" fontId="0" fillId="12" borderId="50" xfId="0" applyFont="1" applyFill="1" applyBorder="1" applyAlignment="1" applyProtection="1">
      <alignment horizontal="center"/>
      <protection locked="0" hidden="1"/>
    </xf>
    <xf numFmtId="0" fontId="0" fillId="0" borderId="17" xfId="0" applyFont="1" applyFill="1" applyBorder="1" applyAlignment="1" applyProtection="1">
      <alignment horizontal="center"/>
      <protection locked="0" hidden="1"/>
    </xf>
    <xf numFmtId="0" fontId="3" fillId="0" borderId="12" xfId="0" applyFont="1" applyFill="1" applyBorder="1" applyProtection="1">
      <protection locked="0" hidden="1"/>
    </xf>
    <xf numFmtId="0" fontId="3" fillId="0" borderId="59" xfId="0" applyFont="1" applyFill="1" applyBorder="1" applyProtection="1">
      <protection locked="0" hidden="1"/>
    </xf>
    <xf numFmtId="0" fontId="0" fillId="0" borderId="59" xfId="0" applyBorder="1" applyAlignment="1">
      <alignment horizontal="center"/>
    </xf>
    <xf numFmtId="0" fontId="2" fillId="3" borderId="13" xfId="0" applyFont="1" applyFill="1" applyBorder="1" applyProtection="1">
      <protection locked="0" hidden="1"/>
    </xf>
    <xf numFmtId="0" fontId="2" fillId="3" borderId="56" xfId="0" applyFont="1" applyFill="1" applyBorder="1" applyProtection="1">
      <protection locked="0" hidden="1"/>
    </xf>
    <xf numFmtId="0" fontId="1" fillId="3" borderId="56" xfId="0" applyFont="1" applyFill="1" applyBorder="1" applyAlignment="1">
      <alignment horizontal="center"/>
    </xf>
    <xf numFmtId="0" fontId="1" fillId="3" borderId="14" xfId="0" applyFont="1" applyFill="1" applyBorder="1" applyAlignment="1">
      <alignment horizontal="center"/>
    </xf>
    <xf numFmtId="0" fontId="3" fillId="0" borderId="50" xfId="0" applyFont="1" applyFill="1" applyBorder="1" applyProtection="1">
      <protection locked="0" hidden="1"/>
    </xf>
    <xf numFmtId="0" fontId="3" fillId="0" borderId="17" xfId="0" applyFont="1" applyFill="1" applyBorder="1" applyProtection="1">
      <protection locked="0" hidden="1"/>
    </xf>
    <xf numFmtId="0" fontId="0" fillId="3" borderId="0" xfId="0" applyFill="1" applyProtection="1">
      <protection locked="0" hidden="1"/>
    </xf>
    <xf numFmtId="0" fontId="3" fillId="0" borderId="0" xfId="0" applyFont="1" applyFill="1" applyBorder="1" applyAlignment="1" applyProtection="1">
      <alignment horizontal="center"/>
      <protection locked="0" hidden="1"/>
    </xf>
    <xf numFmtId="0" fontId="2" fillId="5" borderId="0" xfId="0" applyFont="1" applyFill="1" applyBorder="1" applyAlignment="1" applyProtection="1">
      <alignment horizontal="center"/>
      <protection locked="0" hidden="1"/>
    </xf>
    <xf numFmtId="0" fontId="11" fillId="0" borderId="0" xfId="0" applyFont="1" applyProtection="1">
      <protection hidden="1"/>
    </xf>
    <xf numFmtId="0" fontId="19" fillId="0" borderId="0" xfId="0" applyFont="1" applyFill="1" applyAlignment="1" applyProtection="1">
      <alignment horizontal="center"/>
      <protection hidden="1"/>
    </xf>
    <xf numFmtId="0" fontId="11" fillId="0" borderId="0" xfId="0" applyFont="1" applyFill="1" applyAlignment="1" applyProtection="1">
      <alignment horizontal="center"/>
      <protection hidden="1"/>
    </xf>
    <xf numFmtId="0" fontId="11" fillId="0" borderId="0" xfId="0" applyFont="1" applyFill="1" applyBorder="1" applyAlignment="1" applyProtection="1">
      <alignment horizontal="center"/>
      <protection hidden="1"/>
    </xf>
    <xf numFmtId="0" fontId="19" fillId="0" borderId="0" xfId="0" applyFont="1" applyFill="1" applyAlignment="1" applyProtection="1">
      <alignment horizontal="center"/>
      <protection locked="0" hidden="1"/>
    </xf>
    <xf numFmtId="0" fontId="11" fillId="0" borderId="0" xfId="0" applyFont="1" applyFill="1" applyAlignment="1" applyProtection="1">
      <alignment horizontal="center"/>
      <protection locked="0" hidden="1"/>
    </xf>
    <xf numFmtId="0" fontId="11" fillId="0" borderId="0" xfId="0" applyFont="1" applyFill="1" applyBorder="1" applyAlignment="1" applyProtection="1">
      <alignment horizontal="center"/>
      <protection locked="0" hidden="1"/>
    </xf>
    <xf numFmtId="0" fontId="1" fillId="0" borderId="62" xfId="0" applyFont="1" applyFill="1" applyBorder="1" applyAlignment="1" applyProtection="1">
      <alignment horizontal="center" vertical="center"/>
      <protection locked="0" hidden="1"/>
    </xf>
    <xf numFmtId="0" fontId="12" fillId="0" borderId="62" xfId="0" applyFont="1" applyFill="1" applyBorder="1" applyAlignment="1" applyProtection="1">
      <alignment horizontal="center" vertical="center"/>
      <protection locked="0" hidden="1"/>
    </xf>
    <xf numFmtId="0" fontId="0" fillId="0" borderId="62" xfId="0" applyFill="1" applyBorder="1" applyProtection="1">
      <protection locked="0" hidden="1"/>
    </xf>
    <xf numFmtId="0" fontId="0" fillId="0" borderId="55" xfId="0" applyFont="1" applyFill="1" applyBorder="1" applyAlignment="1" applyProtection="1">
      <alignment horizontal="center"/>
      <protection locked="0" hidden="1"/>
    </xf>
    <xf numFmtId="0" fontId="15" fillId="0" borderId="49" xfId="0" applyFont="1" applyFill="1" applyBorder="1" applyAlignment="1" applyProtection="1">
      <alignment horizontal="center"/>
      <protection locked="0" hidden="1"/>
    </xf>
    <xf numFmtId="0" fontId="0" fillId="0" borderId="49" xfId="0" applyFont="1" applyFill="1" applyBorder="1" applyAlignment="1" applyProtection="1">
      <alignment horizontal="center"/>
      <protection locked="0" hidden="1"/>
    </xf>
    <xf numFmtId="0" fontId="15" fillId="0" borderId="57" xfId="0" applyFont="1" applyFill="1" applyBorder="1" applyAlignment="1" applyProtection="1">
      <alignment horizontal="center"/>
      <protection locked="0" hidden="1"/>
    </xf>
    <xf numFmtId="0" fontId="15" fillId="15" borderId="34" xfId="0" applyFont="1" applyFill="1" applyBorder="1" applyAlignment="1" applyProtection="1">
      <alignment horizontal="center"/>
      <protection locked="0" hidden="1"/>
    </xf>
    <xf numFmtId="0" fontId="15" fillId="15" borderId="58" xfId="0" applyFont="1" applyFill="1" applyBorder="1" applyAlignment="1" applyProtection="1">
      <alignment horizontal="center"/>
      <protection locked="0" hidden="1"/>
    </xf>
    <xf numFmtId="0" fontId="0" fillId="15" borderId="58" xfId="0" applyFont="1" applyFill="1" applyBorder="1" applyAlignment="1" applyProtection="1">
      <alignment horizontal="center"/>
      <protection locked="0" hidden="1"/>
    </xf>
    <xf numFmtId="0" fontId="15" fillId="15" borderId="37" xfId="0" applyFont="1" applyFill="1" applyBorder="1" applyAlignment="1" applyProtection="1">
      <alignment horizontal="center"/>
      <protection locked="0" hidden="1"/>
    </xf>
    <xf numFmtId="0" fontId="2" fillId="0" borderId="12" xfId="0" applyFont="1" applyFill="1" applyBorder="1" applyAlignment="1" applyProtection="1">
      <alignment horizontal="center"/>
      <protection locked="0" hidden="1"/>
    </xf>
    <xf numFmtId="0" fontId="2" fillId="5" borderId="12" xfId="0" applyFont="1" applyFill="1" applyBorder="1" applyAlignment="1" applyProtection="1">
      <alignment horizontal="center"/>
      <protection locked="0" hidden="1"/>
    </xf>
    <xf numFmtId="0" fontId="3" fillId="0" borderId="12" xfId="0" applyFont="1" applyBorder="1" applyAlignment="1" applyProtection="1">
      <alignment horizontal="center"/>
      <protection locked="0" hidden="1"/>
    </xf>
    <xf numFmtId="0" fontId="3" fillId="0" borderId="12" xfId="0" applyFont="1" applyFill="1" applyBorder="1" applyAlignment="1" applyProtection="1">
      <alignment horizontal="center" vertical="center"/>
      <protection locked="0" hidden="1"/>
    </xf>
    <xf numFmtId="0" fontId="1" fillId="8" borderId="15" xfId="0" applyFont="1" applyFill="1" applyBorder="1" applyProtection="1">
      <protection locked="0" hidden="1"/>
    </xf>
    <xf numFmtId="0" fontId="2" fillId="0" borderId="16" xfId="0" applyFont="1" applyFill="1" applyBorder="1" applyAlignment="1" applyProtection="1">
      <alignment horizontal="center"/>
      <protection locked="0" hidden="1"/>
    </xf>
    <xf numFmtId="0" fontId="3" fillId="0" borderId="15" xfId="0" applyFont="1" applyFill="1" applyBorder="1" applyAlignment="1" applyProtection="1">
      <alignment horizontal="center"/>
      <protection locked="0" hidden="1"/>
    </xf>
    <xf numFmtId="0" fontId="3" fillId="0" borderId="16" xfId="0" applyFont="1" applyFill="1" applyBorder="1" applyAlignment="1" applyProtection="1">
      <alignment horizontal="center" vertical="center"/>
      <protection locked="0" hidden="1"/>
    </xf>
    <xf numFmtId="0" fontId="3" fillId="0" borderId="15" xfId="0" applyFont="1" applyBorder="1" applyAlignment="1" applyProtection="1">
      <alignment horizontal="center"/>
      <protection locked="0" hidden="1"/>
    </xf>
    <xf numFmtId="0" fontId="3" fillId="0" borderId="50" xfId="0" applyFont="1" applyBorder="1" applyAlignment="1" applyProtection="1">
      <alignment horizontal="center"/>
      <protection locked="0" hidden="1"/>
    </xf>
    <xf numFmtId="0" fontId="3" fillId="0" borderId="17" xfId="0" applyFont="1" applyBorder="1" applyAlignment="1" applyProtection="1">
      <alignment horizontal="center"/>
      <protection locked="0" hidden="1"/>
    </xf>
    <xf numFmtId="0" fontId="2" fillId="5" borderId="17" xfId="0" applyFont="1" applyFill="1" applyBorder="1" applyAlignment="1" applyProtection="1">
      <alignment horizontal="center"/>
      <protection locked="0" hidden="1"/>
    </xf>
    <xf numFmtId="0" fontId="3" fillId="0" borderId="18" xfId="0" applyFont="1" applyFill="1" applyBorder="1" applyAlignment="1" applyProtection="1">
      <alignment horizontal="center" vertical="center"/>
      <protection locked="0" hidden="1"/>
    </xf>
    <xf numFmtId="0" fontId="0" fillId="0" borderId="13" xfId="0" applyBorder="1" applyAlignment="1" applyProtection="1">
      <alignment vertical="center"/>
      <protection locked="0" hidden="1"/>
    </xf>
    <xf numFmtId="0" fontId="0" fillId="0" borderId="56" xfId="0" applyBorder="1" applyAlignment="1" applyProtection="1">
      <alignment vertical="center"/>
      <protection locked="0" hidden="1"/>
    </xf>
    <xf numFmtId="0" fontId="0" fillId="0" borderId="0" xfId="0" applyAlignment="1" applyProtection="1">
      <alignment horizontal="center" vertical="center"/>
      <protection locked="0" hidden="1"/>
    </xf>
    <xf numFmtId="0" fontId="0" fillId="0" borderId="66" xfId="0" applyBorder="1" applyAlignment="1" applyProtection="1">
      <alignment horizontal="center" vertical="center"/>
      <protection locked="0" hidden="1"/>
    </xf>
    <xf numFmtId="0" fontId="2" fillId="3" borderId="66" xfId="0" applyFont="1" applyFill="1" applyBorder="1" applyAlignment="1" applyProtection="1">
      <alignment horizontal="center" vertical="center"/>
      <protection locked="0" hidden="1"/>
    </xf>
    <xf numFmtId="0" fontId="2" fillId="3" borderId="68" xfId="0" applyFont="1" applyFill="1" applyBorder="1" applyAlignment="1" applyProtection="1">
      <alignment horizontal="center" vertical="center"/>
      <protection locked="0" hidden="1"/>
    </xf>
    <xf numFmtId="0" fontId="0" fillId="0" borderId="63" xfId="0" applyBorder="1" applyAlignment="1" applyProtection="1">
      <alignment horizontal="center" vertical="center"/>
      <protection locked="0" hidden="1"/>
    </xf>
    <xf numFmtId="0" fontId="3" fillId="0" borderId="59" xfId="0" applyFont="1" applyFill="1" applyBorder="1" applyAlignment="1" applyProtection="1">
      <alignment horizontal="center" vertical="center"/>
      <protection locked="0" hidden="1"/>
    </xf>
    <xf numFmtId="0" fontId="3" fillId="0" borderId="61" xfId="0" applyFont="1" applyFill="1" applyBorder="1" applyAlignment="1" applyProtection="1">
      <alignment horizontal="center" vertical="center"/>
      <protection locked="0" hidden="1"/>
    </xf>
    <xf numFmtId="0" fontId="3" fillId="0" borderId="64" xfId="0" applyFont="1" applyFill="1" applyBorder="1" applyAlignment="1" applyProtection="1">
      <alignment horizontal="center" vertical="center"/>
      <protection locked="0" hidden="1"/>
    </xf>
    <xf numFmtId="0" fontId="3" fillId="0" borderId="69" xfId="0" applyFont="1" applyFill="1" applyBorder="1" applyAlignment="1" applyProtection="1">
      <alignment horizontal="center" vertical="center"/>
      <protection locked="0" hidden="1"/>
    </xf>
    <xf numFmtId="0" fontId="3" fillId="0" borderId="15" xfId="0" applyFont="1" applyFill="1" applyBorder="1" applyAlignment="1" applyProtection="1">
      <alignment horizontal="center" vertical="center"/>
      <protection locked="0" hidden="1"/>
    </xf>
    <xf numFmtId="0" fontId="3" fillId="0" borderId="63" xfId="0" applyFont="1" applyFill="1" applyBorder="1" applyAlignment="1" applyProtection="1">
      <alignment horizontal="center" vertical="center"/>
      <protection locked="0" hidden="1"/>
    </xf>
    <xf numFmtId="0" fontId="3" fillId="0" borderId="50" xfId="0" applyFont="1" applyFill="1" applyBorder="1" applyAlignment="1" applyProtection="1">
      <alignment horizontal="center" vertical="center"/>
      <protection locked="0" hidden="1"/>
    </xf>
    <xf numFmtId="0" fontId="3" fillId="0" borderId="17" xfId="0" applyFont="1" applyFill="1" applyBorder="1" applyAlignment="1" applyProtection="1">
      <alignment horizontal="center" vertical="center"/>
      <protection locked="0" hidden="1"/>
    </xf>
    <xf numFmtId="0" fontId="2" fillId="5" borderId="0" xfId="0" applyFont="1" applyFill="1" applyBorder="1" applyAlignment="1" applyProtection="1">
      <alignment horizontal="center"/>
      <protection locked="0" hidden="1"/>
    </xf>
    <xf numFmtId="0" fontId="0" fillId="0" borderId="12" xfId="0" applyBorder="1" applyAlignment="1" applyProtection="1">
      <alignment horizontal="center"/>
      <protection locked="0" hidden="1"/>
    </xf>
    <xf numFmtId="0" fontId="1" fillId="8" borderId="12" xfId="0" applyFont="1" applyFill="1" applyBorder="1" applyAlignment="1" applyProtection="1">
      <alignment horizontal="center" vertical="center"/>
      <protection locked="0" hidden="1"/>
    </xf>
    <xf numFmtId="0" fontId="2" fillId="8" borderId="12" xfId="0" applyFont="1" applyFill="1" applyBorder="1" applyAlignment="1" applyProtection="1">
      <alignment horizontal="center"/>
      <protection locked="0" hidden="1"/>
    </xf>
    <xf numFmtId="0" fontId="3" fillId="7" borderId="12" xfId="0" applyFont="1" applyFill="1" applyBorder="1" applyAlignment="1" applyProtection="1">
      <alignment horizontal="center"/>
      <protection locked="0" hidden="1"/>
    </xf>
    <xf numFmtId="0" fontId="3" fillId="0" borderId="5" xfId="0" applyFont="1" applyBorder="1" applyAlignment="1" applyProtection="1">
      <alignment horizontal="center" vertical="center"/>
      <protection locked="0" hidden="1"/>
    </xf>
    <xf numFmtId="0" fontId="3" fillId="0" borderId="8" xfId="0" applyFont="1" applyBorder="1" applyAlignment="1" applyProtection="1">
      <alignment horizontal="center" vertical="center"/>
      <protection locked="0" hidden="1"/>
    </xf>
    <xf numFmtId="0" fontId="3" fillId="0" borderId="12" xfId="0" applyFont="1" applyFill="1" applyBorder="1" applyAlignment="1" applyProtection="1">
      <alignment horizontal="center"/>
      <protection hidden="1"/>
    </xf>
    <xf numFmtId="0" fontId="3" fillId="0" borderId="12" xfId="0" applyFont="1" applyBorder="1" applyProtection="1">
      <protection hidden="1"/>
    </xf>
    <xf numFmtId="0" fontId="3" fillId="4" borderId="12" xfId="0" applyFont="1" applyFill="1" applyBorder="1" applyAlignment="1" applyProtection="1">
      <alignment horizontal="left"/>
      <protection hidden="1"/>
    </xf>
    <xf numFmtId="14" fontId="3" fillId="4" borderId="12" xfId="0" applyNumberFormat="1" applyFont="1" applyFill="1" applyBorder="1" applyAlignment="1" applyProtection="1">
      <alignment horizontal="left"/>
      <protection hidden="1"/>
    </xf>
    <xf numFmtId="2" fontId="3" fillId="0" borderId="12" xfId="0" applyNumberFormat="1" applyFont="1" applyBorder="1" applyAlignment="1" applyProtection="1">
      <alignment horizontal="center"/>
      <protection hidden="1"/>
    </xf>
    <xf numFmtId="0" fontId="11" fillId="16" borderId="12" xfId="0" applyFont="1" applyFill="1" applyBorder="1" applyProtection="1">
      <protection hidden="1"/>
    </xf>
    <xf numFmtId="0" fontId="2" fillId="8" borderId="12" xfId="0" applyFont="1" applyFill="1" applyBorder="1" applyAlignment="1" applyProtection="1">
      <alignment horizontal="center" wrapText="1"/>
      <protection hidden="1"/>
    </xf>
    <xf numFmtId="0" fontId="3" fillId="0" borderId="12" xfId="0" applyFont="1" applyBorder="1" applyAlignment="1" applyProtection="1">
      <alignment horizontal="left"/>
      <protection hidden="1"/>
    </xf>
    <xf numFmtId="0" fontId="2" fillId="3" borderId="12" xfId="0" applyFont="1" applyFill="1" applyBorder="1" applyAlignment="1" applyProtection="1">
      <alignment horizontal="center"/>
      <protection hidden="1"/>
    </xf>
    <xf numFmtId="0" fontId="3" fillId="4" borderId="12" xfId="0" applyFont="1" applyFill="1" applyBorder="1" applyAlignment="1" applyProtection="1">
      <alignment horizontal="center" vertical="center"/>
      <protection hidden="1"/>
    </xf>
    <xf numFmtId="0" fontId="2" fillId="3" borderId="12" xfId="0" applyFont="1" applyFill="1" applyBorder="1" applyAlignment="1" applyProtection="1">
      <alignment horizontal="center" vertical="center"/>
      <protection hidden="1"/>
    </xf>
    <xf numFmtId="0" fontId="2" fillId="0" borderId="0" xfId="0" applyFont="1" applyFill="1" applyBorder="1" applyAlignment="1" applyProtection="1">
      <protection hidden="1"/>
    </xf>
    <xf numFmtId="0" fontId="2" fillId="0" borderId="0" xfId="0" applyFont="1" applyBorder="1" applyAlignment="1" applyProtection="1">
      <alignment horizontal="center" vertical="center"/>
      <protection hidden="1"/>
    </xf>
    <xf numFmtId="0" fontId="2" fillId="8" borderId="12" xfId="0" applyFont="1" applyFill="1" applyBorder="1" applyAlignment="1" applyProtection="1">
      <alignment horizontal="center" vertical="center"/>
      <protection locked="0" hidden="1"/>
    </xf>
    <xf numFmtId="0" fontId="1" fillId="3" borderId="67" xfId="0" applyFont="1" applyFill="1" applyBorder="1" applyAlignment="1" applyProtection="1">
      <alignment horizontal="center" vertical="center"/>
      <protection locked="0" hidden="1"/>
    </xf>
    <xf numFmtId="0" fontId="1" fillId="3" borderId="68" xfId="0" applyFont="1" applyFill="1" applyBorder="1" applyAlignment="1" applyProtection="1">
      <alignment horizontal="center" vertical="center"/>
      <protection locked="0" hidden="1"/>
    </xf>
    <xf numFmtId="0" fontId="3" fillId="4" borderId="5" xfId="0" applyFont="1" applyFill="1" applyBorder="1" applyAlignment="1" applyProtection="1">
      <alignment horizontal="center"/>
      <protection locked="0" hidden="1"/>
    </xf>
    <xf numFmtId="0" fontId="2" fillId="0" borderId="2" xfId="0" applyFont="1" applyBorder="1" applyAlignment="1" applyProtection="1">
      <alignment horizontal="center" vertical="center"/>
      <protection locked="0" hidden="1"/>
    </xf>
    <xf numFmtId="0" fontId="2" fillId="0" borderId="3" xfId="0" applyFont="1" applyBorder="1" applyAlignment="1" applyProtection="1">
      <alignment horizontal="center" vertical="center"/>
      <protection locked="0" hidden="1"/>
    </xf>
    <xf numFmtId="0" fontId="11" fillId="0" borderId="0" xfId="0" applyFont="1" applyBorder="1" applyAlignment="1" applyProtection="1">
      <alignment horizontal="center" vertical="center"/>
      <protection locked="0" hidden="1"/>
    </xf>
    <xf numFmtId="0" fontId="19" fillId="0" borderId="5" xfId="0" applyFont="1" applyFill="1" applyBorder="1" applyAlignment="1" applyProtection="1">
      <alignment horizontal="center" vertical="center"/>
      <protection locked="0" hidden="1"/>
    </xf>
    <xf numFmtId="0" fontId="2" fillId="8" borderId="7" xfId="0" applyFont="1" applyFill="1" applyBorder="1" applyAlignment="1" applyProtection="1">
      <alignment horizontal="center"/>
      <protection locked="0" hidden="1"/>
    </xf>
    <xf numFmtId="0" fontId="3" fillId="0" borderId="7" xfId="0" applyFont="1" applyBorder="1" applyAlignment="1" applyProtection="1">
      <alignment horizontal="center" vertical="center"/>
      <protection locked="0" hidden="1"/>
    </xf>
    <xf numFmtId="0" fontId="0" fillId="0" borderId="10" xfId="0" applyBorder="1" applyProtection="1">
      <protection locked="0" hidden="1"/>
    </xf>
    <xf numFmtId="0" fontId="2" fillId="8" borderId="64" xfId="0" applyFont="1" applyFill="1" applyBorder="1" applyAlignment="1" applyProtection="1">
      <alignment horizontal="center"/>
      <protection locked="0" hidden="1"/>
    </xf>
    <xf numFmtId="0" fontId="2" fillId="3" borderId="69" xfId="0" applyFont="1" applyFill="1" applyBorder="1" applyAlignment="1" applyProtection="1">
      <alignment horizontal="center"/>
      <protection locked="0" hidden="1"/>
    </xf>
    <xf numFmtId="0" fontId="2" fillId="8" borderId="66" xfId="0" applyFont="1" applyFill="1" applyBorder="1" applyAlignment="1" applyProtection="1">
      <alignment horizontal="center"/>
      <protection locked="0" hidden="1"/>
    </xf>
    <xf numFmtId="0" fontId="3" fillId="0" borderId="67" xfId="0" applyFont="1" applyBorder="1" applyAlignment="1" applyProtection="1">
      <alignment horizontal="center"/>
      <protection locked="0" hidden="1"/>
    </xf>
    <xf numFmtId="0" fontId="2" fillId="3" borderId="68" xfId="0" applyFont="1" applyFill="1" applyBorder="1" applyAlignment="1" applyProtection="1">
      <alignment horizontal="center"/>
      <protection locked="0" hidden="1"/>
    </xf>
    <xf numFmtId="0" fontId="0" fillId="4" borderId="19" xfId="0" applyFill="1" applyBorder="1" applyAlignment="1" applyProtection="1">
      <alignment horizontal="center" vertical="center"/>
      <protection locked="0" hidden="1"/>
    </xf>
    <xf numFmtId="0" fontId="0" fillId="0" borderId="19" xfId="0" applyBorder="1" applyAlignment="1" applyProtection="1">
      <alignment horizontal="center"/>
      <protection hidden="1"/>
    </xf>
    <xf numFmtId="14" fontId="3" fillId="4" borderId="0" xfId="0" applyNumberFormat="1" applyFont="1" applyFill="1" applyBorder="1" applyAlignment="1" applyProtection="1">
      <alignment horizontal="left" vertical="center"/>
      <protection locked="0" hidden="1"/>
    </xf>
    <xf numFmtId="0" fontId="19" fillId="0" borderId="0" xfId="0" applyFont="1" applyFill="1" applyProtection="1">
      <protection locked="0" hidden="1"/>
    </xf>
    <xf numFmtId="16" fontId="11" fillId="0" borderId="0" xfId="0" applyNumberFormat="1" applyFont="1" applyProtection="1">
      <protection locked="0" hidden="1"/>
    </xf>
    <xf numFmtId="0" fontId="11" fillId="0" borderId="0" xfId="0" applyFont="1" applyFill="1" applyProtection="1">
      <protection locked="0" hidden="1"/>
    </xf>
    <xf numFmtId="14" fontId="3" fillId="8" borderId="0" xfId="0" applyNumberFormat="1" applyFont="1" applyFill="1" applyBorder="1" applyAlignment="1" applyProtection="1">
      <alignment horizontal="left" vertical="center"/>
      <protection hidden="1"/>
    </xf>
    <xf numFmtId="0" fontId="0" fillId="0" borderId="11" xfId="0" applyBorder="1" applyAlignment="1" applyProtection="1">
      <alignment vertical="center"/>
      <protection locked="0" hidden="1"/>
    </xf>
    <xf numFmtId="0" fontId="0" fillId="17" borderId="16" xfId="0" applyFill="1" applyBorder="1" applyAlignment="1" applyProtection="1">
      <alignment horizontal="center" vertical="center"/>
      <protection hidden="1"/>
    </xf>
    <xf numFmtId="0" fontId="0" fillId="0" borderId="55" xfId="0" applyBorder="1" applyAlignment="1" applyProtection="1">
      <alignment horizontal="center"/>
      <protection locked="0" hidden="1"/>
    </xf>
    <xf numFmtId="0" fontId="0" fillId="0" borderId="57" xfId="0" applyBorder="1" applyAlignment="1" applyProtection="1">
      <alignment horizontal="center"/>
      <protection locked="0" hidden="1"/>
    </xf>
    <xf numFmtId="0" fontId="0" fillId="8" borderId="34" xfId="0" applyFill="1" applyBorder="1" applyAlignment="1" applyProtection="1">
      <alignment horizontal="center"/>
      <protection locked="0" hidden="1"/>
    </xf>
    <xf numFmtId="0" fontId="0" fillId="8" borderId="37" xfId="0" applyFill="1" applyBorder="1" applyAlignment="1" applyProtection="1">
      <alignment horizontal="center"/>
      <protection locked="0" hidden="1"/>
    </xf>
    <xf numFmtId="0" fontId="3" fillId="0" borderId="0" xfId="0" applyFont="1" applyFill="1" applyBorder="1" applyAlignment="1" applyProtection="1">
      <alignment horizontal="center"/>
      <protection locked="0" hidden="1"/>
    </xf>
    <xf numFmtId="0" fontId="0" fillId="0" borderId="2" xfId="0" applyBorder="1" applyAlignment="1" applyProtection="1">
      <alignmen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vertical="center"/>
      <protection hidden="1"/>
    </xf>
    <xf numFmtId="0" fontId="0" fillId="0" borderId="0" xfId="0" applyAlignment="1" applyProtection="1">
      <alignment vertical="center"/>
      <protection hidden="1"/>
    </xf>
    <xf numFmtId="0" fontId="0" fillId="0" borderId="13" xfId="0" applyBorder="1" applyAlignment="1" applyProtection="1">
      <alignment vertical="center"/>
      <protection hidden="1"/>
    </xf>
    <xf numFmtId="0" fontId="0" fillId="0" borderId="56" xfId="0" applyBorder="1" applyAlignment="1" applyProtection="1">
      <alignment vertical="center"/>
      <protection hidden="1"/>
    </xf>
    <xf numFmtId="0" fontId="0" fillId="0" borderId="4" xfId="0" applyBorder="1" applyProtection="1">
      <protection hidden="1"/>
    </xf>
    <xf numFmtId="0" fontId="3" fillId="4" borderId="0" xfId="0" applyFont="1" applyFill="1" applyBorder="1" applyAlignment="1" applyProtection="1">
      <alignment horizontal="center"/>
      <protection hidden="1"/>
    </xf>
    <xf numFmtId="0" fontId="0" fillId="3" borderId="0" xfId="0" applyFill="1" applyBorder="1" applyAlignment="1" applyProtection="1">
      <alignment horizontal="center" vertical="center"/>
      <protection hidden="1"/>
    </xf>
    <xf numFmtId="0" fontId="0" fillId="8" borderId="0" xfId="0" applyFill="1" applyBorder="1" applyProtection="1">
      <protection hidden="1"/>
    </xf>
    <xf numFmtId="0" fontId="1" fillId="8" borderId="15" xfId="0" applyFont="1" applyFill="1" applyBorder="1" applyProtection="1">
      <protection hidden="1"/>
    </xf>
    <xf numFmtId="0" fontId="2" fillId="0" borderId="12" xfId="0" applyFont="1" applyFill="1" applyBorder="1" applyAlignment="1" applyProtection="1">
      <alignment horizontal="center"/>
      <protection hidden="1"/>
    </xf>
    <xf numFmtId="0" fontId="2" fillId="0" borderId="16" xfId="0" applyFont="1" applyFill="1" applyBorder="1" applyAlignment="1" applyProtection="1">
      <alignment horizontal="center"/>
      <protection hidden="1"/>
    </xf>
    <xf numFmtId="0" fontId="3" fillId="0" borderId="15" xfId="0" applyFont="1" applyFill="1" applyBorder="1" applyAlignment="1" applyProtection="1">
      <alignment horizontal="center"/>
      <protection hidden="1"/>
    </xf>
    <xf numFmtId="0" fontId="3" fillId="0" borderId="16" xfId="0" applyFont="1" applyFill="1" applyBorder="1" applyAlignment="1" applyProtection="1">
      <alignment horizontal="center"/>
      <protection hidden="1"/>
    </xf>
    <xf numFmtId="0" fontId="0" fillId="0" borderId="6" xfId="0" applyBorder="1" applyProtection="1">
      <protection hidden="1"/>
    </xf>
    <xf numFmtId="0" fontId="0" fillId="0" borderId="7" xfId="0" applyBorder="1" applyProtection="1">
      <protection hidden="1"/>
    </xf>
    <xf numFmtId="0" fontId="0" fillId="3" borderId="7" xfId="0" applyFill="1" applyBorder="1" applyAlignment="1" applyProtection="1">
      <alignment horizontal="center" vertical="center"/>
      <protection hidden="1"/>
    </xf>
    <xf numFmtId="0" fontId="0" fillId="8" borderId="7" xfId="0" applyFill="1" applyBorder="1" applyProtection="1">
      <protection hidden="1"/>
    </xf>
    <xf numFmtId="0" fontId="0" fillId="0" borderId="8" xfId="0" applyBorder="1" applyAlignment="1" applyProtection="1">
      <alignment vertical="center"/>
      <protection hidden="1"/>
    </xf>
    <xf numFmtId="0" fontId="3" fillId="0" borderId="16" xfId="0" applyFont="1" applyBorder="1" applyAlignment="1" applyProtection="1">
      <alignment horizontal="center"/>
      <protection hidden="1"/>
    </xf>
    <xf numFmtId="0" fontId="0" fillId="0" borderId="0" xfId="0" applyAlignment="1" applyProtection="1">
      <alignment horizontal="center" vertical="center"/>
      <protection hidden="1"/>
    </xf>
    <xf numFmtId="0" fontId="3" fillId="0" borderId="15" xfId="0" applyFont="1" applyBorder="1" applyAlignment="1" applyProtection="1">
      <alignment horizontal="center"/>
      <protection hidden="1"/>
    </xf>
    <xf numFmtId="0" fontId="3" fillId="0" borderId="50" xfId="0" applyFont="1" applyBorder="1" applyAlignment="1" applyProtection="1">
      <alignment horizontal="center"/>
      <protection hidden="1"/>
    </xf>
    <xf numFmtId="0" fontId="3" fillId="0" borderId="17" xfId="0" applyFont="1" applyBorder="1" applyAlignment="1" applyProtection="1">
      <alignment horizontal="center"/>
      <protection hidden="1"/>
    </xf>
    <xf numFmtId="0" fontId="2" fillId="5" borderId="17" xfId="0" applyFont="1" applyFill="1" applyBorder="1" applyAlignment="1" applyProtection="1">
      <alignment horizontal="center"/>
      <protection hidden="1"/>
    </xf>
    <xf numFmtId="0" fontId="3" fillId="0" borderId="18" xfId="0" applyFont="1" applyBorder="1" applyAlignment="1" applyProtection="1">
      <alignment horizontal="center"/>
      <protection hidden="1"/>
    </xf>
    <xf numFmtId="0" fontId="0" fillId="0" borderId="12" xfId="0" applyBorder="1" applyAlignment="1" applyProtection="1">
      <alignment horizontal="center" vertical="center"/>
      <protection locked="0" hidden="1"/>
    </xf>
    <xf numFmtId="0" fontId="0" fillId="8" borderId="12" xfId="0" applyFill="1" applyBorder="1" applyAlignment="1" applyProtection="1">
      <alignment horizontal="center"/>
      <protection locked="0" hidden="1"/>
    </xf>
    <xf numFmtId="0" fontId="0" fillId="0" borderId="65" xfId="0" applyBorder="1" applyAlignment="1" applyProtection="1">
      <alignment horizontal="center" vertical="center"/>
      <protection locked="0" hidden="1"/>
    </xf>
    <xf numFmtId="0" fontId="20" fillId="14" borderId="0" xfId="0" applyFont="1" applyFill="1" applyProtection="1">
      <protection locked="0" hidden="1"/>
    </xf>
    <xf numFmtId="0" fontId="20" fillId="14" borderId="0" xfId="0" applyFont="1" applyFill="1" applyAlignment="1" applyProtection="1">
      <alignment horizontal="center" vertical="center"/>
      <protection locked="0" hidden="1"/>
    </xf>
    <xf numFmtId="0" fontId="20" fillId="14" borderId="0" xfId="0" applyFont="1" applyFill="1" applyAlignment="1" applyProtection="1">
      <alignment horizontal="center"/>
      <protection locked="0" hidden="1"/>
    </xf>
    <xf numFmtId="0" fontId="0" fillId="0" borderId="2" xfId="0" applyBorder="1" applyAlignment="1" applyProtection="1">
      <alignment horizontal="center" vertical="center"/>
      <protection locked="0" hidden="1"/>
    </xf>
    <xf numFmtId="0" fontId="0" fillId="0" borderId="3" xfId="0" applyBorder="1" applyAlignment="1" applyProtection="1">
      <alignment vertical="center"/>
      <protection locked="0" hidden="1"/>
    </xf>
    <xf numFmtId="0" fontId="0" fillId="0" borderId="3" xfId="0" applyBorder="1" applyAlignment="1" applyProtection="1">
      <alignment horizontal="center" vertical="center"/>
      <protection locked="0" hidden="1"/>
    </xf>
    <xf numFmtId="0" fontId="1" fillId="3" borderId="66" xfId="0" applyFont="1" applyFill="1" applyBorder="1" applyAlignment="1" applyProtection="1">
      <alignment horizontal="center" vertical="center"/>
      <protection locked="0" hidden="1"/>
    </xf>
    <xf numFmtId="0" fontId="0" fillId="3" borderId="10" xfId="0" applyFill="1" applyBorder="1" applyAlignment="1" applyProtection="1">
      <alignment horizontal="center" vertical="center"/>
      <protection locked="0" hidden="1"/>
    </xf>
    <xf numFmtId="0" fontId="0" fillId="0" borderId="9" xfId="0" applyBorder="1" applyAlignment="1" applyProtection="1">
      <alignment horizontal="center"/>
      <protection locked="0" hidden="1"/>
    </xf>
    <xf numFmtId="0" fontId="1" fillId="8" borderId="9" xfId="0" applyFont="1" applyFill="1" applyBorder="1" applyProtection="1">
      <protection locked="0" hidden="1"/>
    </xf>
    <xf numFmtId="0" fontId="0" fillId="0" borderId="12" xfId="0" applyBorder="1" applyProtection="1">
      <protection locked="0" hidden="1"/>
    </xf>
    <xf numFmtId="0" fontId="0" fillId="0" borderId="50" xfId="0" applyBorder="1" applyAlignment="1" applyProtection="1">
      <alignment horizontal="center"/>
      <protection locked="0" hidden="1"/>
    </xf>
    <xf numFmtId="0" fontId="0" fillId="3" borderId="4" xfId="0" applyFill="1" applyBorder="1" applyAlignment="1" applyProtection="1">
      <alignment horizontal="center" vertical="center"/>
      <protection locked="0" hidden="1"/>
    </xf>
    <xf numFmtId="0" fontId="1" fillId="0" borderId="0" xfId="0" applyFont="1" applyBorder="1" applyProtection="1">
      <protection locked="0" hidden="1"/>
    </xf>
    <xf numFmtId="0" fontId="0" fillId="0" borderId="61" xfId="0" applyBorder="1" applyAlignment="1" applyProtection="1">
      <alignment horizontal="center" vertical="center"/>
      <protection locked="0" hidden="1"/>
    </xf>
    <xf numFmtId="0" fontId="0" fillId="3" borderId="19" xfId="0" applyFill="1" applyBorder="1" applyAlignment="1" applyProtection="1">
      <alignment horizontal="center" vertical="center"/>
      <protection locked="0" hidden="1"/>
    </xf>
    <xf numFmtId="0" fontId="1" fillId="8" borderId="10" xfId="0" applyFont="1" applyFill="1" applyBorder="1" applyProtection="1">
      <protection locked="0" hidden="1"/>
    </xf>
    <xf numFmtId="0" fontId="0" fillId="0" borderId="64" xfId="0" applyBorder="1" applyAlignment="1" applyProtection="1">
      <alignment horizontal="center" vertical="center"/>
      <protection locked="0" hidden="1"/>
    </xf>
    <xf numFmtId="0" fontId="0" fillId="0" borderId="69" xfId="0" applyBorder="1" applyAlignment="1" applyProtection="1">
      <alignment horizontal="center" vertical="center"/>
      <protection locked="0" hidden="1"/>
    </xf>
    <xf numFmtId="0" fontId="0" fillId="0" borderId="16" xfId="0" applyBorder="1" applyAlignment="1">
      <alignment vertical="center" wrapText="1"/>
    </xf>
    <xf numFmtId="0" fontId="0" fillId="0" borderId="18" xfId="0" applyBorder="1" applyAlignment="1">
      <alignment vertical="center" wrapText="1"/>
    </xf>
    <xf numFmtId="0" fontId="0" fillId="0" borderId="61" xfId="0" applyBorder="1" applyAlignment="1">
      <alignment vertical="center" wrapText="1"/>
    </xf>
    <xf numFmtId="0" fontId="0" fillId="8" borderId="63" xfId="0" applyFill="1" applyBorder="1" applyAlignment="1">
      <alignment vertical="center"/>
    </xf>
    <xf numFmtId="0" fontId="0" fillId="18" borderId="15" xfId="0" applyFill="1" applyBorder="1" applyAlignment="1">
      <alignment vertical="center"/>
    </xf>
    <xf numFmtId="0" fontId="0" fillId="4" borderId="15" xfId="0" applyFill="1" applyBorder="1" applyAlignment="1">
      <alignment vertical="center" wrapText="1"/>
    </xf>
    <xf numFmtId="0" fontId="0" fillId="10" borderId="15" xfId="0" applyFill="1" applyBorder="1" applyAlignment="1">
      <alignment vertical="center" wrapText="1"/>
    </xf>
    <xf numFmtId="0" fontId="0" fillId="2" borderId="50" xfId="0" applyFill="1" applyBorder="1" applyAlignment="1">
      <alignment wrapText="1"/>
    </xf>
    <xf numFmtId="0" fontId="1" fillId="0" borderId="12" xfId="0" applyFont="1" applyBorder="1" applyAlignment="1">
      <alignment wrapText="1"/>
    </xf>
    <xf numFmtId="0" fontId="0" fillId="0" borderId="17" xfId="0" applyBorder="1" applyAlignment="1">
      <alignment wrapText="1"/>
    </xf>
    <xf numFmtId="0" fontId="0" fillId="0" borderId="50" xfId="0" applyBorder="1" applyAlignment="1">
      <alignment horizontal="center" vertical="center"/>
    </xf>
    <xf numFmtId="0" fontId="0" fillId="0" borderId="63" xfId="0" applyBorder="1" applyAlignment="1">
      <alignment horizontal="center" vertical="center"/>
    </xf>
    <xf numFmtId="0" fontId="0" fillId="4" borderId="61" xfId="0" applyFill="1" applyBorder="1"/>
    <xf numFmtId="0" fontId="0" fillId="8" borderId="66" xfId="0" applyFill="1" applyBorder="1" applyAlignment="1">
      <alignment horizontal="center" vertical="center"/>
    </xf>
    <xf numFmtId="0" fontId="0" fillId="0" borderId="68" xfId="0" applyBorder="1"/>
    <xf numFmtId="0" fontId="0" fillId="0" borderId="0" xfId="0" applyAlignment="1">
      <alignment wrapText="1"/>
    </xf>
    <xf numFmtId="0" fontId="1" fillId="0" borderId="0" xfId="0" applyFont="1" applyBorder="1"/>
    <xf numFmtId="0" fontId="0" fillId="0" borderId="0" xfId="0" applyBorder="1" applyAlignment="1">
      <alignment vertical="center" wrapText="1"/>
    </xf>
    <xf numFmtId="0" fontId="0" fillId="0" borderId="0" xfId="0" applyAlignment="1">
      <alignment horizontal="center"/>
    </xf>
    <xf numFmtId="0" fontId="0" fillId="0" borderId="12" xfId="0" applyBorder="1" applyAlignment="1">
      <alignment horizontal="center" vertical="top"/>
    </xf>
    <xf numFmtId="0" fontId="1" fillId="4" borderId="12" xfId="0" applyFont="1" applyFill="1" applyBorder="1" applyAlignment="1">
      <alignment vertical="top" wrapText="1"/>
    </xf>
    <xf numFmtId="0" fontId="0" fillId="0" borderId="12" xfId="0" applyBorder="1" applyAlignment="1">
      <alignment vertical="top" wrapText="1"/>
    </xf>
    <xf numFmtId="0" fontId="1" fillId="0" borderId="66" xfId="0" applyFont="1" applyBorder="1" applyAlignment="1">
      <alignment vertical="center"/>
    </xf>
    <xf numFmtId="0" fontId="1" fillId="4" borderId="68" xfId="0" applyFont="1" applyFill="1" applyBorder="1" applyAlignment="1">
      <alignment vertical="center"/>
    </xf>
    <xf numFmtId="0" fontId="0" fillId="8" borderId="66" xfId="0" applyFill="1" applyBorder="1" applyAlignment="1">
      <alignment horizontal="center" vertical="center" wrapText="1"/>
    </xf>
    <xf numFmtId="0" fontId="0" fillId="0" borderId="59" xfId="0" applyBorder="1" applyAlignment="1">
      <alignment wrapText="1"/>
    </xf>
    <xf numFmtId="0" fontId="2" fillId="8" borderId="0" xfId="0" applyFont="1" applyFill="1" applyBorder="1" applyAlignment="1" applyProtection="1">
      <alignment horizontal="center"/>
      <protection locked="0" hidden="1"/>
    </xf>
    <xf numFmtId="0" fontId="2" fillId="5" borderId="0" xfId="0" applyFont="1" applyFill="1" applyBorder="1" applyAlignment="1" applyProtection="1">
      <alignment horizontal="center"/>
      <protection locked="0" hidden="1"/>
    </xf>
    <xf numFmtId="0" fontId="12" fillId="0" borderId="0" xfId="0" applyFont="1" applyFill="1" applyAlignment="1" applyProtection="1">
      <alignment horizontal="center"/>
      <protection locked="0" hidden="1"/>
    </xf>
    <xf numFmtId="0" fontId="0" fillId="0" borderId="18" xfId="0" applyBorder="1" applyAlignment="1" applyProtection="1">
      <alignment horizontal="center"/>
      <protection locked="0" hidden="1"/>
    </xf>
    <xf numFmtId="0" fontId="12" fillId="0" borderId="0" xfId="0" applyFont="1" applyFill="1" applyAlignment="1" applyProtection="1">
      <alignment horizontal="center"/>
      <protection locked="0" hidden="1"/>
    </xf>
    <xf numFmtId="0" fontId="0" fillId="0" borderId="17" xfId="0" applyBorder="1" applyAlignment="1" applyProtection="1">
      <alignment horizontal="center"/>
      <protection locked="0" hidden="1"/>
    </xf>
    <xf numFmtId="0" fontId="0" fillId="0" borderId="18" xfId="0" applyBorder="1" applyAlignment="1" applyProtection="1">
      <alignment horizontal="center"/>
      <protection locked="0" hidden="1"/>
    </xf>
    <xf numFmtId="0" fontId="7" fillId="0" borderId="0" xfId="0" applyFont="1"/>
    <xf numFmtId="0" fontId="7" fillId="0" borderId="0" xfId="0" applyFont="1" applyBorder="1" applyProtection="1">
      <protection locked="0" hidden="1"/>
    </xf>
    <xf numFmtId="0" fontId="7" fillId="0" borderId="0" xfId="0" applyFont="1" applyBorder="1"/>
    <xf numFmtId="0" fontId="7" fillId="0" borderId="0" xfId="0" applyFont="1" applyAlignment="1" applyProtection="1">
      <alignment vertical="center"/>
      <protection locked="0" hidden="1"/>
    </xf>
    <xf numFmtId="0" fontId="7" fillId="0" borderId="0" xfId="0" applyFont="1" applyFill="1" applyAlignment="1" applyProtection="1">
      <protection locked="0" hidden="1"/>
    </xf>
    <xf numFmtId="0" fontId="7" fillId="0" borderId="0" xfId="0" applyFont="1" applyAlignment="1" applyProtection="1">
      <alignment horizontal="center"/>
      <protection locked="0" hidden="1"/>
    </xf>
    <xf numFmtId="0" fontId="7" fillId="0" borderId="0" xfId="0" applyFont="1" applyProtection="1">
      <protection locked="0"/>
    </xf>
    <xf numFmtId="0" fontId="7" fillId="0" borderId="0" xfId="0" applyFont="1" applyAlignment="1" applyProtection="1">
      <alignment horizontal="center" vertical="center"/>
      <protection locked="0" hidden="1"/>
    </xf>
    <xf numFmtId="49" fontId="3" fillId="0" borderId="0" xfId="0" applyNumberFormat="1" applyFont="1" applyProtection="1">
      <protection hidden="1"/>
    </xf>
    <xf numFmtId="0" fontId="11" fillId="0" borderId="54" xfId="0" applyFont="1" applyBorder="1" applyProtection="1">
      <protection hidden="1"/>
    </xf>
    <xf numFmtId="0" fontId="1" fillId="0" borderId="12" xfId="0" applyFont="1" applyFill="1" applyBorder="1" applyAlignment="1" applyProtection="1">
      <alignment horizontal="center"/>
      <protection hidden="1"/>
    </xf>
    <xf numFmtId="0" fontId="2" fillId="19" borderId="0" xfId="0" applyFont="1" applyFill="1" applyBorder="1" applyAlignment="1" applyProtection="1">
      <alignment horizontal="center"/>
      <protection hidden="1"/>
    </xf>
    <xf numFmtId="0" fontId="2" fillId="0" borderId="12" xfId="0" applyFont="1" applyBorder="1" applyAlignment="1" applyProtection="1">
      <alignment horizontal="center" vertical="center"/>
      <protection locked="0" hidden="1"/>
    </xf>
    <xf numFmtId="0" fontId="7" fillId="0" borderId="13" xfId="0" applyFont="1" applyFill="1" applyBorder="1" applyAlignment="1" applyProtection="1">
      <alignment horizontal="center" vertical="center"/>
      <protection locked="0" hidden="1"/>
    </xf>
    <xf numFmtId="0" fontId="12" fillId="0" borderId="56" xfId="0" applyFont="1" applyBorder="1" applyAlignment="1" applyProtection="1">
      <alignment horizontal="center" vertical="center"/>
      <protection locked="0" hidden="1"/>
    </xf>
    <xf numFmtId="0" fontId="12" fillId="0" borderId="14" xfId="0" applyFont="1" applyBorder="1" applyAlignment="1" applyProtection="1">
      <alignment horizontal="center" vertical="center"/>
      <protection locked="0" hidden="1"/>
    </xf>
    <xf numFmtId="0" fontId="7" fillId="0" borderId="15" xfId="0" applyFont="1" applyFill="1" applyBorder="1" applyAlignment="1" applyProtection="1">
      <alignment horizontal="center" vertical="center"/>
      <protection locked="0" hidden="1"/>
    </xf>
    <xf numFmtId="0" fontId="2" fillId="0" borderId="16" xfId="0" applyFont="1" applyBorder="1" applyAlignment="1" applyProtection="1">
      <alignment horizontal="center" vertical="center"/>
      <protection locked="0" hidden="1"/>
    </xf>
    <xf numFmtId="0" fontId="3" fillId="0" borderId="15" xfId="0" applyFont="1" applyBorder="1" applyAlignment="1" applyProtection="1">
      <alignment horizontal="center" vertical="center"/>
      <protection locked="0" hidden="1"/>
    </xf>
    <xf numFmtId="0" fontId="0" fillId="0" borderId="16" xfId="0" applyBorder="1" applyAlignment="1" applyProtection="1">
      <alignment horizontal="center"/>
      <protection locked="0" hidden="1"/>
    </xf>
    <xf numFmtId="1" fontId="3" fillId="0" borderId="15" xfId="0" applyNumberFormat="1" applyFont="1" applyFill="1" applyBorder="1" applyAlignment="1" applyProtection="1">
      <alignment horizontal="center" vertical="center"/>
      <protection locked="0" hidden="1"/>
    </xf>
    <xf numFmtId="0" fontId="3" fillId="0" borderId="50" xfId="0" applyFont="1" applyBorder="1" applyAlignment="1" applyProtection="1">
      <alignment horizontal="center" vertical="center"/>
      <protection locked="0" hidden="1"/>
    </xf>
    <xf numFmtId="0" fontId="11" fillId="16" borderId="4" xfId="0" applyFont="1" applyFill="1" applyBorder="1" applyProtection="1">
      <protection hidden="1"/>
    </xf>
    <xf numFmtId="0" fontId="11" fillId="16" borderId="0" xfId="0" applyFont="1" applyFill="1" applyBorder="1" applyAlignment="1" applyProtection="1">
      <alignment horizontal="center"/>
      <protection hidden="1"/>
    </xf>
    <xf numFmtId="0" fontId="11" fillId="16" borderId="0" xfId="0" applyFont="1" applyFill="1" applyBorder="1" applyProtection="1">
      <protection hidden="1"/>
    </xf>
    <xf numFmtId="0" fontId="11" fillId="16" borderId="0" xfId="0" applyFont="1" applyFill="1" applyBorder="1" applyAlignment="1" applyProtection="1">
      <alignment vertical="center"/>
      <protection hidden="1"/>
    </xf>
    <xf numFmtId="0" fontId="11" fillId="16" borderId="0" xfId="0" applyFont="1" applyFill="1" applyProtection="1">
      <protection hidden="1"/>
    </xf>
    <xf numFmtId="0" fontId="19" fillId="16" borderId="0" xfId="0" applyFont="1" applyFill="1" applyAlignment="1" applyProtection="1">
      <alignment horizontal="center" vertical="center"/>
      <protection hidden="1"/>
    </xf>
    <xf numFmtId="0" fontId="11" fillId="16" borderId="0" xfId="0" applyFont="1" applyFill="1" applyAlignment="1" applyProtection="1">
      <alignment horizontal="center"/>
      <protection hidden="1"/>
    </xf>
    <xf numFmtId="0" fontId="11" fillId="16" borderId="0" xfId="0" applyFont="1" applyFill="1" applyAlignment="1" applyProtection="1">
      <alignment vertical="center"/>
      <protection hidden="1"/>
    </xf>
    <xf numFmtId="0" fontId="11" fillId="16" borderId="10" xfId="0" applyFont="1" applyFill="1" applyBorder="1" applyAlignment="1" applyProtection="1">
      <alignment horizontal="center"/>
      <protection hidden="1"/>
    </xf>
    <xf numFmtId="0" fontId="22" fillId="16" borderId="0" xfId="1" applyFont="1" applyFill="1" applyAlignment="1" applyProtection="1">
      <alignment horizontal="center" vertical="center"/>
      <protection hidden="1"/>
    </xf>
    <xf numFmtId="0" fontId="11" fillId="16" borderId="0" xfId="0" applyFont="1" applyFill="1" applyAlignment="1" applyProtection="1">
      <alignment horizontal="center" vertical="center"/>
      <protection hidden="1"/>
    </xf>
    <xf numFmtId="0" fontId="11" fillId="16" borderId="4" xfId="0" applyFont="1" applyFill="1" applyBorder="1" applyAlignment="1" applyProtection="1">
      <alignment horizontal="center"/>
      <protection hidden="1"/>
    </xf>
    <xf numFmtId="0" fontId="11" fillId="16" borderId="6" xfId="0" applyFont="1" applyFill="1" applyBorder="1" applyAlignment="1" applyProtection="1">
      <alignment horizontal="center"/>
      <protection hidden="1"/>
    </xf>
    <xf numFmtId="0" fontId="19" fillId="16" borderId="56" xfId="0" applyFont="1" applyFill="1" applyBorder="1" applyAlignment="1" applyProtection="1">
      <alignment horizontal="center"/>
      <protection hidden="1"/>
    </xf>
    <xf numFmtId="0" fontId="19" fillId="16" borderId="14" xfId="0" applyFont="1" applyFill="1" applyBorder="1" applyAlignment="1" applyProtection="1">
      <alignment horizontal="center"/>
      <protection hidden="1"/>
    </xf>
    <xf numFmtId="0" fontId="11" fillId="16" borderId="2" xfId="0" applyFont="1" applyFill="1" applyBorder="1" applyProtection="1">
      <protection hidden="1"/>
    </xf>
    <xf numFmtId="0" fontId="23" fillId="16" borderId="0" xfId="0" applyFont="1" applyFill="1" applyAlignment="1" applyProtection="1">
      <alignment horizontal="center" vertical="center"/>
      <protection hidden="1"/>
    </xf>
    <xf numFmtId="0" fontId="19" fillId="16" borderId="20" xfId="0" applyFont="1" applyFill="1" applyBorder="1" applyProtection="1">
      <protection hidden="1"/>
    </xf>
    <xf numFmtId="0" fontId="11" fillId="16" borderId="21" xfId="0" applyFont="1" applyFill="1" applyBorder="1" applyAlignment="1" applyProtection="1">
      <alignment horizontal="center"/>
      <protection hidden="1"/>
    </xf>
    <xf numFmtId="0" fontId="11" fillId="16" borderId="12" xfId="0" applyFont="1" applyFill="1" applyBorder="1" applyAlignment="1" applyProtection="1">
      <alignment horizontal="center"/>
      <protection hidden="1"/>
    </xf>
    <xf numFmtId="0" fontId="11" fillId="16" borderId="23" xfId="0" applyFont="1" applyFill="1" applyBorder="1" applyAlignment="1" applyProtection="1">
      <alignment horizontal="center"/>
      <protection hidden="1"/>
    </xf>
    <xf numFmtId="0" fontId="11" fillId="16" borderId="5" xfId="0" applyFont="1" applyFill="1" applyBorder="1" applyAlignment="1" applyProtection="1">
      <alignment horizontal="center"/>
      <protection hidden="1"/>
    </xf>
    <xf numFmtId="0" fontId="11" fillId="16" borderId="5" xfId="0" applyFont="1" applyFill="1" applyBorder="1" applyAlignment="1" applyProtection="1">
      <alignment horizontal="center" vertical="center"/>
      <protection hidden="1"/>
    </xf>
    <xf numFmtId="0" fontId="19" fillId="16" borderId="12" xfId="0" applyFont="1" applyFill="1" applyBorder="1" applyAlignment="1" applyProtection="1">
      <alignment horizontal="center"/>
      <protection hidden="1"/>
    </xf>
    <xf numFmtId="0" fontId="11" fillId="16" borderId="25" xfId="0" applyFont="1" applyFill="1" applyBorder="1" applyAlignment="1" applyProtection="1">
      <alignment horizontal="center"/>
      <protection hidden="1"/>
    </xf>
    <xf numFmtId="0" fontId="11" fillId="16" borderId="26" xfId="0"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11" fillId="16" borderId="3" xfId="0" applyFont="1" applyFill="1" applyBorder="1" applyProtection="1">
      <protection hidden="1"/>
    </xf>
    <xf numFmtId="0" fontId="11" fillId="16" borderId="27" xfId="0" applyFont="1" applyFill="1" applyBorder="1" applyProtection="1">
      <protection hidden="1"/>
    </xf>
    <xf numFmtId="0" fontId="11" fillId="16" borderId="1" xfId="0" applyFont="1" applyFill="1" applyBorder="1" applyAlignment="1" applyProtection="1">
      <alignment horizontal="center"/>
      <protection hidden="1"/>
    </xf>
    <xf numFmtId="0" fontId="11" fillId="16" borderId="2" xfId="0" applyFont="1" applyFill="1" applyBorder="1" applyAlignment="1" applyProtection="1">
      <alignment horizontal="center"/>
      <protection hidden="1"/>
    </xf>
    <xf numFmtId="0" fontId="11" fillId="16" borderId="3" xfId="0" applyFont="1" applyFill="1" applyBorder="1" applyAlignment="1" applyProtection="1">
      <alignment horizontal="center"/>
      <protection hidden="1"/>
    </xf>
    <xf numFmtId="0" fontId="11" fillId="16" borderId="32" xfId="0" applyFont="1" applyFill="1" applyBorder="1" applyAlignment="1" applyProtection="1">
      <alignment horizontal="center"/>
      <protection hidden="1"/>
    </xf>
    <xf numFmtId="0" fontId="11" fillId="16" borderId="8" xfId="0" applyFont="1" applyFill="1" applyBorder="1" applyAlignment="1" applyProtection="1">
      <alignment horizontal="center"/>
      <protection hidden="1"/>
    </xf>
    <xf numFmtId="0" fontId="11" fillId="16" borderId="31" xfId="0" applyFont="1" applyFill="1" applyBorder="1" applyAlignment="1" applyProtection="1">
      <alignment horizontal="center"/>
      <protection hidden="1"/>
    </xf>
    <xf numFmtId="0" fontId="19" fillId="16" borderId="6" xfId="0" applyFont="1" applyFill="1" applyBorder="1" applyAlignment="1" applyProtection="1">
      <alignment horizontal="center"/>
      <protection hidden="1"/>
    </xf>
    <xf numFmtId="0" fontId="19" fillId="16" borderId="7" xfId="0" applyFont="1" applyFill="1" applyBorder="1" applyAlignment="1" applyProtection="1">
      <alignment horizontal="center"/>
      <protection hidden="1"/>
    </xf>
    <xf numFmtId="0" fontId="11" fillId="16" borderId="8" xfId="0" applyFont="1" applyFill="1" applyBorder="1" applyProtection="1">
      <protection hidden="1"/>
    </xf>
    <xf numFmtId="0" fontId="11" fillId="16" borderId="28" xfId="0" applyFont="1" applyFill="1" applyBorder="1" applyProtection="1">
      <protection hidden="1"/>
    </xf>
    <xf numFmtId="0" fontId="11" fillId="16" borderId="7" xfId="0" applyFont="1" applyFill="1" applyBorder="1" applyProtection="1">
      <protection hidden="1"/>
    </xf>
    <xf numFmtId="0" fontId="19" fillId="16" borderId="20" xfId="0" applyFont="1" applyFill="1" applyBorder="1" applyAlignment="1" applyProtection="1">
      <alignment horizontal="center"/>
      <protection hidden="1"/>
    </xf>
    <xf numFmtId="0" fontId="11" fillId="16" borderId="22" xfId="0" applyFont="1" applyFill="1" applyBorder="1" applyAlignment="1" applyProtection="1">
      <alignment horizontal="center"/>
      <protection hidden="1"/>
    </xf>
    <xf numFmtId="0" fontId="19" fillId="16" borderId="24" xfId="0" applyFont="1" applyFill="1" applyBorder="1" applyAlignment="1" applyProtection="1">
      <alignment horizontal="center"/>
      <protection hidden="1"/>
    </xf>
    <xf numFmtId="0" fontId="11" fillId="16" borderId="0" xfId="0" quotePrefix="1" applyFont="1" applyFill="1" applyAlignment="1" applyProtection="1">
      <alignment horizontal="center"/>
      <protection hidden="1"/>
    </xf>
    <xf numFmtId="0" fontId="11" fillId="16" borderId="7" xfId="0" applyFont="1" applyFill="1" applyBorder="1" applyAlignment="1" applyProtection="1">
      <alignment horizontal="center" vertical="center"/>
      <protection hidden="1"/>
    </xf>
    <xf numFmtId="0" fontId="11" fillId="16" borderId="0" xfId="0" quotePrefix="1" applyFont="1" applyFill="1" applyBorder="1" applyAlignment="1" applyProtection="1">
      <alignment horizontal="center"/>
      <protection hidden="1"/>
    </xf>
    <xf numFmtId="0" fontId="11" fillId="16" borderId="5" xfId="0" applyFont="1" applyFill="1" applyBorder="1" applyProtection="1">
      <protection hidden="1"/>
    </xf>
    <xf numFmtId="0" fontId="11" fillId="16" borderId="19" xfId="0" applyFont="1" applyFill="1" applyBorder="1" applyAlignment="1" applyProtection="1">
      <alignment horizontal="center"/>
      <protection hidden="1"/>
    </xf>
    <xf numFmtId="0" fontId="11" fillId="16" borderId="11" xfId="0" applyFont="1" applyFill="1" applyBorder="1" applyAlignment="1" applyProtection="1">
      <alignment horizontal="center"/>
      <protection hidden="1"/>
    </xf>
    <xf numFmtId="0" fontId="19" fillId="16" borderId="8" xfId="0" applyFont="1" applyFill="1" applyBorder="1" applyAlignment="1" applyProtection="1">
      <alignment horizontal="center"/>
      <protection hidden="1"/>
    </xf>
    <xf numFmtId="0" fontId="11" fillId="16" borderId="30" xfId="0" applyFont="1" applyFill="1" applyBorder="1" applyProtection="1">
      <protection hidden="1"/>
    </xf>
    <xf numFmtId="0" fontId="11" fillId="16" borderId="29" xfId="0" applyFont="1" applyFill="1" applyBorder="1" applyProtection="1">
      <protection hidden="1"/>
    </xf>
    <xf numFmtId="0" fontId="3" fillId="3" borderId="12" xfId="0" applyFont="1" applyFill="1" applyBorder="1" applyProtection="1">
      <protection hidden="1"/>
    </xf>
    <xf numFmtId="0" fontId="1" fillId="3" borderId="12" xfId="0" applyFont="1" applyFill="1" applyBorder="1" applyAlignment="1" applyProtection="1">
      <alignment horizontal="center"/>
      <protection hidden="1"/>
    </xf>
    <xf numFmtId="0" fontId="3" fillId="20" borderId="12" xfId="0" applyFont="1" applyFill="1" applyBorder="1" applyProtection="1">
      <protection hidden="1"/>
    </xf>
    <xf numFmtId="0" fontId="2" fillId="20" borderId="12" xfId="0" applyFont="1" applyFill="1" applyBorder="1" applyAlignment="1" applyProtection="1">
      <alignment horizontal="center"/>
      <protection hidden="1"/>
    </xf>
    <xf numFmtId="0" fontId="3" fillId="0" borderId="12" xfId="0" applyFont="1" applyBorder="1" applyAlignment="1" applyProtection="1">
      <alignment horizontal="center"/>
      <protection hidden="1"/>
    </xf>
    <xf numFmtId="0" fontId="2" fillId="8" borderId="12" xfId="0" applyFont="1" applyFill="1" applyBorder="1" applyAlignment="1" applyProtection="1">
      <alignment horizontal="center"/>
      <protection hidden="1"/>
    </xf>
    <xf numFmtId="0" fontId="2" fillId="5" borderId="12" xfId="0" applyFont="1" applyFill="1" applyBorder="1" applyAlignment="1" applyProtection="1">
      <alignment horizontal="center"/>
      <protection hidden="1"/>
    </xf>
    <xf numFmtId="0" fontId="0" fillId="0" borderId="12" xfId="0" applyBorder="1" applyProtection="1">
      <protection hidden="1"/>
    </xf>
    <xf numFmtId="0" fontId="0" fillId="8" borderId="12" xfId="0" applyFill="1" applyBorder="1" applyProtection="1">
      <protection hidden="1"/>
    </xf>
    <xf numFmtId="0" fontId="0" fillId="8" borderId="12" xfId="0" applyFill="1" applyBorder="1" applyAlignment="1" applyProtection="1">
      <alignment horizontal="center"/>
      <protection hidden="1"/>
    </xf>
    <xf numFmtId="0" fontId="11" fillId="0" borderId="12" xfId="0" applyFont="1" applyBorder="1" applyProtection="1">
      <protection hidden="1"/>
    </xf>
    <xf numFmtId="0" fontId="11" fillId="0" borderId="12" xfId="0" applyFont="1" applyBorder="1" applyAlignment="1" applyProtection="1">
      <alignment horizontal="center"/>
      <protection hidden="1"/>
    </xf>
    <xf numFmtId="0" fontId="19" fillId="16" borderId="4" xfId="0" applyFont="1" applyFill="1" applyBorder="1" applyAlignment="1" applyProtection="1">
      <alignment horizontal="center"/>
      <protection hidden="1"/>
    </xf>
    <xf numFmtId="0" fontId="19" fillId="16" borderId="0" xfId="0" applyFont="1" applyFill="1" applyBorder="1" applyAlignment="1" applyProtection="1">
      <alignment horizontal="center"/>
      <protection hidden="1"/>
    </xf>
    <xf numFmtId="0" fontId="19" fillId="16" borderId="5" xfId="0" applyFont="1" applyFill="1" applyBorder="1" applyAlignment="1" applyProtection="1">
      <alignment horizontal="center"/>
      <protection hidden="1"/>
    </xf>
    <xf numFmtId="0" fontId="19" fillId="16" borderId="0" xfId="0" applyFont="1" applyFill="1" applyAlignment="1" applyProtection="1">
      <alignment horizontal="center"/>
      <protection hidden="1"/>
    </xf>
    <xf numFmtId="0" fontId="19" fillId="16" borderId="1" xfId="0" applyFont="1" applyFill="1" applyBorder="1" applyAlignment="1" applyProtection="1">
      <alignment horizontal="center"/>
      <protection hidden="1"/>
    </xf>
    <xf numFmtId="0" fontId="19" fillId="16" borderId="2" xfId="0" applyFont="1" applyFill="1" applyBorder="1" applyAlignment="1" applyProtection="1">
      <alignment horizontal="center"/>
      <protection hidden="1"/>
    </xf>
    <xf numFmtId="0" fontId="19" fillId="16" borderId="3" xfId="0" applyFont="1" applyFill="1" applyBorder="1" applyAlignment="1" applyProtection="1">
      <alignment horizontal="center"/>
      <protection hidden="1"/>
    </xf>
    <xf numFmtId="0" fontId="0" fillId="12" borderId="5" xfId="0" applyFill="1" applyBorder="1" applyAlignment="1" applyProtection="1">
      <alignment horizontal="center" vertical="center"/>
      <protection hidden="1"/>
    </xf>
    <xf numFmtId="0" fontId="2" fillId="19" borderId="0" xfId="0" applyFont="1" applyFill="1" applyBorder="1" applyAlignment="1" applyProtection="1">
      <alignment horizontal="center"/>
      <protection locked="0" hidden="1"/>
    </xf>
    <xf numFmtId="0" fontId="0" fillId="12" borderId="5" xfId="0" applyFill="1" applyBorder="1" applyAlignment="1" applyProtection="1">
      <alignment horizontal="center" vertical="center"/>
      <protection locked="0" hidden="1"/>
    </xf>
    <xf numFmtId="0" fontId="0" fillId="9" borderId="0" xfId="0" applyFill="1" applyBorder="1" applyAlignment="1" applyProtection="1">
      <alignment horizontal="center"/>
      <protection locked="0" hidden="1"/>
    </xf>
    <xf numFmtId="0" fontId="26" fillId="0" borderId="0" xfId="0" applyFont="1" applyBorder="1" applyProtection="1">
      <protection locked="0" hidden="1"/>
    </xf>
    <xf numFmtId="0" fontId="0" fillId="0" borderId="0" xfId="0" applyFont="1" applyFill="1" applyBorder="1" applyAlignment="1" applyProtection="1">
      <alignment horizontal="center"/>
      <protection locked="0" hidden="1"/>
    </xf>
    <xf numFmtId="0" fontId="0" fillId="0" borderId="0" xfId="0" applyFont="1" applyAlignment="1" applyProtection="1">
      <alignment horizontal="center"/>
      <protection locked="0" hidden="1"/>
    </xf>
    <xf numFmtId="0" fontId="2" fillId="5" borderId="0" xfId="0" applyFont="1" applyFill="1" applyBorder="1" applyAlignment="1" applyProtection="1">
      <alignment horizontal="center"/>
      <protection locked="0" hidden="1"/>
    </xf>
    <xf numFmtId="0" fontId="8" fillId="8" borderId="2" xfId="0" applyFont="1" applyFill="1" applyBorder="1" applyAlignment="1" applyProtection="1">
      <alignment horizontal="center" vertical="center"/>
      <protection locked="0" hidden="1"/>
    </xf>
    <xf numFmtId="0" fontId="0" fillId="0" borderId="3" xfId="0" applyBorder="1"/>
    <xf numFmtId="0" fontId="8" fillId="8" borderId="15" xfId="0" applyFont="1" applyFill="1" applyBorder="1" applyAlignment="1" applyProtection="1">
      <alignment vertical="center"/>
      <protection locked="0" hidden="1"/>
    </xf>
    <xf numFmtId="0" fontId="0" fillId="0" borderId="5" xfId="0" applyBorder="1"/>
    <xf numFmtId="0" fontId="0" fillId="0" borderId="8" xfId="0" applyBorder="1"/>
    <xf numFmtId="0" fontId="3" fillId="0" borderId="1" xfId="0" applyFont="1" applyBorder="1" applyAlignment="1" applyProtection="1">
      <alignment horizontal="center"/>
      <protection locked="0" hidden="1"/>
    </xf>
    <xf numFmtId="0" fontId="0" fillId="0" borderId="1" xfId="0" applyBorder="1"/>
    <xf numFmtId="0" fontId="0" fillId="0" borderId="4" xfId="0" applyBorder="1"/>
    <xf numFmtId="0" fontId="0" fillId="0" borderId="6" xfId="0" applyBorder="1"/>
    <xf numFmtId="0" fontId="0" fillId="21" borderId="73" xfId="0" applyFont="1" applyFill="1" applyBorder="1"/>
    <xf numFmtId="0" fontId="0" fillId="21" borderId="74" xfId="0" applyFont="1" applyFill="1" applyBorder="1"/>
    <xf numFmtId="0" fontId="27" fillId="22" borderId="73" xfId="0" applyFont="1" applyFill="1" applyBorder="1"/>
    <xf numFmtId="0" fontId="0" fillId="22" borderId="73" xfId="0" applyFont="1" applyFill="1" applyBorder="1"/>
    <xf numFmtId="0" fontId="0" fillId="22" borderId="74" xfId="0" applyFont="1" applyFill="1" applyBorder="1"/>
    <xf numFmtId="0" fontId="27" fillId="21" borderId="73" xfId="0" applyFont="1" applyFill="1" applyBorder="1"/>
    <xf numFmtId="0" fontId="0" fillId="22" borderId="75" xfId="0" applyFont="1" applyFill="1" applyBorder="1"/>
    <xf numFmtId="0" fontId="30" fillId="22" borderId="73" xfId="0" applyFont="1" applyFill="1" applyBorder="1" applyAlignment="1">
      <alignment horizontal="center" vertical="center"/>
    </xf>
    <xf numFmtId="0" fontId="27" fillId="22" borderId="73" xfId="0" applyFont="1" applyFill="1" applyBorder="1" applyAlignment="1">
      <alignment horizontal="center"/>
    </xf>
    <xf numFmtId="0" fontId="27" fillId="21" borderId="73" xfId="0" applyFont="1" applyFill="1" applyBorder="1" applyAlignment="1">
      <alignment horizontal="center" wrapText="1"/>
    </xf>
    <xf numFmtId="0" fontId="32" fillId="22" borderId="73" xfId="0" applyFont="1" applyFill="1" applyBorder="1"/>
    <xf numFmtId="49" fontId="0" fillId="22" borderId="73" xfId="0" applyNumberFormat="1" applyFont="1" applyFill="1" applyBorder="1" applyAlignment="1">
      <alignment horizontal="right"/>
    </xf>
    <xf numFmtId="0" fontId="0" fillId="21" borderId="73" xfId="0" applyNumberFormat="1" applyFill="1" applyBorder="1" applyAlignment="1">
      <alignment horizontal="right"/>
    </xf>
    <xf numFmtId="49" fontId="0" fillId="21" borderId="73" xfId="0" applyNumberFormat="1" applyFont="1" applyFill="1" applyBorder="1" applyAlignment="1">
      <alignment horizontal="right"/>
    </xf>
    <xf numFmtId="14" fontId="0" fillId="22" borderId="73" xfId="0" applyNumberFormat="1" applyFont="1" applyFill="1" applyBorder="1" applyAlignment="1">
      <alignment horizontal="right"/>
    </xf>
    <xf numFmtId="0" fontId="0" fillId="21" borderId="73" xfId="0" applyFont="1" applyFill="1" applyBorder="1" applyAlignment="1">
      <alignment horizontal="right"/>
    </xf>
    <xf numFmtId="0" fontId="0" fillId="22" borderId="73" xfId="0" applyFont="1" applyFill="1" applyBorder="1" applyAlignment="1">
      <alignment horizontal="right"/>
    </xf>
    <xf numFmtId="0" fontId="0" fillId="22" borderId="75" xfId="0" applyFont="1" applyFill="1" applyBorder="1" applyAlignment="1">
      <alignment horizontal="right"/>
    </xf>
    <xf numFmtId="0" fontId="0" fillId="0" borderId="0" xfId="0" applyAlignment="1">
      <alignment horizontal="right"/>
    </xf>
    <xf numFmtId="0" fontId="27" fillId="21" borderId="73" xfId="0" applyFont="1" applyFill="1" applyBorder="1" applyAlignment="1">
      <alignment horizontal="center"/>
    </xf>
    <xf numFmtId="0" fontId="32" fillId="22" borderId="73" xfId="0" applyFont="1" applyFill="1" applyBorder="1" applyAlignment="1">
      <alignment horizontal="center"/>
    </xf>
    <xf numFmtId="0" fontId="0" fillId="21" borderId="73" xfId="0" applyFont="1" applyFill="1" applyBorder="1" applyAlignment="1">
      <alignment horizontal="center"/>
    </xf>
    <xf numFmtId="0" fontId="0" fillId="22" borderId="73" xfId="0" applyFont="1" applyFill="1" applyBorder="1" applyAlignment="1">
      <alignment horizontal="center"/>
    </xf>
    <xf numFmtId="0" fontId="27" fillId="22" borderId="77" xfId="0" applyFont="1" applyFill="1" applyBorder="1" applyAlignment="1">
      <alignment horizontal="left"/>
    </xf>
    <xf numFmtId="0" fontId="27" fillId="22" borderId="78" xfId="0" applyFont="1" applyFill="1" applyBorder="1" applyAlignment="1">
      <alignment horizontal="left"/>
    </xf>
    <xf numFmtId="0" fontId="27" fillId="22" borderId="79" xfId="0" applyFont="1" applyFill="1" applyBorder="1" applyAlignment="1">
      <alignment horizontal="left"/>
    </xf>
    <xf numFmtId="0" fontId="0" fillId="21" borderId="73" xfId="0" applyFill="1" applyBorder="1" applyAlignment="1">
      <alignment horizontal="left"/>
    </xf>
    <xf numFmtId="0" fontId="0" fillId="21" borderId="73" xfId="0" applyFont="1" applyFill="1" applyBorder="1" applyAlignment="1">
      <alignment horizontal="left"/>
    </xf>
    <xf numFmtId="0" fontId="0" fillId="22" borderId="73" xfId="0" applyFill="1" applyBorder="1" applyAlignment="1">
      <alignment horizontal="left"/>
    </xf>
    <xf numFmtId="0" fontId="0" fillId="22" borderId="73" xfId="0" applyFont="1" applyFill="1" applyBorder="1" applyAlignment="1">
      <alignment horizontal="left"/>
    </xf>
    <xf numFmtId="0" fontId="31" fillId="22" borderId="73" xfId="0" applyFont="1" applyFill="1" applyBorder="1" applyAlignment="1">
      <alignment horizontal="left"/>
    </xf>
    <xf numFmtId="0" fontId="32" fillId="21" borderId="73" xfId="0" applyFont="1" applyFill="1" applyBorder="1" applyAlignment="1">
      <alignment horizontal="right"/>
    </xf>
    <xf numFmtId="0" fontId="0" fillId="21" borderId="74" xfId="0" applyFill="1" applyBorder="1"/>
    <xf numFmtId="2" fontId="0" fillId="21" borderId="73" xfId="0" applyNumberFormat="1" applyFont="1" applyFill="1" applyBorder="1" applyAlignment="1">
      <alignment horizontal="right"/>
    </xf>
    <xf numFmtId="0" fontId="29" fillId="12" borderId="0" xfId="0" applyFont="1" applyFill="1" applyBorder="1" applyAlignment="1"/>
    <xf numFmtId="0" fontId="31" fillId="21" borderId="73" xfId="0" applyFont="1" applyFill="1" applyBorder="1" applyAlignment="1">
      <alignment horizontal="left"/>
    </xf>
    <xf numFmtId="0" fontId="0" fillId="22" borderId="73" xfId="0" applyNumberFormat="1" applyFont="1" applyFill="1" applyBorder="1" applyAlignment="1">
      <alignment horizontal="right"/>
    </xf>
    <xf numFmtId="49" fontId="0" fillId="22" borderId="73" xfId="0" applyNumberFormat="1" applyFill="1" applyBorder="1" applyAlignment="1">
      <alignment horizontal="right"/>
    </xf>
    <xf numFmtId="49" fontId="0" fillId="21" borderId="73" xfId="0" applyNumberFormat="1" applyFill="1" applyBorder="1" applyAlignment="1">
      <alignment horizontal="right"/>
    </xf>
    <xf numFmtId="0" fontId="12" fillId="0" borderId="0" xfId="0" applyFont="1" applyFill="1" applyAlignment="1" applyProtection="1">
      <alignment horizontal="center"/>
      <protection locked="0" hidden="1"/>
    </xf>
    <xf numFmtId="0" fontId="1" fillId="2" borderId="4" xfId="0" applyFont="1" applyFill="1" applyBorder="1" applyAlignment="1" applyProtection="1">
      <alignment horizontal="center"/>
      <protection locked="0" hidden="1"/>
    </xf>
    <xf numFmtId="0" fontId="1" fillId="2" borderId="0" xfId="0" applyFont="1" applyFill="1" applyBorder="1" applyAlignment="1" applyProtection="1">
      <alignment horizontal="center"/>
      <protection locked="0" hidden="1"/>
    </xf>
    <xf numFmtId="0" fontId="2" fillId="8" borderId="10" xfId="0" applyFont="1" applyFill="1" applyBorder="1" applyAlignment="1" applyProtection="1">
      <alignment horizontal="center"/>
      <protection locked="0" hidden="1"/>
    </xf>
    <xf numFmtId="0" fontId="2" fillId="8" borderId="9" xfId="0" applyFont="1" applyFill="1" applyBorder="1" applyAlignment="1" applyProtection="1">
      <alignment horizontal="center"/>
      <protection locked="0" hidden="1"/>
    </xf>
    <xf numFmtId="0" fontId="2" fillId="8" borderId="11" xfId="0" applyFont="1" applyFill="1" applyBorder="1" applyAlignment="1" applyProtection="1">
      <alignment horizontal="center"/>
      <protection locked="0" hidden="1"/>
    </xf>
    <xf numFmtId="0" fontId="12" fillId="0" borderId="12" xfId="0" applyFont="1" applyFill="1" applyBorder="1" applyAlignment="1" applyProtection="1">
      <alignment horizontal="center"/>
      <protection locked="0" hidden="1"/>
    </xf>
    <xf numFmtId="0" fontId="1" fillId="0" borderId="12" xfId="0" applyFont="1" applyFill="1" applyBorder="1" applyAlignment="1" applyProtection="1">
      <alignment horizontal="center"/>
      <protection locked="0" hidden="1"/>
    </xf>
    <xf numFmtId="0" fontId="8" fillId="8" borderId="1" xfId="0" applyFont="1" applyFill="1" applyBorder="1" applyAlignment="1" applyProtection="1">
      <alignment horizontal="center"/>
      <protection locked="0" hidden="1"/>
    </xf>
    <xf numFmtId="0" fontId="8" fillId="8" borderId="2" xfId="0" applyFont="1" applyFill="1" applyBorder="1" applyAlignment="1" applyProtection="1">
      <alignment horizontal="center"/>
      <protection locked="0" hidden="1"/>
    </xf>
    <xf numFmtId="0" fontId="8" fillId="8" borderId="5" xfId="0" applyFont="1" applyFill="1" applyBorder="1" applyAlignment="1" applyProtection="1">
      <alignment horizontal="center"/>
      <protection locked="0" hidden="1"/>
    </xf>
    <xf numFmtId="0" fontId="2" fillId="8" borderId="0" xfId="0" applyFont="1" applyFill="1" applyBorder="1" applyAlignment="1" applyProtection="1">
      <alignment horizontal="center"/>
      <protection locked="0" hidden="1"/>
    </xf>
    <xf numFmtId="0" fontId="2" fillId="7" borderId="0" xfId="0" applyFont="1" applyFill="1" applyBorder="1" applyAlignment="1" applyProtection="1">
      <alignment horizontal="center"/>
      <protection locked="0" hidden="1"/>
    </xf>
    <xf numFmtId="0" fontId="2" fillId="5" borderId="0" xfId="0" applyFont="1" applyFill="1" applyBorder="1" applyAlignment="1" applyProtection="1">
      <alignment horizontal="center"/>
      <protection locked="0" hidden="1"/>
    </xf>
    <xf numFmtId="0" fontId="1" fillId="2" borderId="1" xfId="0" applyFont="1" applyFill="1" applyBorder="1" applyAlignment="1" applyProtection="1">
      <alignment horizontal="center"/>
      <protection locked="0" hidden="1"/>
    </xf>
    <xf numFmtId="0" fontId="1" fillId="2" borderId="2" xfId="0" applyFont="1" applyFill="1" applyBorder="1" applyAlignment="1" applyProtection="1">
      <alignment horizontal="center"/>
      <protection locked="0" hidden="1"/>
    </xf>
    <xf numFmtId="0" fontId="1" fillId="2" borderId="3" xfId="0" applyFont="1" applyFill="1" applyBorder="1" applyAlignment="1" applyProtection="1">
      <alignment horizontal="center"/>
      <protection locked="0" hidden="1"/>
    </xf>
    <xf numFmtId="0" fontId="1" fillId="0" borderId="2" xfId="0" applyFont="1" applyBorder="1" applyAlignment="1" applyProtection="1">
      <alignment horizontal="center"/>
      <protection locked="0" hidden="1"/>
    </xf>
    <xf numFmtId="0" fontId="2" fillId="8" borderId="4" xfId="0" applyFont="1" applyFill="1" applyBorder="1" applyAlignment="1" applyProtection="1">
      <alignment horizontal="center"/>
      <protection locked="0" hidden="1"/>
    </xf>
    <xf numFmtId="0" fontId="2" fillId="8" borderId="5" xfId="0" applyFont="1" applyFill="1" applyBorder="1" applyAlignment="1" applyProtection="1">
      <alignment horizontal="center"/>
      <protection locked="0" hidden="1"/>
    </xf>
    <xf numFmtId="0" fontId="1" fillId="2" borderId="60" xfId="0" applyFont="1" applyFill="1" applyBorder="1" applyAlignment="1" applyProtection="1">
      <alignment horizontal="center" vertical="center" wrapText="1"/>
      <protection locked="0" hidden="1"/>
    </xf>
    <xf numFmtId="0" fontId="1" fillId="2" borderId="55" xfId="0" applyFont="1" applyFill="1" applyBorder="1" applyAlignment="1" applyProtection="1">
      <alignment horizontal="center" vertical="center" wrapText="1"/>
      <protection locked="0" hidden="1"/>
    </xf>
    <xf numFmtId="0" fontId="1" fillId="2" borderId="1" xfId="0" applyFont="1" applyFill="1" applyBorder="1" applyAlignment="1" applyProtection="1">
      <alignment horizontal="center" vertical="center"/>
      <protection locked="0" hidden="1"/>
    </xf>
    <xf numFmtId="0" fontId="1" fillId="2" borderId="3" xfId="0" applyFont="1" applyFill="1" applyBorder="1" applyAlignment="1" applyProtection="1">
      <alignment horizontal="center" vertical="center"/>
      <protection locked="0" hidden="1"/>
    </xf>
    <xf numFmtId="0" fontId="1" fillId="20" borderId="10" xfId="0" applyFont="1" applyFill="1" applyBorder="1" applyAlignment="1" applyProtection="1">
      <alignment horizontal="center" vertical="center"/>
      <protection locked="0" hidden="1"/>
    </xf>
    <xf numFmtId="0" fontId="1" fillId="20" borderId="11" xfId="0" applyFont="1" applyFill="1" applyBorder="1" applyAlignment="1" applyProtection="1">
      <alignment horizontal="center" vertical="center"/>
      <protection locked="0" hidden="1"/>
    </xf>
    <xf numFmtId="0" fontId="1" fillId="3" borderId="10" xfId="0" applyFont="1" applyFill="1" applyBorder="1" applyAlignment="1" applyProtection="1">
      <alignment horizontal="center" vertical="center"/>
      <protection locked="0" hidden="1"/>
    </xf>
    <xf numFmtId="0" fontId="1" fillId="3" borderId="11" xfId="0" applyFont="1" applyFill="1" applyBorder="1" applyAlignment="1" applyProtection="1">
      <alignment horizontal="center" vertical="center"/>
      <protection locked="0" hidden="1"/>
    </xf>
    <xf numFmtId="0" fontId="25" fillId="0" borderId="0" xfId="0" applyFont="1" applyFill="1" applyAlignment="1" applyProtection="1">
      <alignment horizontal="center"/>
      <protection locked="0" hidden="1"/>
    </xf>
    <xf numFmtId="0" fontId="8" fillId="8" borderId="72" xfId="0" applyFont="1" applyFill="1" applyBorder="1" applyAlignment="1" applyProtection="1">
      <alignment horizontal="center" vertical="center"/>
      <protection locked="0" hidden="1"/>
    </xf>
    <xf numFmtId="0" fontId="8" fillId="8" borderId="57" xfId="0" applyFont="1" applyFill="1" applyBorder="1" applyAlignment="1" applyProtection="1">
      <alignment horizontal="center" vertical="center"/>
      <protection locked="0" hidden="1"/>
    </xf>
    <xf numFmtId="0" fontId="8" fillId="8" borderId="72" xfId="0" applyFont="1" applyFill="1" applyBorder="1" applyAlignment="1" applyProtection="1">
      <alignment horizontal="center" vertical="center" wrapText="1"/>
      <protection locked="0" hidden="1"/>
    </xf>
    <xf numFmtId="0" fontId="8" fillId="8" borderId="38" xfId="0" applyFont="1" applyFill="1" applyBorder="1" applyAlignment="1" applyProtection="1">
      <alignment horizontal="center" vertical="center" wrapText="1"/>
      <protection locked="0" hidden="1"/>
    </xf>
    <xf numFmtId="0" fontId="8" fillId="8" borderId="33" xfId="0" applyFont="1" applyFill="1" applyBorder="1" applyAlignment="1" applyProtection="1">
      <alignment horizontal="center" vertical="center"/>
      <protection locked="0" hidden="1"/>
    </xf>
    <xf numFmtId="0" fontId="8" fillId="8" borderId="71" xfId="0" applyFont="1" applyFill="1" applyBorder="1" applyAlignment="1" applyProtection="1">
      <alignment horizontal="center" vertical="center"/>
      <protection locked="0" hidden="1"/>
    </xf>
    <xf numFmtId="0" fontId="8" fillId="8" borderId="35" xfId="0" applyFont="1" applyFill="1" applyBorder="1" applyAlignment="1" applyProtection="1">
      <alignment horizontal="center" vertical="center"/>
      <protection locked="0" hidden="1"/>
    </xf>
    <xf numFmtId="0" fontId="8" fillId="8" borderId="3" xfId="0" applyFont="1" applyFill="1" applyBorder="1" applyAlignment="1" applyProtection="1">
      <alignment horizontal="center"/>
      <protection locked="0" hidden="1"/>
    </xf>
    <xf numFmtId="0" fontId="2" fillId="8" borderId="0" xfId="0" applyFont="1" applyFill="1" applyBorder="1" applyAlignment="1" applyProtection="1">
      <alignment horizontal="center" vertical="center"/>
      <protection locked="0" hidden="1"/>
    </xf>
    <xf numFmtId="0" fontId="2" fillId="8" borderId="5" xfId="0" applyFont="1" applyFill="1" applyBorder="1" applyAlignment="1" applyProtection="1">
      <alignment horizontal="center" vertical="center"/>
      <protection locked="0" hidden="1"/>
    </xf>
    <xf numFmtId="0" fontId="2" fillId="7" borderId="0" xfId="0" applyFont="1" applyFill="1" applyBorder="1" applyAlignment="1" applyProtection="1">
      <alignment horizontal="center" vertical="center"/>
      <protection locked="0" hidden="1"/>
    </xf>
    <xf numFmtId="0" fontId="2" fillId="5" borderId="0" xfId="0" applyFont="1" applyFill="1" applyBorder="1" applyAlignment="1" applyProtection="1">
      <alignment horizontal="center" vertical="center"/>
      <protection locked="0" hidden="1"/>
    </xf>
    <xf numFmtId="0" fontId="2" fillId="5" borderId="5" xfId="0" applyFont="1" applyFill="1" applyBorder="1" applyAlignment="1" applyProtection="1">
      <alignment horizontal="center" vertical="center"/>
      <protection locked="0" hidden="1"/>
    </xf>
    <xf numFmtId="0" fontId="2" fillId="3" borderId="0" xfId="0" applyFont="1" applyFill="1" applyBorder="1" applyAlignment="1" applyProtection="1">
      <alignment horizontal="center"/>
      <protection locked="0" hidden="1"/>
    </xf>
    <xf numFmtId="0" fontId="1" fillId="2" borderId="1"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1" fillId="2" borderId="60" xfId="0" applyFont="1" applyFill="1" applyBorder="1" applyAlignment="1" applyProtection="1">
      <alignment horizontal="center" vertical="center" wrapText="1"/>
      <protection hidden="1"/>
    </xf>
    <xf numFmtId="0" fontId="1" fillId="2" borderId="35" xfId="0" applyFont="1" applyFill="1" applyBorder="1" applyAlignment="1" applyProtection="1">
      <alignment horizontal="center" vertical="center" wrapText="1"/>
      <protection hidden="1"/>
    </xf>
    <xf numFmtId="0" fontId="2" fillId="0" borderId="70" xfId="0" applyFont="1" applyBorder="1" applyAlignment="1" applyProtection="1">
      <alignment horizontal="center"/>
      <protection hidden="1"/>
    </xf>
    <xf numFmtId="0" fontId="3" fillId="0" borderId="12" xfId="0" applyFont="1" applyBorder="1" applyAlignment="1" applyProtection="1">
      <alignment horizontal="center"/>
      <protection hidden="1"/>
    </xf>
    <xf numFmtId="0" fontId="2" fillId="0" borderId="45" xfId="0" applyFont="1" applyBorder="1" applyAlignment="1" applyProtection="1">
      <alignment horizontal="center" vertical="center"/>
      <protection hidden="1"/>
    </xf>
    <xf numFmtId="0" fontId="2" fillId="0" borderId="32" xfId="0" applyFont="1" applyBorder="1" applyAlignment="1" applyProtection="1">
      <alignment horizontal="center" vertical="center"/>
      <protection hidden="1"/>
    </xf>
    <xf numFmtId="0" fontId="2" fillId="8" borderId="12" xfId="0" applyFont="1" applyFill="1" applyBorder="1" applyAlignment="1" applyProtection="1">
      <alignment horizontal="center"/>
      <protection hidden="1"/>
    </xf>
    <xf numFmtId="0" fontId="2" fillId="7" borderId="12" xfId="0" applyFont="1" applyFill="1" applyBorder="1" applyAlignment="1" applyProtection="1">
      <alignment horizontal="center"/>
      <protection hidden="1"/>
    </xf>
    <xf numFmtId="0" fontId="2" fillId="5" borderId="12" xfId="0" applyFont="1" applyFill="1" applyBorder="1" applyAlignment="1" applyProtection="1">
      <alignment horizontal="center"/>
      <protection hidden="1"/>
    </xf>
    <xf numFmtId="0" fontId="1" fillId="13" borderId="10" xfId="0" applyFont="1" applyFill="1" applyBorder="1" applyAlignment="1" applyProtection="1">
      <alignment horizontal="center" vertical="center"/>
      <protection hidden="1"/>
    </xf>
    <xf numFmtId="0" fontId="1" fillId="13" borderId="11" xfId="0" applyFont="1" applyFill="1" applyBorder="1" applyAlignment="1" applyProtection="1">
      <alignment horizontal="center" vertical="center"/>
      <protection hidden="1"/>
    </xf>
    <xf numFmtId="0" fontId="1" fillId="13" borderId="9" xfId="0" applyFont="1" applyFill="1" applyBorder="1" applyAlignment="1" applyProtection="1">
      <alignment horizontal="center" vertical="center"/>
      <protection hidden="1"/>
    </xf>
    <xf numFmtId="0" fontId="0" fillId="0" borderId="17" xfId="0" applyBorder="1" applyAlignment="1" applyProtection="1">
      <alignment horizontal="center"/>
      <protection locked="0" hidden="1"/>
    </xf>
    <xf numFmtId="0" fontId="0" fillId="0" borderId="18" xfId="0" applyBorder="1" applyAlignment="1" applyProtection="1">
      <alignment horizontal="center"/>
      <protection locked="0" hidden="1"/>
    </xf>
    <xf numFmtId="0" fontId="0" fillId="0" borderId="56" xfId="0" applyBorder="1" applyAlignment="1" applyProtection="1">
      <alignment horizontal="center"/>
      <protection locked="0" hidden="1"/>
    </xf>
    <xf numFmtId="0" fontId="0" fillId="0" borderId="14" xfId="0" applyBorder="1" applyAlignment="1" applyProtection="1">
      <alignment horizontal="center"/>
      <protection locked="0" hidden="1"/>
    </xf>
    <xf numFmtId="0" fontId="1" fillId="13" borderId="10" xfId="0" applyFont="1" applyFill="1" applyBorder="1" applyAlignment="1" applyProtection="1">
      <alignment horizontal="center" vertical="center"/>
      <protection locked="0" hidden="1"/>
    </xf>
    <xf numFmtId="0" fontId="1" fillId="13" borderId="11" xfId="0" applyFont="1" applyFill="1" applyBorder="1" applyAlignment="1" applyProtection="1">
      <alignment horizontal="center" vertical="center"/>
      <protection locked="0" hidden="1"/>
    </xf>
    <xf numFmtId="0" fontId="1" fillId="13" borderId="9" xfId="0" applyFont="1" applyFill="1" applyBorder="1" applyAlignment="1" applyProtection="1">
      <alignment horizontal="center" vertical="center"/>
      <protection locked="0" hidden="1"/>
    </xf>
    <xf numFmtId="0" fontId="19" fillId="16" borderId="4" xfId="0" applyFont="1" applyFill="1" applyBorder="1" applyAlignment="1" applyProtection="1">
      <alignment horizontal="center"/>
      <protection hidden="1"/>
    </xf>
    <xf numFmtId="0" fontId="19" fillId="16" borderId="0" xfId="0" applyFont="1" applyFill="1" applyBorder="1" applyAlignment="1" applyProtection="1">
      <alignment horizontal="center"/>
      <protection hidden="1"/>
    </xf>
    <xf numFmtId="0" fontId="19" fillId="16" borderId="5" xfId="0" applyFont="1" applyFill="1" applyBorder="1" applyAlignment="1" applyProtection="1">
      <alignment horizontal="center"/>
      <protection hidden="1"/>
    </xf>
    <xf numFmtId="0" fontId="19" fillId="16" borderId="10" xfId="0" applyFont="1" applyFill="1" applyBorder="1" applyAlignment="1" applyProtection="1">
      <alignment horizontal="center"/>
      <protection hidden="1"/>
    </xf>
    <xf numFmtId="0" fontId="19" fillId="16" borderId="9" xfId="0" applyFont="1" applyFill="1" applyBorder="1" applyAlignment="1" applyProtection="1">
      <alignment horizontal="center"/>
      <protection hidden="1"/>
    </xf>
    <xf numFmtId="0" fontId="19" fillId="16" borderId="11" xfId="0" applyFont="1" applyFill="1" applyBorder="1" applyAlignment="1" applyProtection="1">
      <alignment horizontal="center"/>
      <protection hidden="1"/>
    </xf>
    <xf numFmtId="0" fontId="19" fillId="16" borderId="0" xfId="0" applyFont="1" applyFill="1" applyAlignment="1" applyProtection="1">
      <alignment horizontal="center"/>
      <protection hidden="1"/>
    </xf>
    <xf numFmtId="0" fontId="19" fillId="16" borderId="1" xfId="0" applyFont="1" applyFill="1" applyBorder="1" applyAlignment="1" applyProtection="1">
      <alignment horizontal="center"/>
      <protection hidden="1"/>
    </xf>
    <xf numFmtId="0" fontId="19" fillId="16" borderId="2" xfId="0" applyFont="1" applyFill="1" applyBorder="1" applyAlignment="1" applyProtection="1">
      <alignment horizontal="center"/>
      <protection hidden="1"/>
    </xf>
    <xf numFmtId="0" fontId="19" fillId="16" borderId="3" xfId="0" applyFont="1" applyFill="1" applyBorder="1" applyAlignment="1" applyProtection="1">
      <alignment horizontal="center"/>
      <protection hidden="1"/>
    </xf>
    <xf numFmtId="0" fontId="24" fillId="16" borderId="0" xfId="0" applyFont="1" applyFill="1" applyBorder="1" applyAlignment="1" applyProtection="1">
      <alignment horizontal="center"/>
      <protection hidden="1"/>
    </xf>
    <xf numFmtId="0" fontId="29" fillId="12" borderId="0" xfId="0" applyFont="1" applyFill="1" applyBorder="1" applyAlignment="1">
      <alignment horizontal="center"/>
    </xf>
    <xf numFmtId="0" fontId="28" fillId="21" borderId="4" xfId="0" applyFont="1" applyFill="1" applyBorder="1" applyAlignment="1">
      <alignment horizontal="center"/>
    </xf>
    <xf numFmtId="0" fontId="28" fillId="21" borderId="0" xfId="0" applyFont="1" applyFill="1" applyBorder="1" applyAlignment="1">
      <alignment horizontal="center"/>
    </xf>
    <xf numFmtId="0" fontId="30" fillId="22" borderId="76" xfId="0" applyFont="1" applyFill="1" applyBorder="1" applyAlignment="1">
      <alignment horizontal="center" vertical="center"/>
    </xf>
    <xf numFmtId="0" fontId="30" fillId="22" borderId="74" xfId="0" applyFont="1" applyFill="1" applyBorder="1" applyAlignment="1">
      <alignment horizontal="center" vertical="center"/>
    </xf>
    <xf numFmtId="0" fontId="30" fillId="22" borderId="73" xfId="0" applyFont="1" applyFill="1" applyBorder="1" applyAlignment="1">
      <alignment horizontal="center" vertical="center"/>
    </xf>
    <xf numFmtId="0" fontId="33" fillId="21" borderId="77" xfId="0" applyFont="1" applyFill="1" applyBorder="1" applyAlignment="1">
      <alignment horizontal="center"/>
    </xf>
    <xf numFmtId="0" fontId="33" fillId="21" borderId="78" xfId="0" applyFont="1" applyFill="1" applyBorder="1" applyAlignment="1">
      <alignment horizontal="center"/>
    </xf>
    <xf numFmtId="0" fontId="33" fillId="21" borderId="79" xfId="0" applyFont="1" applyFill="1" applyBorder="1" applyAlignment="1">
      <alignment horizontal="center"/>
    </xf>
    <xf numFmtId="0" fontId="27" fillId="21" borderId="77" xfId="0" applyFont="1" applyFill="1" applyBorder="1" applyAlignment="1">
      <alignment horizontal="center"/>
    </xf>
    <xf numFmtId="0" fontId="27" fillId="21" borderId="79" xfId="0" applyFont="1" applyFill="1" applyBorder="1" applyAlignment="1">
      <alignment horizontal="center"/>
    </xf>
    <xf numFmtId="0" fontId="27" fillId="22" borderId="77" xfId="0" applyFont="1" applyFill="1" applyBorder="1" applyAlignment="1">
      <alignment horizontal="center"/>
    </xf>
    <xf numFmtId="0" fontId="27" fillId="22" borderId="79" xfId="0" applyFont="1" applyFill="1" applyBorder="1" applyAlignment="1">
      <alignment horizontal="center"/>
    </xf>
    <xf numFmtId="0" fontId="0" fillId="21" borderId="77" xfId="0" applyFont="1" applyFill="1" applyBorder="1" applyAlignment="1">
      <alignment horizontal="center"/>
    </xf>
    <xf numFmtId="0" fontId="0" fillId="21" borderId="78" xfId="0" applyFont="1" applyFill="1" applyBorder="1" applyAlignment="1">
      <alignment horizontal="center"/>
    </xf>
    <xf numFmtId="0" fontId="0" fillId="22" borderId="77" xfId="0" applyFont="1" applyFill="1" applyBorder="1" applyAlignment="1">
      <alignment horizontal="center"/>
    </xf>
    <xf numFmtId="0" fontId="0" fillId="22" borderId="78" xfId="0" applyFont="1" applyFill="1" applyBorder="1" applyAlignment="1">
      <alignment horizontal="center"/>
    </xf>
  </cellXfs>
  <cellStyles count="2">
    <cellStyle name="Hyperlink" xfId="1" builtinId="8"/>
    <cellStyle name="Normal" xfId="0" builtinId="0"/>
  </cellStyles>
  <dxfs count="340">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7" tint="0.39994506668294322"/>
        </patternFill>
      </fill>
    </dxf>
    <dxf>
      <font>
        <color rgb="FF9C0006"/>
      </font>
      <fill>
        <patternFill>
          <bgColor rgb="FFFFC7CE"/>
        </patternFill>
      </fill>
    </dxf>
    <dxf>
      <fill>
        <patternFill>
          <bgColor rgb="FFFF99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ill>
        <patternFill>
          <bgColor rgb="FFFF66CC"/>
        </patternFill>
      </fill>
    </dxf>
    <dxf>
      <fill>
        <patternFill>
          <bgColor rgb="FFFF66CC"/>
        </patternFill>
      </fill>
    </dxf>
    <dxf>
      <fill>
        <patternFill>
          <bgColor rgb="FF00B050"/>
        </patternFill>
      </fill>
    </dxf>
    <dxf>
      <fill>
        <patternFill>
          <bgColor rgb="FF00B050"/>
        </patternFill>
      </fill>
    </dxf>
    <dxf>
      <fill>
        <patternFill>
          <bgColor rgb="FF00B0F0"/>
        </patternFill>
      </fill>
    </dxf>
    <dxf>
      <fill>
        <patternFill>
          <bgColor rgb="FF00B0F0"/>
        </patternFill>
      </fill>
    </dxf>
    <dxf>
      <fill>
        <patternFill>
          <bgColor rgb="FFFF66CC"/>
        </patternFill>
      </fill>
    </dxf>
    <dxf>
      <fill>
        <patternFill>
          <bgColor rgb="FF00B0F0"/>
        </patternFill>
      </fill>
    </dxf>
    <dxf>
      <fill>
        <patternFill>
          <bgColor rgb="FF00B050"/>
        </patternFill>
      </fill>
    </dxf>
    <dxf>
      <fill>
        <patternFill>
          <bgColor rgb="FF00B05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FF66CC"/>
        </patternFill>
      </fill>
    </dxf>
    <dxf>
      <fill>
        <patternFill>
          <bgColor rgb="FFFF66CC"/>
        </patternFill>
      </fill>
    </dxf>
    <dxf>
      <fill>
        <patternFill>
          <bgColor rgb="FFFF66CC"/>
        </patternFill>
      </fill>
    </dxf>
    <dxf>
      <fill>
        <patternFill>
          <bgColor rgb="FF00B0F0"/>
        </patternFill>
      </fill>
    </dxf>
    <dxf>
      <font>
        <color rgb="FF9C0006"/>
      </font>
      <fill>
        <patternFill>
          <bgColor rgb="FFFFC7CE"/>
        </patternFill>
      </fill>
    </dxf>
    <dxf>
      <font>
        <color rgb="FFFF0000"/>
      </font>
      <fill>
        <patternFill>
          <bgColor rgb="FFFF00FF"/>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66CC"/>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ill>
        <patternFill>
          <bgColor rgb="FF00B050"/>
        </patternFill>
      </fill>
    </dxf>
    <dxf>
      <fill>
        <patternFill>
          <bgColor rgb="FF00B050"/>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ill>
        <patternFill>
          <bgColor theme="9" tint="0.39994506668294322"/>
        </patternFill>
      </fill>
    </dxf>
    <dxf>
      <fill>
        <patternFill>
          <bgColor theme="7" tint="0.39994506668294322"/>
        </patternFill>
      </fill>
    </dxf>
    <dxf>
      <fill>
        <patternFill>
          <bgColor rgb="FF00B0F0"/>
        </patternFill>
      </fill>
    </dxf>
    <dxf>
      <fill>
        <patternFill>
          <bgColor rgb="FF92D050"/>
        </patternFill>
      </fill>
    </dxf>
    <dxf>
      <fill>
        <patternFill>
          <bgColor rgb="FF92D050"/>
        </patternFill>
      </fill>
    </dxf>
    <dxf>
      <fill>
        <patternFill>
          <bgColor rgb="FF00B050"/>
        </patternFill>
      </fill>
    </dxf>
    <dxf>
      <font>
        <color rgb="FF9C0006"/>
      </font>
      <fill>
        <patternFill>
          <bgColor rgb="FFFFC7CE"/>
        </patternFill>
      </fill>
    </dxf>
    <dxf>
      <font>
        <color rgb="FFFF0000"/>
      </font>
      <fill>
        <patternFill>
          <bgColor rgb="FFFF00FF"/>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7" tint="0.39994506668294322"/>
        </patternFill>
      </fill>
    </dxf>
    <dxf>
      <font>
        <color rgb="FF9C0006"/>
      </font>
      <fill>
        <patternFill>
          <bgColor rgb="FFFFC7CE"/>
        </patternFill>
      </fill>
    </dxf>
    <dxf>
      <fill>
        <patternFill>
          <bgColor rgb="FFFF99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7" tint="0.39994506668294322"/>
        </patternFill>
      </fill>
    </dxf>
    <dxf>
      <font>
        <color rgb="FF9C0006"/>
      </font>
      <fill>
        <patternFill>
          <bgColor rgb="FFFFC7CE"/>
        </patternFill>
      </fill>
    </dxf>
    <dxf>
      <fill>
        <patternFill>
          <bgColor rgb="FFFF99FF"/>
        </patternFill>
      </fill>
    </dxf>
    <dxf>
      <fill>
        <patternFill>
          <bgColor rgb="FF92D050"/>
        </patternFill>
      </fill>
    </dxf>
    <dxf>
      <fill>
        <patternFill>
          <bgColor rgb="FF92D050"/>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rgb="FF00B0F0"/>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7" tint="0.39994506668294322"/>
        </patternFill>
      </fill>
    </dxf>
    <dxf>
      <font>
        <color rgb="FF9C0006"/>
      </font>
      <fill>
        <patternFill>
          <bgColor rgb="FFFFC7CE"/>
        </patternFill>
      </fill>
    </dxf>
    <dxf>
      <fill>
        <patternFill>
          <bgColor rgb="FFFF99FF"/>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66CC"/>
        </patternFill>
      </fill>
    </dxf>
    <dxf>
      <fill>
        <patternFill>
          <bgColor rgb="FFFF66CC"/>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rgb="FF9C0006"/>
      </font>
      <fill>
        <patternFill>
          <bgColor rgb="FFFFC7CE"/>
        </patternFill>
      </fill>
    </dxf>
    <dxf>
      <font>
        <color rgb="FFFF0000"/>
      </font>
      <fill>
        <patternFill>
          <bgColor rgb="FFFF00FF"/>
        </patternFill>
      </fill>
    </dxf>
    <dxf>
      <font>
        <color rgb="FFFF0000"/>
      </font>
      <fill>
        <patternFill>
          <bgColor rgb="FFFF00FF"/>
        </patternFill>
      </fill>
    </dxf>
    <dxf>
      <font>
        <color rgb="FF9C0006"/>
      </font>
      <fill>
        <patternFill>
          <bgColor rgb="FFFFC7CE"/>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s>
  <tableStyles count="0" defaultTableStyle="TableStyleMedium2" defaultPivotStyle="PivotStyleLight16"/>
  <colors>
    <mruColors>
      <color rgb="FFFF99FF"/>
      <color rgb="FFFF00FF"/>
      <color rgb="FFFF9966"/>
      <color rgb="FFFF66CC"/>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19</xdr:col>
      <xdr:colOff>31749</xdr:colOff>
      <xdr:row>25</xdr:row>
      <xdr:rowOff>179916</xdr:rowOff>
    </xdr:from>
    <xdr:to>
      <xdr:col>23</xdr:col>
      <xdr:colOff>503766</xdr:colOff>
      <xdr:row>42</xdr:row>
      <xdr:rowOff>123392</xdr:rowOff>
    </xdr:to>
    <xdr:pic>
      <xdr:nvPicPr>
        <xdr:cNvPr id="2" name="Picture 1"/>
        <xdr:cNvPicPr>
          <a:picLocks noChangeAspect="1" noChangeArrowheads="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5584" t="4445" r="6211" b="9167"/>
        <a:stretch/>
      </xdr:blipFill>
      <xdr:spPr bwMode="auto">
        <a:xfrm>
          <a:off x="8064499" y="5630333"/>
          <a:ext cx="3657600" cy="3245476"/>
        </a:xfrm>
        <a:prstGeom prst="rect">
          <a:avLst/>
        </a:prstGeom>
        <a:noFill/>
        <a:ln>
          <a:noFill/>
        </a:ln>
        <a:effectLst/>
        <a:extLst>
          <a:ext uri="{909E8E84-426E-40DD-AFC4-6F175D3DCCD1}">
            <a14:hiddenFill xmlns="" xmlns:a14="http://schemas.microsoft.com/office/drawing/2010/main">
              <a:solidFill>
                <a:schemeClr val="accent1"/>
              </a:solidFill>
            </a14:hiddenFill>
          </a:ext>
          <a:ext uri="{91240B29-F687-4F45-9708-019B960494DF}">
            <a14:hiddenLine xmlns="" xmlns:a14="http://schemas.microsoft.com/office/drawing/2010/main" w="9525">
              <a:solidFill>
                <a:schemeClr val="tx1"/>
              </a:solidFill>
              <a:miter lim="800000"/>
              <a:headEnd/>
              <a:tailEnd/>
            </a14:hiddenLine>
          </a:ext>
          <a:ext uri="{AF507438-7753-43E0-B8FC-AC1667EBCBE1}">
            <a14:hiddenEffects xmlns="" xmlns:a14="http://schemas.microsoft.com/office/drawing/2010/main">
              <a:effectLst>
                <a:outerShdw dist="35921" dir="2700000" algn="ctr" rotWithShape="0">
                  <a:schemeClr val="bg2"/>
                </a:outerShdw>
              </a:effectLst>
            </a14:hiddenEffects>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7" tint="0.59999389629810485"/>
  </sheetPr>
  <dimension ref="B1:J17"/>
  <sheetViews>
    <sheetView topLeftCell="C1" workbookViewId="0">
      <selection activeCell="C4" sqref="C4"/>
    </sheetView>
  </sheetViews>
  <sheetFormatPr defaultRowHeight="14.5"/>
  <cols>
    <col min="2" max="2" width="6.81640625" style="1" bestFit="1" customWidth="1"/>
    <col min="3" max="3" width="62.7265625" style="520" customWidth="1"/>
    <col min="6" max="6" width="19.1796875" customWidth="1"/>
    <col min="7" max="7" width="62.54296875" customWidth="1"/>
    <col min="8" max="8" width="9.453125" customWidth="1"/>
    <col min="9" max="9" width="9.1796875" style="523"/>
    <col min="10" max="10" width="57.453125" style="520" customWidth="1"/>
    <col min="12" max="12" width="11.81640625" bestFit="1" customWidth="1"/>
  </cols>
  <sheetData>
    <row r="1" spans="2:10" ht="15" thickBot="1"/>
    <row r="2" spans="2:10" ht="15" thickBot="1">
      <c r="B2" s="518" t="s">
        <v>105</v>
      </c>
      <c r="C2" s="529" t="s">
        <v>106</v>
      </c>
      <c r="D2" s="519"/>
      <c r="I2" s="524" t="s">
        <v>105</v>
      </c>
      <c r="J2" s="525" t="s">
        <v>229</v>
      </c>
    </row>
    <row r="3" spans="2:10" ht="29.5" thickBot="1">
      <c r="B3" s="516">
        <v>1</v>
      </c>
      <c r="C3" s="530" t="s">
        <v>97</v>
      </c>
      <c r="D3" s="517"/>
      <c r="F3" s="527" t="s">
        <v>217</v>
      </c>
      <c r="G3" s="528" t="s">
        <v>219</v>
      </c>
      <c r="H3" s="521"/>
      <c r="I3" s="524">
        <v>1</v>
      </c>
      <c r="J3" s="526" t="s">
        <v>230</v>
      </c>
    </row>
    <row r="4" spans="2:10" ht="174">
      <c r="B4" s="4">
        <v>2</v>
      </c>
      <c r="C4" s="2" t="s">
        <v>212</v>
      </c>
      <c r="D4" s="5"/>
      <c r="F4" s="508" t="s">
        <v>218</v>
      </c>
      <c r="G4" s="507" t="s">
        <v>228</v>
      </c>
      <c r="H4" s="522"/>
      <c r="I4" s="524">
        <v>2</v>
      </c>
      <c r="J4" s="526" t="s">
        <v>231</v>
      </c>
    </row>
    <row r="5" spans="2:10" ht="58">
      <c r="B5" s="4">
        <v>3</v>
      </c>
      <c r="C5" s="513" t="s">
        <v>213</v>
      </c>
      <c r="D5" s="6"/>
      <c r="F5" s="509" t="s">
        <v>220</v>
      </c>
      <c r="G5" s="505" t="s">
        <v>221</v>
      </c>
      <c r="H5" s="522"/>
      <c r="I5" s="524">
        <v>3</v>
      </c>
      <c r="J5" s="526" t="s">
        <v>232</v>
      </c>
    </row>
    <row r="6" spans="2:10" ht="72.5">
      <c r="B6" s="4">
        <v>4</v>
      </c>
      <c r="C6" s="2" t="s">
        <v>214</v>
      </c>
      <c r="D6" s="450"/>
      <c r="F6" s="510" t="s">
        <v>222</v>
      </c>
      <c r="G6" s="505" t="s">
        <v>227</v>
      </c>
      <c r="H6" s="522"/>
      <c r="I6" s="524">
        <v>4</v>
      </c>
      <c r="J6" s="526" t="s">
        <v>233</v>
      </c>
    </row>
    <row r="7" spans="2:10" ht="58">
      <c r="B7" s="4">
        <v>5</v>
      </c>
      <c r="C7" s="2" t="s">
        <v>107</v>
      </c>
      <c r="D7" s="9"/>
      <c r="F7" s="511" t="s">
        <v>223</v>
      </c>
      <c r="G7" s="505" t="s">
        <v>224</v>
      </c>
      <c r="H7" s="522"/>
      <c r="I7" s="524">
        <v>5</v>
      </c>
      <c r="J7" s="526" t="s">
        <v>234</v>
      </c>
    </row>
    <row r="8" spans="2:10" ht="44" thickBot="1">
      <c r="B8" s="4">
        <v>6</v>
      </c>
      <c r="C8" s="2" t="s">
        <v>171</v>
      </c>
      <c r="D8" s="6"/>
      <c r="F8" s="512" t="s">
        <v>225</v>
      </c>
      <c r="G8" s="506" t="s">
        <v>226</v>
      </c>
      <c r="H8" s="522"/>
      <c r="I8" s="524">
        <v>6</v>
      </c>
      <c r="J8" s="526" t="s">
        <v>235</v>
      </c>
    </row>
    <row r="9" spans="2:10" ht="43.5">
      <c r="B9" s="4">
        <v>7</v>
      </c>
      <c r="C9" s="2" t="s">
        <v>215</v>
      </c>
      <c r="D9" s="7" t="s">
        <v>98</v>
      </c>
      <c r="I9" s="524">
        <v>7</v>
      </c>
      <c r="J9" s="526" t="s">
        <v>236</v>
      </c>
    </row>
    <row r="10" spans="2:10" ht="116">
      <c r="B10" s="4">
        <v>8</v>
      </c>
      <c r="C10" s="3" t="s">
        <v>101</v>
      </c>
      <c r="D10" s="6"/>
      <c r="I10" s="524">
        <v>8</v>
      </c>
      <c r="J10" s="526" t="s">
        <v>237</v>
      </c>
    </row>
    <row r="11" spans="2:10" ht="203">
      <c r="B11" s="4">
        <v>9</v>
      </c>
      <c r="C11" s="2" t="s">
        <v>103</v>
      </c>
      <c r="D11" s="6"/>
      <c r="I11" s="524">
        <v>9</v>
      </c>
      <c r="J11" s="526" t="s">
        <v>238</v>
      </c>
    </row>
    <row r="12" spans="2:10" ht="29">
      <c r="B12" s="4">
        <v>10</v>
      </c>
      <c r="C12" s="2" t="s">
        <v>102</v>
      </c>
      <c r="D12" s="6"/>
      <c r="I12" s="524">
        <v>10</v>
      </c>
      <c r="J12" s="526" t="s">
        <v>239</v>
      </c>
    </row>
    <row r="13" spans="2:10" ht="87">
      <c r="B13" s="4">
        <v>11</v>
      </c>
      <c r="C13" s="2" t="s">
        <v>216</v>
      </c>
      <c r="D13" s="6"/>
    </row>
    <row r="14" spans="2:10" ht="29.5" thickBot="1">
      <c r="B14" s="515">
        <v>12</v>
      </c>
      <c r="C14" s="514" t="s">
        <v>104</v>
      </c>
      <c r="D14" s="8"/>
    </row>
    <row r="16" spans="2:10">
      <c r="G16" s="520"/>
    </row>
    <row r="17" spans="7:7">
      <c r="G17" s="520"/>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Sheet2">
    <tabColor rgb="FFFF00FF"/>
  </sheetPr>
  <dimension ref="A1:HK378"/>
  <sheetViews>
    <sheetView topLeftCell="A3" zoomScale="101" workbookViewId="0">
      <selection activeCell="Z22" sqref="Z22"/>
    </sheetView>
  </sheetViews>
  <sheetFormatPr defaultColWidth="9.1796875" defaultRowHeight="14.5"/>
  <cols>
    <col min="1" max="1" width="16.81640625" style="49" bestFit="1" customWidth="1"/>
    <col min="2" max="2" width="21.54296875" style="49" bestFit="1" customWidth="1"/>
    <col min="3" max="3" width="5.54296875" style="49" bestFit="1" customWidth="1"/>
    <col min="4" max="4" width="6" style="49" bestFit="1" customWidth="1"/>
    <col min="5" max="5" width="3.453125" style="49" bestFit="1" customWidth="1"/>
    <col min="6" max="6" width="3.54296875" style="49" bestFit="1" customWidth="1"/>
    <col min="7" max="7" width="4.26953125" style="49" bestFit="1" customWidth="1"/>
    <col min="8" max="8" width="3.7265625" style="49" bestFit="1" customWidth="1"/>
    <col min="9" max="9" width="5.26953125" style="49" bestFit="1" customWidth="1"/>
    <col min="10" max="10" width="3.7265625" style="49" bestFit="1" customWidth="1"/>
    <col min="11" max="12" width="4.26953125" style="49" bestFit="1" customWidth="1"/>
    <col min="13" max="14" width="3.7265625" style="49" bestFit="1" customWidth="1"/>
    <col min="15" max="15" width="3.54296875" style="49" bestFit="1" customWidth="1"/>
    <col min="16" max="16" width="4.26953125" style="49" bestFit="1" customWidth="1"/>
    <col min="17" max="17" width="3.7265625" style="49" bestFit="1" customWidth="1"/>
    <col min="18" max="19" width="3.1796875" style="49" customWidth="1"/>
    <col min="20" max="20" width="3.7265625" style="49" bestFit="1" customWidth="1"/>
    <col min="21" max="23" width="3.1796875" style="49" customWidth="1"/>
    <col min="24" max="24" width="3.453125" style="54" customWidth="1"/>
    <col min="25" max="25" width="9.7265625" style="49" bestFit="1" customWidth="1"/>
    <col min="26" max="26" width="3.54296875" style="49" customWidth="1"/>
    <col min="27" max="27" width="3.7265625" style="49" customWidth="1"/>
    <col min="28" max="28" width="15.1796875" style="49" bestFit="1" customWidth="1"/>
    <col min="29" max="29" width="10" style="49" bestFit="1" customWidth="1"/>
    <col min="30" max="30" width="5.7265625" style="49" bestFit="1" customWidth="1"/>
    <col min="31" max="31" width="6.1796875" style="49" bestFit="1" customWidth="1"/>
    <col min="32" max="32" width="6" style="49" customWidth="1"/>
    <col min="33" max="33" width="3.81640625" style="49" bestFit="1" customWidth="1"/>
    <col min="34" max="34" width="5.81640625" style="49" bestFit="1" customWidth="1"/>
    <col min="35" max="37" width="5.1796875" style="49" customWidth="1"/>
    <col min="38" max="38" width="6.26953125" style="49" bestFit="1" customWidth="1"/>
    <col min="39" max="40" width="6.26953125" style="49" customWidth="1"/>
    <col min="41" max="41" width="6.26953125" style="291" customWidth="1"/>
    <col min="42" max="42" width="5.1796875" style="292" customWidth="1"/>
    <col min="43" max="56" width="5.1796875" style="61" customWidth="1"/>
    <col min="57" max="57" width="3.7265625" style="61" customWidth="1"/>
    <col min="58" max="67" width="6.1796875" style="61" customWidth="1"/>
    <col min="68" max="68" width="4" style="61" customWidth="1"/>
    <col min="69" max="185" width="5.1796875" style="61" customWidth="1"/>
    <col min="186" max="187" width="5.1796875" style="16" customWidth="1"/>
    <col min="188" max="188" width="2.7265625" style="16" customWidth="1"/>
    <col min="189" max="190" width="2.453125" style="16" bestFit="1" customWidth="1"/>
    <col min="191" max="191" width="3.54296875" style="16" bestFit="1" customWidth="1"/>
    <col min="192" max="192" width="2.26953125" style="16" bestFit="1" customWidth="1"/>
    <col min="193" max="193" width="2.7265625" style="16" bestFit="1" customWidth="1"/>
    <col min="194" max="194" width="3.54296875" style="16" bestFit="1" customWidth="1"/>
    <col min="195" max="195" width="2.81640625" style="16" bestFit="1" customWidth="1"/>
    <col min="196" max="198" width="3.54296875" style="16" bestFit="1" customWidth="1"/>
    <col min="199" max="199" width="2.7265625" style="16" customWidth="1"/>
    <col min="200" max="200" width="9.1796875" style="17" bestFit="1" customWidth="1"/>
    <col min="201" max="201" width="8.26953125" style="17" bestFit="1" customWidth="1"/>
    <col min="202" max="202" width="2" style="16" customWidth="1"/>
    <col min="203" max="203" width="9.1796875" style="16"/>
    <col min="204" max="204" width="10.54296875" style="91" customWidth="1"/>
    <col min="205" max="205" width="2.54296875" style="16" customWidth="1"/>
    <col min="206" max="206" width="9.54296875" style="16" bestFit="1" customWidth="1"/>
    <col min="207" max="207" width="7.54296875" style="16" customWidth="1"/>
    <col min="208" max="208" width="2.453125" style="16" bestFit="1" customWidth="1"/>
    <col min="209" max="209" width="2.1796875" style="16" customWidth="1"/>
    <col min="210" max="210" width="2.453125" style="16" bestFit="1" customWidth="1"/>
    <col min="211" max="212" width="2.1796875" style="16" customWidth="1"/>
    <col min="213" max="213" width="2.7265625" style="16" customWidth="1"/>
    <col min="214" max="214" width="9.1796875" style="16"/>
    <col min="215" max="216" width="8.1796875" style="16" bestFit="1" customWidth="1"/>
    <col min="217" max="217" width="11.81640625" style="16" bestFit="1" customWidth="1"/>
    <col min="218" max="218" width="9.1796875" style="16"/>
    <col min="219" max="219" width="17.81640625" style="16" bestFit="1" customWidth="1"/>
    <col min="220" max="16384" width="9.1796875" style="19"/>
  </cols>
  <sheetData>
    <row r="1" spans="1:219" ht="15" thickBot="1">
      <c r="A1" s="51"/>
      <c r="B1" s="52"/>
      <c r="C1" s="148" t="s">
        <v>29</v>
      </c>
      <c r="D1" s="148" t="s">
        <v>29</v>
      </c>
      <c r="E1" s="148"/>
      <c r="F1" s="148" t="s">
        <v>47</v>
      </c>
      <c r="G1" s="148" t="s">
        <v>47</v>
      </c>
      <c r="H1" s="148"/>
      <c r="I1" s="148" t="s">
        <v>48</v>
      </c>
      <c r="J1" s="148" t="s">
        <v>48</v>
      </c>
      <c r="K1" s="148" t="s">
        <v>48</v>
      </c>
      <c r="L1" s="148" t="s">
        <v>48</v>
      </c>
      <c r="M1" s="21"/>
      <c r="N1" s="298"/>
      <c r="O1" s="337"/>
      <c r="P1" s="338">
        <v>1</v>
      </c>
      <c r="Q1" s="338">
        <v>2</v>
      </c>
      <c r="R1" s="338">
        <v>3</v>
      </c>
      <c r="S1" s="338">
        <v>4</v>
      </c>
      <c r="T1" s="338">
        <v>5</v>
      </c>
      <c r="U1" s="338">
        <v>6</v>
      </c>
      <c r="V1" s="338">
        <v>7</v>
      </c>
      <c r="W1" s="338">
        <v>8</v>
      </c>
      <c r="X1" s="339">
        <v>9</v>
      </c>
      <c r="AL1" s="24">
        <v>1</v>
      </c>
      <c r="AM1" s="25">
        <v>2</v>
      </c>
      <c r="AN1" s="25">
        <v>3</v>
      </c>
      <c r="AO1" s="25">
        <v>4</v>
      </c>
      <c r="AP1" s="25">
        <v>5</v>
      </c>
      <c r="AQ1" s="25">
        <v>6</v>
      </c>
      <c r="AR1" s="25">
        <v>7</v>
      </c>
      <c r="AS1" s="26">
        <v>8</v>
      </c>
    </row>
    <row r="2" spans="1:219">
      <c r="A2" s="51" t="s">
        <v>108</v>
      </c>
      <c r="B2" s="150">
        <v>27896</v>
      </c>
      <c r="C2" s="148" t="str">
        <f>MID(A4,1,1)</f>
        <v>1</v>
      </c>
      <c r="D2" s="148" t="str">
        <f>MID(A4,2,1)</f>
        <v>6</v>
      </c>
      <c r="E2" s="249"/>
      <c r="F2" s="148" t="str">
        <f>MID(A4,4,1)</f>
        <v>0</v>
      </c>
      <c r="G2" s="148" t="str">
        <f>MID(A4,5,1)</f>
        <v>5</v>
      </c>
      <c r="H2" s="249"/>
      <c r="I2" s="148" t="str">
        <f>MID(A4,7,1)</f>
        <v>1</v>
      </c>
      <c r="J2" s="52" t="str">
        <f>MID(A4,8,1)</f>
        <v>9</v>
      </c>
      <c r="K2" s="52" t="str">
        <f>MID(A4,9,1)</f>
        <v>7</v>
      </c>
      <c r="L2" s="52" t="str">
        <f>MID(A4,10,1)</f>
        <v>6</v>
      </c>
      <c r="M2" s="21"/>
      <c r="N2" s="300" t="s">
        <v>18</v>
      </c>
      <c r="O2" s="293">
        <f>AA14</f>
        <v>7</v>
      </c>
      <c r="P2" s="293" t="str">
        <f t="shared" ref="P2:X2" si="0">INDEX($AR$21:$BA$32,MATCH(P$1,$AR$21:$BA$21,0),MATCH($O$2,$AR$21:$AR$32,0))</f>
        <v>G</v>
      </c>
      <c r="Q2" s="293" t="str">
        <f t="shared" si="0"/>
        <v>VG</v>
      </c>
      <c r="R2" s="293" t="str">
        <f t="shared" si="0"/>
        <v>G</v>
      </c>
      <c r="S2" s="293" t="str">
        <f t="shared" si="0"/>
        <v>G</v>
      </c>
      <c r="T2" s="293" t="str">
        <f t="shared" si="0"/>
        <v>G</v>
      </c>
      <c r="U2" s="293" t="str">
        <f t="shared" si="0"/>
        <v>G</v>
      </c>
      <c r="V2" s="293" t="str">
        <f t="shared" si="0"/>
        <v>E</v>
      </c>
      <c r="W2" s="293" t="str">
        <f t="shared" si="0"/>
        <v>A</v>
      </c>
      <c r="X2" s="293" t="str">
        <f t="shared" si="0"/>
        <v>A</v>
      </c>
      <c r="AL2" s="34" t="s">
        <v>14</v>
      </c>
      <c r="AM2" s="249" t="s">
        <v>22</v>
      </c>
      <c r="AN2" s="249" t="s">
        <v>27</v>
      </c>
      <c r="AO2" s="249" t="s">
        <v>29</v>
      </c>
      <c r="AP2" s="35" t="s">
        <v>19</v>
      </c>
      <c r="AQ2" s="35" t="s">
        <v>51</v>
      </c>
      <c r="AR2" s="35" t="s">
        <v>52</v>
      </c>
      <c r="AS2" s="36" t="s">
        <v>21</v>
      </c>
    </row>
    <row r="3" spans="1:219" ht="15" thickBot="1">
      <c r="A3" s="55" t="str">
        <f>TEXT(B2,("DD-MMM"))</f>
        <v>16-May</v>
      </c>
      <c r="I3" s="205" t="str">
        <f>I2&amp;J2&amp;K2&amp;L2</f>
        <v>1976</v>
      </c>
      <c r="J3" s="205"/>
      <c r="K3" s="205"/>
      <c r="L3" s="206">
        <f ca="1">SUMPRODUCT(1*MID(I3,ROW(INDIRECT("1:"&amp;LEN(I3))),1))</f>
        <v>23</v>
      </c>
      <c r="M3" s="21"/>
      <c r="N3" s="302" t="s">
        <v>25</v>
      </c>
      <c r="O3" s="340">
        <f ca="1">AA15</f>
        <v>8</v>
      </c>
      <c r="P3" s="340" t="str">
        <f t="shared" ref="P3:X3" ca="1" si="1">INDEX($AR$21:$BA$32,MATCH(P$1,$AR$21:$BA$21,0),MATCH($O$3,$AR$21:$AR$32,0))</f>
        <v>F</v>
      </c>
      <c r="Q3" s="340" t="str">
        <f t="shared" ca="1" si="1"/>
        <v>A</v>
      </c>
      <c r="R3" s="340" t="str">
        <f t="shared" ca="1" si="1"/>
        <v>G</v>
      </c>
      <c r="S3" s="340" t="str">
        <f t="shared" ca="1" si="1"/>
        <v>A</v>
      </c>
      <c r="T3" s="340" t="str">
        <f t="shared" ca="1" si="1"/>
        <v>VG</v>
      </c>
      <c r="U3" s="340" t="str">
        <f t="shared" ca="1" si="1"/>
        <v>G</v>
      </c>
      <c r="V3" s="340" t="str">
        <f t="shared" ca="1" si="1"/>
        <v>A</v>
      </c>
      <c r="W3" s="340" t="str">
        <f t="shared" ca="1" si="1"/>
        <v>E</v>
      </c>
      <c r="X3" s="303" t="str">
        <f t="shared" ca="1" si="1"/>
        <v>SA</v>
      </c>
      <c r="AL3" s="34" t="s">
        <v>43</v>
      </c>
      <c r="AM3" s="249" t="s">
        <v>50</v>
      </c>
      <c r="AN3" s="249" t="s">
        <v>20</v>
      </c>
      <c r="AO3" s="249" t="s">
        <v>47</v>
      </c>
      <c r="AP3" s="249" t="s">
        <v>41</v>
      </c>
      <c r="AQ3" s="249" t="s">
        <v>56</v>
      </c>
      <c r="AR3" s="249" t="s">
        <v>57</v>
      </c>
      <c r="AS3" s="36" t="s">
        <v>58</v>
      </c>
    </row>
    <row r="4" spans="1:219" ht="15" thickBot="1">
      <c r="A4" s="55" t="str">
        <f>TEXT(B2,"DD-MM-YYYY")</f>
        <v>16-05-1976</v>
      </c>
      <c r="B4" s="245" t="s">
        <v>127</v>
      </c>
      <c r="C4" s="698" t="s">
        <v>18</v>
      </c>
      <c r="D4" s="698"/>
      <c r="E4" s="148"/>
      <c r="F4" s="698" t="s">
        <v>54</v>
      </c>
      <c r="G4" s="698"/>
      <c r="H4" s="148"/>
      <c r="I4" s="698" t="s">
        <v>55</v>
      </c>
      <c r="J4" s="698"/>
      <c r="K4" s="698"/>
      <c r="L4" s="698"/>
      <c r="M4" s="21"/>
      <c r="N4" s="14"/>
      <c r="O4" s="14"/>
      <c r="P4" s="14"/>
      <c r="Q4" s="14"/>
      <c r="R4" s="14"/>
      <c r="S4" s="14"/>
      <c r="T4" s="14"/>
      <c r="U4" s="14"/>
      <c r="V4" s="14"/>
      <c r="W4" s="14"/>
      <c r="X4" s="14"/>
      <c r="AL4" s="41" t="s">
        <v>46</v>
      </c>
      <c r="AM4" s="249" t="s">
        <v>59</v>
      </c>
      <c r="AN4" s="249" t="s">
        <v>53</v>
      </c>
      <c r="AO4" s="249" t="s">
        <v>60</v>
      </c>
      <c r="AP4" s="249" t="s">
        <v>61</v>
      </c>
      <c r="AQ4" s="249" t="s">
        <v>62</v>
      </c>
      <c r="AR4" s="249"/>
      <c r="AS4" s="36"/>
    </row>
    <row r="5" spans="1:219" ht="15" thickBot="1">
      <c r="A5" s="51"/>
      <c r="B5" s="56" t="str">
        <f>CHOOSE(MATCH(1,(DATEVALUE({"22/12/2011","21/01/2012","20/02/2012","21/03/2012","21/04/2012","22/05/2012","22/06/2012","23/07/2012","23/08/2012","24/09/2012","24/10/2012","23/11/2012","22/12/2012"})&lt;=DATEVALUE(TEXT(B2,"dd/mm/")&amp;"2012"))*(DATEVALUE({"20/01/2012","19/02/2012","20/03/2012","20/04/2012","21/05/2012","21/06/2012","22/07/2012","22/08/2012","23/09/2012","23/10/2012","22/11/2012","21/12/2012","20/01/2013"})&gt;=DATEVALUE(TEXT(B2,"dd/mm/")&amp;"2012")),0),"Capricorn - Earth","Aquarius - Air","Pisces - Water","Aries - Fire","Taurus - Earth","Gemini - Air","Cancer - Water","Leo - Fire","Virgo - Earth","Libra - Air","Scorpio - Water","Sagittarius Fire","Capricorn - Earth")</f>
        <v>Taurus - Earth</v>
      </c>
      <c r="C5" s="699">
        <f>C2+D2</f>
        <v>7</v>
      </c>
      <c r="D5" s="699"/>
      <c r="E5" s="148"/>
      <c r="F5" s="700">
        <f>F2+G2</f>
        <v>5</v>
      </c>
      <c r="G5" s="700"/>
      <c r="H5" s="148"/>
      <c r="I5" s="700">
        <f ca="1">SUMPRODUCT(1*MID(L3,ROW(INDIRECT("1:"&amp;LEN(L3))),1))</f>
        <v>5</v>
      </c>
      <c r="J5" s="700"/>
      <c r="K5" s="700"/>
      <c r="L5" s="700"/>
      <c r="M5" s="21"/>
      <c r="N5" s="14"/>
      <c r="O5" s="14"/>
      <c r="P5" s="341">
        <v>1</v>
      </c>
      <c r="Q5" s="309">
        <v>2</v>
      </c>
      <c r="R5" s="309">
        <v>3</v>
      </c>
      <c r="S5" s="309">
        <v>4</v>
      </c>
      <c r="T5" s="310">
        <v>5</v>
      </c>
      <c r="U5" s="310">
        <v>6</v>
      </c>
      <c r="V5" s="309">
        <v>7</v>
      </c>
      <c r="W5" s="309">
        <v>8</v>
      </c>
      <c r="X5" s="342">
        <v>9</v>
      </c>
      <c r="AL5" s="41" t="s">
        <v>63</v>
      </c>
      <c r="AM5" s="249"/>
      <c r="AN5" s="249" t="s">
        <v>64</v>
      </c>
      <c r="AO5" s="249"/>
      <c r="AP5" s="249" t="s">
        <v>23</v>
      </c>
      <c r="AQ5" s="249"/>
      <c r="AR5" s="249"/>
      <c r="AS5" s="36"/>
      <c r="BE5" s="19"/>
      <c r="BF5" s="19"/>
      <c r="BG5" s="19"/>
      <c r="BH5" s="19"/>
      <c r="BI5" s="19"/>
      <c r="BJ5" s="19"/>
      <c r="BK5" s="19"/>
      <c r="BL5" s="19"/>
      <c r="BM5" s="19"/>
      <c r="BN5" s="19"/>
      <c r="BO5" s="19"/>
    </row>
    <row r="6" spans="1:219" ht="15" thickBot="1">
      <c r="A6" s="51"/>
      <c r="B6" s="245" t="s">
        <v>18</v>
      </c>
      <c r="C6" s="57">
        <f>IF(LEN(C5)&gt;1,LEFT(C5,1)+RIGHT(C5,1),C5)</f>
        <v>7</v>
      </c>
      <c r="D6" s="148"/>
      <c r="E6" s="148"/>
      <c r="F6" s="57">
        <f>IF(LEN(F5)&gt;1,LEFT(F5,1)+RIGHT(F5,1),F5)</f>
        <v>5</v>
      </c>
      <c r="G6" s="148"/>
      <c r="H6" s="148"/>
      <c r="I6" s="57">
        <f ca="1">SUMPRODUCT(1*MID(I5,ROW(INDIRECT("1:"&amp;LEN(I5))),1))</f>
        <v>5</v>
      </c>
      <c r="J6" s="148"/>
      <c r="K6" s="148"/>
      <c r="L6" s="148"/>
      <c r="M6" s="21"/>
      <c r="N6" s="14"/>
      <c r="O6" s="14"/>
      <c r="P6" s="343">
        <v>10</v>
      </c>
      <c r="Q6" s="139">
        <v>11</v>
      </c>
      <c r="R6" s="140">
        <v>12</v>
      </c>
      <c r="S6" s="140">
        <v>13</v>
      </c>
      <c r="T6" s="140">
        <v>14</v>
      </c>
      <c r="U6" s="140">
        <v>15</v>
      </c>
      <c r="V6" s="139">
        <v>16</v>
      </c>
      <c r="W6" s="140">
        <v>17</v>
      </c>
      <c r="X6" s="314">
        <v>18</v>
      </c>
      <c r="AL6" s="43" t="s">
        <v>48</v>
      </c>
      <c r="AM6" s="44"/>
      <c r="AN6" s="44"/>
      <c r="AO6" s="44"/>
      <c r="AP6" s="44"/>
      <c r="AQ6" s="44"/>
      <c r="AR6" s="44"/>
      <c r="AS6" s="45"/>
      <c r="BE6" s="19"/>
      <c r="BF6" s="19"/>
      <c r="BG6" s="19"/>
      <c r="BH6" s="19"/>
      <c r="BI6" s="19"/>
      <c r="BJ6" s="19"/>
      <c r="BK6" s="19"/>
      <c r="BL6" s="19"/>
      <c r="BM6" s="19"/>
      <c r="BN6" s="19"/>
      <c r="BO6" s="19"/>
    </row>
    <row r="7" spans="1:219">
      <c r="A7" s="51"/>
      <c r="B7" s="245" t="s">
        <v>25</v>
      </c>
      <c r="C7" s="57">
        <f ca="1">MOD((C6+F6+I6)-1,9)+1</f>
        <v>8</v>
      </c>
      <c r="D7" s="148"/>
      <c r="E7" s="148"/>
      <c r="F7" s="148"/>
      <c r="G7" s="148"/>
      <c r="H7" s="148"/>
      <c r="I7" s="148"/>
      <c r="J7" s="148"/>
      <c r="K7" s="148"/>
      <c r="L7" s="148"/>
      <c r="M7" s="21"/>
      <c r="N7" s="14"/>
      <c r="O7" s="14"/>
      <c r="P7" s="344">
        <v>19</v>
      </c>
      <c r="Q7" s="142">
        <v>20</v>
      </c>
      <c r="R7" s="143">
        <v>21</v>
      </c>
      <c r="S7" s="139">
        <v>22</v>
      </c>
      <c r="T7" s="141">
        <v>23</v>
      </c>
      <c r="U7" s="141">
        <v>24</v>
      </c>
      <c r="V7" s="142">
        <v>25</v>
      </c>
      <c r="W7" s="139">
        <v>26</v>
      </c>
      <c r="X7" s="327">
        <v>27</v>
      </c>
      <c r="BE7" s="19"/>
      <c r="BF7" s="19"/>
      <c r="BG7" s="19"/>
      <c r="BH7" s="19"/>
      <c r="BI7" s="19"/>
      <c r="BJ7" s="19"/>
      <c r="BK7" s="19"/>
      <c r="BL7" s="19"/>
      <c r="BM7" s="19"/>
      <c r="BN7" s="19"/>
      <c r="BO7" s="19"/>
    </row>
    <row r="8" spans="1:219">
      <c r="A8" s="336"/>
      <c r="B8" s="148"/>
      <c r="C8" s="148"/>
      <c r="D8" s="148"/>
      <c r="E8" s="148"/>
      <c r="F8" s="148"/>
      <c r="G8" s="148"/>
      <c r="H8" s="148"/>
      <c r="I8" s="148"/>
      <c r="J8" s="148"/>
      <c r="K8" s="148"/>
      <c r="L8" s="148"/>
      <c r="M8" s="21"/>
      <c r="N8" s="74"/>
      <c r="O8" s="74"/>
      <c r="P8" s="345">
        <v>28</v>
      </c>
      <c r="Q8" s="139">
        <v>29</v>
      </c>
      <c r="R8" s="143">
        <v>30</v>
      </c>
      <c r="S8" s="139">
        <v>31</v>
      </c>
      <c r="T8" s="142">
        <v>32</v>
      </c>
      <c r="U8" s="140">
        <v>33</v>
      </c>
      <c r="V8" s="141">
        <v>34</v>
      </c>
      <c r="W8" s="139">
        <v>35</v>
      </c>
      <c r="X8" s="327">
        <v>36</v>
      </c>
      <c r="BE8" s="19"/>
      <c r="BF8" s="19"/>
      <c r="BG8" s="19"/>
      <c r="BH8" s="19"/>
      <c r="BI8" s="19"/>
      <c r="BJ8" s="19"/>
      <c r="BK8" s="19"/>
      <c r="BL8" s="19"/>
      <c r="BM8" s="19"/>
      <c r="BN8" s="19"/>
      <c r="BO8" s="19"/>
    </row>
    <row r="9" spans="1:219">
      <c r="A9" s="49" t="s">
        <v>152</v>
      </c>
      <c r="B9" s="203" t="s">
        <v>187</v>
      </c>
      <c r="C9" s="148"/>
      <c r="D9" s="245" t="s">
        <v>111</v>
      </c>
      <c r="E9" s="148"/>
      <c r="F9" s="148"/>
      <c r="G9" s="148"/>
      <c r="H9" s="148"/>
      <c r="I9" s="148"/>
      <c r="J9" s="148"/>
      <c r="K9" s="148"/>
      <c r="L9" s="148"/>
      <c r="M9" s="21"/>
      <c r="N9" s="74"/>
      <c r="O9" s="74"/>
      <c r="P9" s="343">
        <v>37</v>
      </c>
      <c r="Q9" s="141">
        <v>38</v>
      </c>
      <c r="R9" s="141">
        <v>39</v>
      </c>
      <c r="S9" s="139">
        <v>40</v>
      </c>
      <c r="T9" s="140">
        <v>41</v>
      </c>
      <c r="U9" s="140">
        <v>42</v>
      </c>
      <c r="V9" s="140">
        <v>43</v>
      </c>
      <c r="W9" s="139">
        <v>44</v>
      </c>
      <c r="X9" s="313">
        <v>45</v>
      </c>
      <c r="BE9" s="19"/>
      <c r="BF9" s="19"/>
      <c r="BG9" s="19"/>
      <c r="BH9" s="19"/>
      <c r="BI9" s="19"/>
      <c r="BJ9" s="19"/>
      <c r="BK9" s="19"/>
      <c r="BL9" s="19"/>
      <c r="BM9" s="19"/>
      <c r="BN9" s="19"/>
      <c r="BO9" s="19"/>
    </row>
    <row r="10" spans="1:219" ht="15" thickBot="1">
      <c r="D10" s="53">
        <f ca="1">(TODAY()-B2)/365</f>
        <v>45.950684931506849</v>
      </c>
      <c r="N10" s="74"/>
      <c r="O10" s="74"/>
      <c r="P10" s="346">
        <v>46</v>
      </c>
      <c r="Q10" s="319">
        <v>47</v>
      </c>
      <c r="R10" s="317">
        <v>48</v>
      </c>
      <c r="S10" s="347">
        <v>49</v>
      </c>
      <c r="T10" s="319">
        <v>50</v>
      </c>
      <c r="U10" s="319">
        <v>51</v>
      </c>
      <c r="V10" s="347">
        <v>52</v>
      </c>
      <c r="W10" s="347"/>
      <c r="X10" s="320"/>
      <c r="BE10" s="19"/>
      <c r="BF10" s="19"/>
      <c r="BG10" s="19"/>
      <c r="BH10" s="19"/>
      <c r="BI10" s="19"/>
      <c r="BJ10" s="19"/>
      <c r="BK10" s="19"/>
      <c r="BL10" s="19"/>
      <c r="BM10" s="19"/>
      <c r="BN10" s="19"/>
      <c r="BO10" s="19"/>
    </row>
    <row r="11" spans="1:219" ht="15" thickBot="1">
      <c r="AE11" s="21"/>
      <c r="AF11" s="21"/>
      <c r="AG11" s="21"/>
      <c r="AH11" s="21"/>
      <c r="AI11" s="21"/>
      <c r="AJ11" s="21"/>
      <c r="AK11" s="21"/>
      <c r="AL11" s="21"/>
      <c r="BE11" s="19"/>
      <c r="BF11" s="19"/>
      <c r="BG11" s="19"/>
      <c r="BH11" s="19"/>
      <c r="BI11" s="19"/>
      <c r="BJ11" s="19"/>
      <c r="BK11" s="19"/>
      <c r="BL11" s="19"/>
      <c r="BM11" s="19"/>
      <c r="BN11" s="19"/>
      <c r="BO11" s="19"/>
    </row>
    <row r="12" spans="1:219" ht="15" thickBot="1">
      <c r="A12" s="10"/>
      <c r="B12" s="11"/>
      <c r="C12" s="11"/>
      <c r="D12" s="11"/>
      <c r="E12" s="11"/>
      <c r="F12" s="11"/>
      <c r="G12" s="11"/>
      <c r="H12" s="11"/>
      <c r="I12" s="11"/>
      <c r="J12" s="11"/>
      <c r="K12" s="11"/>
      <c r="L12" s="11"/>
      <c r="M12" s="11"/>
      <c r="N12" s="11"/>
      <c r="O12" s="11"/>
      <c r="P12" s="11"/>
      <c r="Q12" s="11"/>
      <c r="R12" s="11"/>
      <c r="S12" s="11"/>
      <c r="T12" s="11"/>
      <c r="U12" s="11"/>
      <c r="V12" s="11"/>
      <c r="W12" s="11"/>
      <c r="X12" s="12"/>
      <c r="Y12" s="11"/>
      <c r="Z12" s="11"/>
      <c r="AA12" s="11"/>
      <c r="AB12" s="701" t="s">
        <v>99</v>
      </c>
      <c r="AC12" s="702"/>
      <c r="AD12" s="703"/>
      <c r="AE12" s="21"/>
      <c r="AF12" s="21"/>
      <c r="AG12" s="21"/>
      <c r="AI12" s="21">
        <f t="shared" ref="AI12:AI17" si="2">IF(LEN(AA14)&gt;1,LEFT(AA14,1)+RIGHT(AA14,1),AA14)</f>
        <v>7</v>
      </c>
      <c r="AJ12" s="21"/>
      <c r="AK12" s="21"/>
      <c r="AL12" s="21"/>
      <c r="AM12" s="14"/>
      <c r="AQ12" s="14"/>
      <c r="AR12" s="14"/>
      <c r="AS12" s="14"/>
      <c r="AT12" s="14"/>
      <c r="AU12" s="14"/>
      <c r="AV12" s="14"/>
      <c r="AW12" s="14"/>
      <c r="AX12" s="14"/>
      <c r="AY12" s="14"/>
      <c r="AZ12" s="14"/>
      <c r="BA12" s="14"/>
      <c r="BB12" s="14"/>
      <c r="BC12" s="14"/>
      <c r="BD12" s="14"/>
      <c r="BE12" s="19"/>
      <c r="BF12" s="19"/>
      <c r="BG12" s="19"/>
      <c r="BH12" s="19"/>
      <c r="BI12" s="19"/>
      <c r="BJ12" s="19"/>
      <c r="BK12" s="19"/>
      <c r="BL12" s="19"/>
      <c r="BM12" s="19"/>
      <c r="BN12" s="19"/>
      <c r="BO12" s="19"/>
      <c r="BP12" s="19"/>
      <c r="BQ12" s="19"/>
      <c r="BR12" s="19"/>
      <c r="BS12" s="19"/>
      <c r="BT12" s="19"/>
      <c r="BU12" s="19"/>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248" t="s">
        <v>15</v>
      </c>
      <c r="GC12" s="18" t="s">
        <v>16</v>
      </c>
      <c r="GD12" s="15"/>
      <c r="GE12" s="15"/>
      <c r="GG12" s="687" t="s">
        <v>0</v>
      </c>
      <c r="GH12" s="687"/>
      <c r="GI12" s="687"/>
      <c r="GJ12" s="687"/>
      <c r="GK12" s="687"/>
      <c r="GL12" s="687"/>
      <c r="GM12" s="687"/>
      <c r="GN12" s="687"/>
      <c r="GO12" s="687"/>
      <c r="GP12" s="687"/>
      <c r="GR12" s="248" t="s">
        <v>1</v>
      </c>
      <c r="GS12" s="248" t="s">
        <v>2</v>
      </c>
      <c r="GU12" s="687" t="s">
        <v>3</v>
      </c>
      <c r="GV12" s="687"/>
      <c r="GX12" s="17"/>
      <c r="GY12" s="248" t="s">
        <v>4</v>
      </c>
      <c r="GZ12" s="18" t="s">
        <v>5</v>
      </c>
      <c r="HA12" s="18" t="s">
        <v>6</v>
      </c>
      <c r="HB12" s="18" t="s">
        <v>7</v>
      </c>
      <c r="HC12" s="18" t="s">
        <v>8</v>
      </c>
      <c r="HD12" s="18" t="s">
        <v>9</v>
      </c>
      <c r="HG12" s="130" t="s">
        <v>125</v>
      </c>
      <c r="HH12" s="130" t="s">
        <v>125</v>
      </c>
      <c r="HI12" s="130" t="s">
        <v>126</v>
      </c>
      <c r="HJ12" s="130" t="s">
        <v>128</v>
      </c>
      <c r="HK12" s="130" t="str">
        <f t="shared" ref="HK12:HK29" si="3">HI12&amp;" - "&amp;HJ12</f>
        <v>Zodiac - Element</v>
      </c>
    </row>
    <row r="13" spans="1:219">
      <c r="A13" s="688" t="s">
        <v>10</v>
      </c>
      <c r="B13" s="689"/>
      <c r="C13" s="20"/>
      <c r="D13" s="20"/>
      <c r="E13" s="20"/>
      <c r="F13" s="20"/>
      <c r="G13" s="20"/>
      <c r="H13" s="20"/>
      <c r="I13" s="20"/>
      <c r="J13" s="20"/>
      <c r="K13" s="20"/>
      <c r="L13" s="20"/>
      <c r="M13" s="20"/>
      <c r="N13" s="20"/>
      <c r="O13" s="20"/>
      <c r="P13" s="20"/>
      <c r="Q13" s="20"/>
      <c r="R13" s="20"/>
      <c r="S13" s="20"/>
      <c r="T13" s="20"/>
      <c r="U13" s="249"/>
      <c r="V13" s="249"/>
      <c r="W13" s="21"/>
      <c r="X13" s="22"/>
      <c r="Y13" s="107" t="s">
        <v>11</v>
      </c>
      <c r="Z13" s="108"/>
      <c r="AA13" s="108"/>
      <c r="AB13" s="105" t="s">
        <v>12</v>
      </c>
      <c r="AC13" s="246" t="s">
        <v>13</v>
      </c>
      <c r="AD13" s="47"/>
      <c r="AE13" s="21"/>
      <c r="AF13" s="21"/>
      <c r="AG13" s="21"/>
      <c r="AI13" s="21">
        <f t="shared" ca="1" si="2"/>
        <v>8</v>
      </c>
      <c r="AJ13" s="21"/>
      <c r="AK13" s="21"/>
      <c r="AL13" s="21"/>
      <c r="AM13" s="14"/>
      <c r="AQ13" s="14"/>
      <c r="AS13" s="19"/>
      <c r="AT13" s="19"/>
      <c r="AU13" s="19"/>
      <c r="AV13" s="19"/>
      <c r="AW13" s="19"/>
      <c r="AX13" s="19"/>
      <c r="AY13" s="19"/>
      <c r="AZ13" s="19"/>
      <c r="BA13" s="14"/>
      <c r="BB13" s="14"/>
      <c r="BC13" s="14"/>
      <c r="BD13" s="14"/>
      <c r="BE13" s="19"/>
      <c r="BF13" s="19"/>
      <c r="BG13" s="19"/>
      <c r="BH13" s="19"/>
      <c r="BI13" s="19"/>
      <c r="BJ13" s="19"/>
      <c r="BK13" s="19"/>
      <c r="BL13" s="19"/>
      <c r="BM13" s="19"/>
      <c r="BN13" s="19"/>
      <c r="BO13" s="19"/>
      <c r="BP13" s="19"/>
      <c r="BQ13" s="19"/>
      <c r="BR13" s="19"/>
      <c r="BS13" s="19"/>
      <c r="BT13" s="19"/>
      <c r="BU13" s="19"/>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7">
        <v>5</v>
      </c>
      <c r="GC13" s="46" t="s">
        <v>20</v>
      </c>
      <c r="GD13" s="15"/>
      <c r="GE13" s="15"/>
      <c r="GG13" s="17"/>
      <c r="GH13" s="17">
        <v>1</v>
      </c>
      <c r="GI13" s="17">
        <v>2</v>
      </c>
      <c r="GJ13" s="17">
        <v>3</v>
      </c>
      <c r="GK13" s="17">
        <v>4</v>
      </c>
      <c r="GL13" s="17">
        <v>5</v>
      </c>
      <c r="GM13" s="17">
        <v>6</v>
      </c>
      <c r="GN13" s="17">
        <v>7</v>
      </c>
      <c r="GO13" s="17">
        <v>8</v>
      </c>
      <c r="GP13" s="17">
        <v>9</v>
      </c>
      <c r="GR13" s="17" t="s">
        <v>14</v>
      </c>
      <c r="GS13" s="17">
        <v>1</v>
      </c>
      <c r="GU13" s="248" t="s">
        <v>15</v>
      </c>
      <c r="GV13" s="18" t="s">
        <v>16</v>
      </c>
      <c r="GX13" s="17"/>
      <c r="GY13" s="17"/>
      <c r="GZ13" s="28">
        <v>1</v>
      </c>
      <c r="HA13" s="28">
        <v>5</v>
      </c>
      <c r="HB13" s="28">
        <v>1</v>
      </c>
      <c r="HC13" s="28">
        <v>7</v>
      </c>
      <c r="HD13" s="28">
        <v>6</v>
      </c>
      <c r="HG13" s="29">
        <v>43831</v>
      </c>
      <c r="HH13" s="30" t="str">
        <f>TEXT(HG13,"DD-MMM")</f>
        <v>01-Jan</v>
      </c>
      <c r="HI13" s="30" t="s">
        <v>113</v>
      </c>
      <c r="HJ13" s="16" t="s">
        <v>130</v>
      </c>
      <c r="HK13" s="16" t="str">
        <f t="shared" si="3"/>
        <v>Capricorn - Earth</v>
      </c>
    </row>
    <row r="14" spans="1:219">
      <c r="A14" s="31" t="s">
        <v>17</v>
      </c>
      <c r="B14" s="32" t="s">
        <v>205</v>
      </c>
      <c r="C14" s="33" t="str">
        <f>MID($B14,COLUMNS($B$13:B$13),1)</f>
        <v>M</v>
      </c>
      <c r="D14" s="33" t="str">
        <f>MID($B14,COLUMNS($B$13:C$13),1)</f>
        <v>a</v>
      </c>
      <c r="E14" s="33" t="str">
        <f>MID($B14,COLUMNS($B$13:D$13),1)</f>
        <v>n</v>
      </c>
      <c r="F14" s="33" t="str">
        <f>MID($B14,COLUMNS($B$13:E$13),1)</f>
        <v>n</v>
      </c>
      <c r="G14" s="33" t="str">
        <f>MID($B14,COLUMNS($B$13:F$13),1)</f>
        <v>o</v>
      </c>
      <c r="H14" s="33" t="str">
        <f>MID($B14,COLUMNS($B$13:G$13),1)</f>
        <v>o</v>
      </c>
      <c r="I14" s="33" t="str">
        <f>MID($B14,COLUMNS($B$13:H$13),1)</f>
        <v>j</v>
      </c>
      <c r="J14" s="33" t="str">
        <f>MID($B14,COLUMNS($B$13:I$13),1)</f>
        <v/>
      </c>
      <c r="K14" s="33" t="str">
        <f>MID($B14,COLUMNS($B$13:J$13),1)</f>
        <v/>
      </c>
      <c r="L14" s="33" t="str">
        <f>MID($B14,COLUMNS($B$13:K$13),1)</f>
        <v/>
      </c>
      <c r="M14" s="33" t="str">
        <f>MID($B14,COLUMNS($B$13:L$13),1)</f>
        <v/>
      </c>
      <c r="N14" s="33" t="str">
        <f>MID($B14,COLUMNS($B$13:M$13),1)</f>
        <v/>
      </c>
      <c r="O14" s="33" t="str">
        <f>MID($B14,COLUMNS($B$13:N$13),1)</f>
        <v/>
      </c>
      <c r="P14" s="33" t="str">
        <f>MID($B14,COLUMNS($B$13:O$13),1)</f>
        <v/>
      </c>
      <c r="Q14" s="33" t="str">
        <f>MID($B14,COLUMNS($B$13:P$13),1)</f>
        <v/>
      </c>
      <c r="R14" s="33" t="str">
        <f>MID($B14,COLUMNS($B$13:Q$13),1)</f>
        <v/>
      </c>
      <c r="S14" s="33" t="str">
        <f>MID($B14,COLUMNS($B$13:R$13),1)</f>
        <v/>
      </c>
      <c r="T14" s="33" t="str">
        <f>MID($B14,COLUMNS($B$13:S$13),1)</f>
        <v/>
      </c>
      <c r="U14" s="148"/>
      <c r="V14" s="148"/>
      <c r="W14" s="21"/>
      <c r="X14" s="22"/>
      <c r="Y14" s="110" t="s">
        <v>18</v>
      </c>
      <c r="Z14" s="249">
        <f>C$5</f>
        <v>7</v>
      </c>
      <c r="AA14" s="247">
        <f>C6</f>
        <v>7</v>
      </c>
      <c r="AB14" s="41">
        <f ca="1">IF(D10&lt;=35,"Active",0)</f>
        <v>0</v>
      </c>
      <c r="AC14" s="246" t="str">
        <f ca="1">IF(D10&gt;35,"Active",0)</f>
        <v>Active</v>
      </c>
      <c r="AD14" s="36"/>
      <c r="AE14" s="21"/>
      <c r="AF14" s="21"/>
      <c r="AG14" s="21"/>
      <c r="AI14" s="21">
        <f t="shared" si="2"/>
        <v>3</v>
      </c>
      <c r="AJ14" s="21"/>
      <c r="AK14" s="21"/>
      <c r="AL14" s="21"/>
      <c r="AM14" s="14"/>
      <c r="AQ14" s="14"/>
      <c r="AS14" s="19"/>
      <c r="AT14" s="19"/>
      <c r="AU14" s="19"/>
      <c r="AV14" s="19"/>
      <c r="AW14" s="19"/>
      <c r="AX14" s="19"/>
      <c r="AY14" s="19"/>
      <c r="AZ14" s="19"/>
      <c r="BA14" s="14"/>
      <c r="BB14" s="14"/>
      <c r="BC14" s="14"/>
      <c r="BD14" s="14"/>
      <c r="BE14" s="19"/>
      <c r="BF14" s="19"/>
      <c r="BG14" s="19"/>
      <c r="BH14" s="19"/>
      <c r="BI14" s="19"/>
      <c r="BJ14" s="19"/>
      <c r="BK14" s="19"/>
      <c r="BL14" s="19"/>
      <c r="BM14" s="19"/>
      <c r="BN14" s="19"/>
      <c r="BO14" s="19"/>
      <c r="BP14" s="19"/>
      <c r="BQ14" s="19"/>
      <c r="BR14" s="19"/>
      <c r="BS14" s="19"/>
      <c r="BT14" s="19"/>
      <c r="BU14" s="19"/>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7">
        <v>6</v>
      </c>
      <c r="GC14" s="46" t="s">
        <v>20</v>
      </c>
      <c r="GD14" s="15"/>
      <c r="GE14" s="15"/>
      <c r="GG14" s="17">
        <v>1</v>
      </c>
      <c r="GH14" s="17" t="s">
        <v>19</v>
      </c>
      <c r="GI14" s="17" t="s">
        <v>20</v>
      </c>
      <c r="GJ14" s="17" t="s">
        <v>20</v>
      </c>
      <c r="GK14" s="17" t="s">
        <v>21</v>
      </c>
      <c r="GL14" s="17" t="s">
        <v>20</v>
      </c>
      <c r="GM14" s="17" t="s">
        <v>21</v>
      </c>
      <c r="GN14" s="17" t="s">
        <v>20</v>
      </c>
      <c r="GO14" s="17" t="s">
        <v>21</v>
      </c>
      <c r="GP14" s="17" t="s">
        <v>14</v>
      </c>
      <c r="GR14" s="17" t="s">
        <v>22</v>
      </c>
      <c r="GS14" s="17">
        <v>2</v>
      </c>
      <c r="GU14" s="17">
        <v>1</v>
      </c>
      <c r="GV14" s="28" t="s">
        <v>23</v>
      </c>
      <c r="GX14" s="17"/>
      <c r="GY14" s="17"/>
      <c r="GZ14" s="28"/>
      <c r="HA14" s="28"/>
      <c r="HB14" s="28"/>
      <c r="HC14" s="28"/>
      <c r="HD14" s="28"/>
      <c r="HG14" s="29">
        <v>43832</v>
      </c>
      <c r="HH14" s="30" t="str">
        <f t="shared" ref="HH14:HH29" si="4">TEXT(HG14,"DD-MMM")</f>
        <v>02-Jan</v>
      </c>
      <c r="HI14" s="30" t="s">
        <v>113</v>
      </c>
      <c r="HJ14" s="16" t="s">
        <v>130</v>
      </c>
      <c r="HK14" s="16" t="str">
        <f t="shared" si="3"/>
        <v>Capricorn - Earth</v>
      </c>
    </row>
    <row r="15" spans="1:219">
      <c r="A15" s="31"/>
      <c r="B15" s="21"/>
      <c r="C15" s="148">
        <f>IFERROR(VLOOKUP(C14,GR:GS,2,0),0)</f>
        <v>4</v>
      </c>
      <c r="D15" s="148">
        <f>IFERROR(VLOOKUP(D14,GR:GS,2,0),0)</f>
        <v>1</v>
      </c>
      <c r="E15" s="148">
        <f>IFERROR(VLOOKUP(E14,GR:GS,2,0),0)</f>
        <v>5</v>
      </c>
      <c r="F15" s="148">
        <f>IFERROR(VLOOKUP(F14,GR:GS,2,0),0)</f>
        <v>5</v>
      </c>
      <c r="G15" s="148">
        <f>IFERROR(VLOOKUP(G14,GR:GS,2,0),0)</f>
        <v>7</v>
      </c>
      <c r="H15" s="148">
        <f>IFERROR(VLOOKUP(H14,GR:GS,2,0),0)</f>
        <v>7</v>
      </c>
      <c r="I15" s="148">
        <f>IFERROR(VLOOKUP(I14,GR:GS,2,0),0)</f>
        <v>1</v>
      </c>
      <c r="J15" s="148">
        <f>IFERROR(VLOOKUP(J14,GR:GS,2,0),0)</f>
        <v>0</v>
      </c>
      <c r="K15" s="148">
        <f>IFERROR(VLOOKUP(K14,GR:GS,2,0),0)</f>
        <v>0</v>
      </c>
      <c r="L15" s="148">
        <f>IFERROR(VLOOKUP(L14,GR:GS,2,0),0)</f>
        <v>0</v>
      </c>
      <c r="M15" s="148">
        <f>IFERROR(VLOOKUP(M14,GR:GS,2,0),0)</f>
        <v>0</v>
      </c>
      <c r="N15" s="148">
        <f>IFERROR(VLOOKUP(N14,GR:GS,2,0),0)</f>
        <v>0</v>
      </c>
      <c r="O15" s="148">
        <f>IFERROR(VLOOKUP(O14,GR:GS,2,0),0)</f>
        <v>0</v>
      </c>
      <c r="P15" s="148">
        <f>IFERROR(VLOOKUP(P14,GR:GS,2,0),0)</f>
        <v>0</v>
      </c>
      <c r="Q15" s="148">
        <f>IFERROR(VLOOKUP(Q14,GR:GS,2,0),0)</f>
        <v>0</v>
      </c>
      <c r="R15" s="148">
        <f>IFERROR(VLOOKUP(R14,GR:GS,2,0),0)</f>
        <v>0</v>
      </c>
      <c r="S15" s="148">
        <f>IFERROR(VLOOKUP(S14,GR:GS,2,0),0)</f>
        <v>0</v>
      </c>
      <c r="T15" s="148">
        <f>IFERROR(VLOOKUP(T14,GR:GS,2,0),0)</f>
        <v>0</v>
      </c>
      <c r="U15" s="33">
        <f>SUM(C15:T15)</f>
        <v>30</v>
      </c>
      <c r="V15" s="37">
        <f>IF(U15&lt;10,U15,((LEFT(U15,1))+(RIGHT(U15,1))))</f>
        <v>3</v>
      </c>
      <c r="W15" s="38" t="s">
        <v>24</v>
      </c>
      <c r="X15" s="22" t="str">
        <f>IF(U15&gt;52,VLOOKUP(V15,GU:GV,2,0),VLOOKUP(U15,GU:GV,2,0))</f>
        <v>*</v>
      </c>
      <c r="Y15" s="110" t="s">
        <v>25</v>
      </c>
      <c r="Z15" s="249">
        <f ca="1">I$5+F$5+C$5</f>
        <v>17</v>
      </c>
      <c r="AA15" s="247">
        <f ca="1">C7</f>
        <v>8</v>
      </c>
      <c r="AB15" s="41"/>
      <c r="AC15" s="249"/>
      <c r="AD15" s="36"/>
      <c r="AE15" s="21"/>
      <c r="AF15" s="21"/>
      <c r="AG15" s="21"/>
      <c r="AI15" s="21">
        <f t="shared" si="2"/>
        <v>5</v>
      </c>
      <c r="AJ15" s="21"/>
      <c r="AK15" s="21"/>
      <c r="AL15" s="21"/>
      <c r="AM15" s="14"/>
      <c r="AQ15" s="14"/>
      <c r="AS15" s="19"/>
      <c r="AT15" s="19"/>
      <c r="AU15" s="19"/>
      <c r="AV15" s="19"/>
      <c r="AW15" s="19"/>
      <c r="AX15" s="19"/>
      <c r="AY15" s="19"/>
      <c r="AZ15" s="19"/>
      <c r="BA15" s="14"/>
      <c r="BB15" s="14"/>
      <c r="BC15" s="14"/>
      <c r="BD15" s="14"/>
      <c r="BE15" s="19"/>
      <c r="BF15" s="19"/>
      <c r="BG15" s="19"/>
      <c r="BH15" s="19"/>
      <c r="BI15" s="19"/>
      <c r="BJ15" s="19"/>
      <c r="BK15" s="19"/>
      <c r="BL15" s="19"/>
      <c r="BM15" s="19"/>
      <c r="BN15" s="19"/>
      <c r="BO15" s="19"/>
      <c r="BP15" s="19"/>
      <c r="BQ15" s="19"/>
      <c r="BR15" s="19"/>
      <c r="BS15" s="19"/>
      <c r="BT15" s="19"/>
      <c r="BU15" s="19"/>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7">
        <v>10</v>
      </c>
      <c r="GC15" s="46" t="s">
        <v>20</v>
      </c>
      <c r="GD15" s="15"/>
      <c r="GE15" s="15"/>
      <c r="GG15" s="17">
        <v>2</v>
      </c>
      <c r="GH15" s="17" t="s">
        <v>20</v>
      </c>
      <c r="GI15" s="17" t="s">
        <v>19</v>
      </c>
      <c r="GJ15" s="17" t="s">
        <v>20</v>
      </c>
      <c r="GK15" s="17" t="s">
        <v>20</v>
      </c>
      <c r="GL15" s="17" t="s">
        <v>21</v>
      </c>
      <c r="GM15" s="17" t="s">
        <v>20</v>
      </c>
      <c r="GN15" s="17" t="s">
        <v>26</v>
      </c>
      <c r="GO15" s="17" t="s">
        <v>14</v>
      </c>
      <c r="GP15" s="17" t="s">
        <v>14</v>
      </c>
      <c r="GR15" s="17" t="s">
        <v>27</v>
      </c>
      <c r="GS15" s="17">
        <v>3</v>
      </c>
      <c r="GU15" s="17">
        <v>2</v>
      </c>
      <c r="GV15" s="28" t="s">
        <v>23</v>
      </c>
      <c r="GX15" s="17" t="s">
        <v>28</v>
      </c>
      <c r="GY15" s="17">
        <f>(GZ15*GZ16)+(HA15*HA16)+(HB15*HB16)+(HC15*HC16)+(HD15*HD16)</f>
        <v>15</v>
      </c>
      <c r="GZ15" s="39">
        <f>IFERROR((HLOOKUP(GZ12,C14:T15,2,0)),0)</f>
        <v>1</v>
      </c>
      <c r="HA15" s="39">
        <f>IFERROR((HLOOKUP(HA12,C14:T15,2,0)),0)</f>
        <v>0</v>
      </c>
      <c r="HB15" s="39">
        <f>IFERROR((HLOOKUP(HB12,C14:T15,2,0)),0)</f>
        <v>0</v>
      </c>
      <c r="HC15" s="39">
        <f>IFERROR((HLOOKUP(HC12,C14:T15,2,0)),0)</f>
        <v>7</v>
      </c>
      <c r="HD15" s="39">
        <f>IFERROR((HLOOKUP(HD12,C14:T15,2,0)),0)</f>
        <v>0</v>
      </c>
      <c r="HG15" s="29">
        <v>43833</v>
      </c>
      <c r="HH15" s="30" t="str">
        <f t="shared" si="4"/>
        <v>03-Jan</v>
      </c>
      <c r="HI15" s="30" t="s">
        <v>113</v>
      </c>
      <c r="HJ15" s="16" t="s">
        <v>130</v>
      </c>
      <c r="HK15" s="16" t="str">
        <f t="shared" si="3"/>
        <v>Capricorn - Earth</v>
      </c>
    </row>
    <row r="16" spans="1:219">
      <c r="A16" s="31" t="s">
        <v>30</v>
      </c>
      <c r="B16" s="32"/>
      <c r="C16" s="33" t="str">
        <f>MID($B16,COLUMNS($B$15:B$15),1)</f>
        <v/>
      </c>
      <c r="D16" s="33" t="str">
        <f>MID($B16,COLUMNS($B$15:C$15),1)</f>
        <v/>
      </c>
      <c r="E16" s="33" t="str">
        <f>MID($B16,COLUMNS($B$15:D$15),1)</f>
        <v/>
      </c>
      <c r="F16" s="33" t="str">
        <f>MID($B16,COLUMNS($B$15:E$15),1)</f>
        <v/>
      </c>
      <c r="G16" s="33" t="str">
        <f>MID($B16,COLUMNS($B$15:F$15),1)</f>
        <v/>
      </c>
      <c r="H16" s="33" t="str">
        <f>MID($B16,COLUMNS($B$15:G$15),1)</f>
        <v/>
      </c>
      <c r="I16" s="33" t="str">
        <f>MID($B16,COLUMNS($B$15:H$15),1)</f>
        <v/>
      </c>
      <c r="J16" s="33" t="str">
        <f>MID($B16,COLUMNS($B$15:I$15),1)</f>
        <v/>
      </c>
      <c r="K16" s="33" t="str">
        <f>MID($B16,COLUMNS($B$15:J$15),1)</f>
        <v/>
      </c>
      <c r="L16" s="33" t="str">
        <f>MID($B16,COLUMNS($B$15:K$15),1)</f>
        <v/>
      </c>
      <c r="M16" s="33" t="str">
        <f>MID($B16,COLUMNS($B$15:L$15),1)</f>
        <v/>
      </c>
      <c r="N16" s="33" t="str">
        <f>MID($B16,COLUMNS($B$15:M$15),1)</f>
        <v/>
      </c>
      <c r="O16" s="33" t="str">
        <f>MID($B16,COLUMNS($B$15:N$15),1)</f>
        <v/>
      </c>
      <c r="P16" s="33" t="str">
        <f>MID($B16,COLUMNS($B$15:O$15),1)</f>
        <v/>
      </c>
      <c r="Q16" s="33" t="str">
        <f>MID($B16,COLUMNS($B$15:P$15),1)</f>
        <v/>
      </c>
      <c r="R16" s="33" t="str">
        <f>MID($B16,COLUMNS($B$15:Q$15),1)</f>
        <v/>
      </c>
      <c r="S16" s="33" t="str">
        <f>MID($B16,COLUMNS($B$15:R$15),1)</f>
        <v/>
      </c>
      <c r="T16" s="33" t="str">
        <f>MID($B16,COLUMNS($B$15:S$15),1)</f>
        <v/>
      </c>
      <c r="U16" s="148"/>
      <c r="V16" s="148"/>
      <c r="W16" s="21"/>
      <c r="X16" s="22"/>
      <c r="Y16" s="110" t="s">
        <v>24</v>
      </c>
      <c r="Z16" s="249">
        <f>U15</f>
        <v>30</v>
      </c>
      <c r="AA16" s="247">
        <f>MOD(Z16-1,9)+1</f>
        <v>3</v>
      </c>
      <c r="AB16" s="76" t="str">
        <f>INDEX(GH$14:GP$22,MATCH(IF(LEN(AA$14)&gt;1,LEFT(AA$14,1)+RIGHT(AA$14,1),AA$14),GG$14:GG$22,0),MATCH(IF(LEN(AA16)&gt;1,LEFT(AA16,1)+RIGHT(AA16,1),AA16),GH$13:GP$13,0))</f>
        <v>G</v>
      </c>
      <c r="AC16" s="148" t="str">
        <f ca="1">INDEX(GH$14:GP$22,MATCH(IF(LEN(AA$15)&gt;1,LEFT(AA$15,1)+RIGHT(AA$15,1),AA$15),GG$14:GG$22,0),MATCH(IF(LEN(AA16)&gt;1,LEFT(AA16,1)+RIGHT(AA16,1),AA16),GH$13:GP$13,0))</f>
        <v>G</v>
      </c>
      <c r="AD16" s="106"/>
      <c r="AE16" s="21"/>
      <c r="AF16" s="21"/>
      <c r="AG16" s="21"/>
      <c r="AI16" s="21">
        <f t="shared" si="2"/>
        <v>6</v>
      </c>
      <c r="AJ16" s="21"/>
      <c r="AK16" s="21"/>
      <c r="AL16" s="21"/>
      <c r="AM16" s="14"/>
      <c r="AQ16" s="14"/>
      <c r="AS16" s="19"/>
      <c r="AT16" s="19"/>
      <c r="AU16" s="19"/>
      <c r="AV16" s="19"/>
      <c r="AW16" s="19"/>
      <c r="AX16" s="19"/>
      <c r="AY16" s="19"/>
      <c r="AZ16" s="19"/>
      <c r="BA16" s="14"/>
      <c r="BB16" s="14"/>
      <c r="BC16" s="14"/>
      <c r="BD16" s="14"/>
      <c r="BE16" s="19"/>
      <c r="BF16" s="19"/>
      <c r="BO16" s="19"/>
      <c r="BP16" s="19"/>
      <c r="BQ16" s="19"/>
      <c r="BR16" s="19"/>
      <c r="BS16" s="19"/>
      <c r="BT16" s="19"/>
      <c r="BU16" s="19"/>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7">
        <v>12</v>
      </c>
      <c r="GC16" s="46" t="s">
        <v>20</v>
      </c>
      <c r="GD16" s="15"/>
      <c r="GE16" s="15"/>
      <c r="GG16" s="17">
        <v>3</v>
      </c>
      <c r="GH16" s="17" t="s">
        <v>20</v>
      </c>
      <c r="GI16" s="17" t="s">
        <v>20</v>
      </c>
      <c r="GJ16" s="17" t="s">
        <v>19</v>
      </c>
      <c r="GK16" s="17" t="s">
        <v>14</v>
      </c>
      <c r="GL16" s="17" t="s">
        <v>20</v>
      </c>
      <c r="GM16" s="17" t="s">
        <v>14</v>
      </c>
      <c r="GN16" s="17" t="s">
        <v>20</v>
      </c>
      <c r="GO16" s="17" t="s">
        <v>20</v>
      </c>
      <c r="GP16" s="17" t="s">
        <v>20</v>
      </c>
      <c r="GR16" s="17" t="s">
        <v>29</v>
      </c>
      <c r="GS16" s="17">
        <v>4</v>
      </c>
      <c r="GU16" s="17">
        <v>3</v>
      </c>
      <c r="GV16" s="28" t="s">
        <v>23</v>
      </c>
      <c r="GX16" s="17"/>
      <c r="GY16" s="17"/>
      <c r="GZ16" s="28">
        <f>COUNTIFS(C14:T14,GZ12)</f>
        <v>1</v>
      </c>
      <c r="HA16" s="28">
        <f>COUNTIFS(C14:T14,HA12)</f>
        <v>0</v>
      </c>
      <c r="HB16" s="28">
        <f>COUNTIFS(C14:T14,HB12)</f>
        <v>0</v>
      </c>
      <c r="HC16" s="28">
        <f>COUNTIFS(C14:T14,HC12)</f>
        <v>2</v>
      </c>
      <c r="HD16" s="28">
        <f>COUNTIFS(C14:T14,HD12)</f>
        <v>0</v>
      </c>
      <c r="HG16" s="29">
        <v>43834</v>
      </c>
      <c r="HH16" s="30" t="str">
        <f t="shared" si="4"/>
        <v>04-Jan</v>
      </c>
      <c r="HI16" s="30" t="s">
        <v>113</v>
      </c>
      <c r="HJ16" s="16" t="s">
        <v>130</v>
      </c>
      <c r="HK16" s="16" t="str">
        <f t="shared" si="3"/>
        <v>Capricorn - Earth</v>
      </c>
    </row>
    <row r="17" spans="1:219">
      <c r="A17" s="31"/>
      <c r="B17" s="21"/>
      <c r="C17" s="148">
        <f>IFERROR(VLOOKUP(C16,GR:GS,2,0),0)</f>
        <v>0</v>
      </c>
      <c r="D17" s="148">
        <f>IFERROR(VLOOKUP(D16,GR:GS,2,0),0)</f>
        <v>0</v>
      </c>
      <c r="E17" s="148">
        <f>IFERROR(VLOOKUP(E16,GR:GS,2,0),0)</f>
        <v>0</v>
      </c>
      <c r="F17" s="148">
        <f>IFERROR(VLOOKUP(F16,GR:GS,2,0),0)</f>
        <v>0</v>
      </c>
      <c r="G17" s="148">
        <f>IFERROR(VLOOKUP(G16,GR:GS,2,0),0)</f>
        <v>0</v>
      </c>
      <c r="H17" s="148">
        <f>IFERROR(VLOOKUP(H16,GR:GS,2,0),0)</f>
        <v>0</v>
      </c>
      <c r="I17" s="148">
        <f>IFERROR(VLOOKUP(I16,GR:GS,2,0),0)</f>
        <v>0</v>
      </c>
      <c r="J17" s="148">
        <f>IFERROR(VLOOKUP(J16,GR:GS,2,0),0)</f>
        <v>0</v>
      </c>
      <c r="K17" s="148">
        <f>IFERROR(VLOOKUP(K16,GR:GS,2,0),0)</f>
        <v>0</v>
      </c>
      <c r="L17" s="148">
        <f>IFERROR(VLOOKUP(L16,GR:GS,2,0),0)</f>
        <v>0</v>
      </c>
      <c r="M17" s="148">
        <f>IFERROR(VLOOKUP(M16,GR:GS,2,0),0)</f>
        <v>0</v>
      </c>
      <c r="N17" s="148">
        <f>IFERROR(VLOOKUP(N16,GR:GS,2,0),0)</f>
        <v>0</v>
      </c>
      <c r="O17" s="148">
        <f>IFERROR(VLOOKUP(O16,GR:GS,2,0),0)</f>
        <v>0</v>
      </c>
      <c r="P17" s="148">
        <f>IFERROR(VLOOKUP(P16,GR:GS,2,0),0)</f>
        <v>0</v>
      </c>
      <c r="Q17" s="148">
        <f>IFERROR(VLOOKUP(Q16,GR:GS,2,0),0)</f>
        <v>0</v>
      </c>
      <c r="R17" s="148">
        <f>IFERROR(VLOOKUP(R16,GR:GS,2,0),0)</f>
        <v>0</v>
      </c>
      <c r="S17" s="148">
        <f>IFERROR(VLOOKUP(S16,GR:GS,2,0),0)</f>
        <v>0</v>
      </c>
      <c r="T17" s="148">
        <f>IFERROR(VLOOKUP(T16,GR:GS,2,0),0)</f>
        <v>0</v>
      </c>
      <c r="U17" s="33">
        <f>SUM(C17:T17)</f>
        <v>0</v>
      </c>
      <c r="V17" s="37">
        <f>IF(U17&lt;10,U17,((LEFT(U17,1))+(RIGHT(U17,1))))</f>
        <v>0</v>
      </c>
      <c r="W17" s="21"/>
      <c r="X17" s="22"/>
      <c r="Y17" s="112" t="s">
        <v>31</v>
      </c>
      <c r="Z17" s="148">
        <f>U20</f>
        <v>50</v>
      </c>
      <c r="AA17" s="247">
        <f>MOD(Z17-1,9)+1</f>
        <v>5</v>
      </c>
      <c r="AB17" s="76" t="str">
        <f>INDEX(GH$14:GP$22,MATCH(IF(LEN(AA$14)&gt;1,LEFT(AA$14,1)+RIGHT(AA$14,1),AA$14),GG$14:GG$22,0),MATCH(IF(LEN(AA17)&gt;1,LEFT(AA17,1)+RIGHT(AA17,1),AA17),GH$13:GP$13,0))</f>
        <v>G</v>
      </c>
      <c r="AC17" s="148" t="str">
        <f ca="1">INDEX(GH$14:GP$22,MATCH(IF(LEN(AA$15)&gt;1,LEFT(AA$15,1)+RIGHT(AA$15,1),AA$15),GG$14:GG$22,0),MATCH(IF(LEN(AA17)&gt;1,LEFT(AA17,1)+RIGHT(AA17,1),AA17),GH$13:GP$13,0))</f>
        <v>VG</v>
      </c>
      <c r="AD17" s="106"/>
      <c r="AE17" s="21"/>
      <c r="AF17" s="21"/>
      <c r="AG17" s="21"/>
      <c r="AI17" s="21">
        <f t="shared" si="2"/>
        <v>8</v>
      </c>
      <c r="AJ17" s="21"/>
      <c r="AK17" s="21"/>
      <c r="AL17" s="21"/>
      <c r="AM17" s="14"/>
      <c r="AQ17" s="14"/>
      <c r="AS17" s="19"/>
      <c r="AT17" s="19"/>
      <c r="AU17" s="19"/>
      <c r="AV17" s="19"/>
      <c r="AW17" s="19"/>
      <c r="AX17" s="19"/>
      <c r="AY17" s="19"/>
      <c r="AZ17" s="19"/>
      <c r="BA17" s="14"/>
      <c r="BB17" s="14"/>
      <c r="BC17" s="14"/>
      <c r="BD17" s="14"/>
      <c r="BE17" s="19"/>
      <c r="BF17" s="19"/>
      <c r="BO17" s="19"/>
      <c r="BP17" s="19"/>
      <c r="BQ17" s="19"/>
      <c r="BR17" s="19"/>
      <c r="BS17" s="19"/>
      <c r="BT17" s="19"/>
      <c r="BU17" s="19"/>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7">
        <v>13</v>
      </c>
      <c r="GC17" s="46" t="s">
        <v>20</v>
      </c>
      <c r="GD17" s="15"/>
      <c r="GE17" s="15"/>
      <c r="GG17" s="17">
        <v>4</v>
      </c>
      <c r="GH17" s="17" t="s">
        <v>21</v>
      </c>
      <c r="GI17" s="17" t="s">
        <v>20</v>
      </c>
      <c r="GJ17" s="17" t="s">
        <v>14</v>
      </c>
      <c r="GK17" s="17" t="s">
        <v>19</v>
      </c>
      <c r="GL17" s="17" t="s">
        <v>20</v>
      </c>
      <c r="GM17" s="17" t="s">
        <v>20</v>
      </c>
      <c r="GN17" s="17" t="s">
        <v>20</v>
      </c>
      <c r="GO17" s="17" t="s">
        <v>14</v>
      </c>
      <c r="GP17" s="17" t="s">
        <v>96</v>
      </c>
      <c r="GR17" s="17" t="s">
        <v>19</v>
      </c>
      <c r="GS17" s="17">
        <v>5</v>
      </c>
      <c r="GU17" s="17">
        <v>4</v>
      </c>
      <c r="GV17" s="28" t="s">
        <v>23</v>
      </c>
      <c r="GX17" s="17"/>
      <c r="GY17" s="17"/>
      <c r="GZ17" s="28"/>
      <c r="HA17" s="28"/>
      <c r="HB17" s="28"/>
      <c r="HC17" s="28"/>
      <c r="HD17" s="28"/>
      <c r="HG17" s="29">
        <v>43835</v>
      </c>
      <c r="HH17" s="30" t="str">
        <f t="shared" si="4"/>
        <v>05-Jan</v>
      </c>
      <c r="HI17" s="30" t="s">
        <v>113</v>
      </c>
      <c r="HJ17" s="16" t="s">
        <v>130</v>
      </c>
      <c r="HK17" s="16" t="str">
        <f t="shared" si="3"/>
        <v>Capricorn - Earth</v>
      </c>
    </row>
    <row r="18" spans="1:219" ht="15" thickBot="1">
      <c r="A18" s="31" t="s">
        <v>37</v>
      </c>
      <c r="B18" s="32" t="s">
        <v>188</v>
      </c>
      <c r="C18" s="33" t="str">
        <f>MID($B18,COLUMNS($B$15:B$15),1)</f>
        <v>K</v>
      </c>
      <c r="D18" s="33" t="str">
        <f>MID($B18,COLUMNS($B$15:C$15),1)</f>
        <v>a</v>
      </c>
      <c r="E18" s="33" t="str">
        <f>MID($B18,COLUMNS($B$15:D$15),1)</f>
        <v>s</v>
      </c>
      <c r="F18" s="33" t="str">
        <f>MID($B18,COLUMNS($B$15:E$15),1)</f>
        <v>t</v>
      </c>
      <c r="G18" s="33" t="str">
        <f>MID($B18,COLUMNS($B$15:F$15),1)</f>
        <v>u</v>
      </c>
      <c r="H18" s="33" t="str">
        <f>MID($B18,COLUMNS($B$15:G$15),1)</f>
        <v>r</v>
      </c>
      <c r="I18" s="33" t="str">
        <f>MID($B18,COLUMNS($B$15:H$15),1)</f>
        <v>i</v>
      </c>
      <c r="J18" s="33" t="str">
        <f>MID($B18,COLUMNS($B$15:I$15),1)</f>
        <v>a</v>
      </c>
      <c r="K18" s="33" t="str">
        <f>MID($B18,COLUMNS($B$15:J$15),1)</f>
        <v/>
      </c>
      <c r="L18" s="33" t="str">
        <f>MID($B18,COLUMNS($B$15:K$15),1)</f>
        <v/>
      </c>
      <c r="M18" s="33" t="str">
        <f>MID($B18,COLUMNS($B$15:L$15),1)</f>
        <v/>
      </c>
      <c r="N18" s="33" t="str">
        <f>MID($B18,COLUMNS($B$15:M$15),1)</f>
        <v/>
      </c>
      <c r="O18" s="33" t="str">
        <f>MID($B18,COLUMNS($B$15:N$15),1)</f>
        <v/>
      </c>
      <c r="P18" s="33" t="str">
        <f>MID($B18,COLUMNS($B$15:O$15),1)</f>
        <v/>
      </c>
      <c r="Q18" s="33" t="str">
        <f>MID($B18,COLUMNS($B$15:P$15),1)</f>
        <v/>
      </c>
      <c r="R18" s="33" t="str">
        <f>MID($B18,COLUMNS($B$15:Q$15),1)</f>
        <v/>
      </c>
      <c r="S18" s="33" t="str">
        <f>MID($B18,COLUMNS($B$15:R$15),1)</f>
        <v/>
      </c>
      <c r="T18" s="33" t="str">
        <f>MID($B18,COLUMNS($B$15:S$15),1)</f>
        <v/>
      </c>
      <c r="U18" s="148"/>
      <c r="V18" s="148"/>
      <c r="W18" s="21"/>
      <c r="X18" s="22"/>
      <c r="Y18" s="112" t="s">
        <v>32</v>
      </c>
      <c r="Z18" s="148">
        <f>GY15+GY21+GY18</f>
        <v>24</v>
      </c>
      <c r="AA18" s="247">
        <f>MOD(Z18-1,9)+1</f>
        <v>6</v>
      </c>
      <c r="AB18" s="76" t="str">
        <f>INDEX(GH$14:GP$22,MATCH(IF(LEN(AA$14)&gt;1,LEFT(AA$14,1)+RIGHT(AA$14,1),AA$14),GG$14:GG$22,0),MATCH(IF(LEN(AA18)&gt;1,LEFT(AA18,1)+RIGHT(AA18,1),AA18),GH$13:GP$13,0))</f>
        <v>G</v>
      </c>
      <c r="AC18" s="148" t="str">
        <f ca="1">INDEX(GH$14:GP$22,MATCH(IF(LEN(AA$15)&gt;1,LEFT(AA$15,1)+RIGHT(AA$15,1),AA$15),GG$14:GG$22,0),MATCH(IF(LEN(AA18)&gt;1,LEFT(AA18,1)+RIGHT(AA18,1),AA18),GH$13:GP$13,0))</f>
        <v>G</v>
      </c>
      <c r="AD18" s="106"/>
      <c r="AE18" s="21"/>
      <c r="AF18" s="21"/>
      <c r="AG18" s="21"/>
      <c r="AH18" s="21"/>
      <c r="AI18" s="21"/>
      <c r="AJ18" s="21"/>
      <c r="AK18" s="21"/>
      <c r="AL18" s="21"/>
      <c r="AM18" s="14"/>
      <c r="AQ18" s="14"/>
      <c r="AS18" s="19"/>
      <c r="AT18" s="19"/>
      <c r="AU18" s="19"/>
      <c r="AV18" s="19"/>
      <c r="AW18" s="19"/>
      <c r="AX18" s="19"/>
      <c r="AY18" s="19"/>
      <c r="AZ18" s="19"/>
      <c r="BA18" s="14"/>
      <c r="BB18" s="14"/>
      <c r="BC18" s="14"/>
      <c r="BD18" s="14"/>
      <c r="BE18" s="19"/>
      <c r="BF18" s="19"/>
      <c r="BO18" s="19"/>
      <c r="BP18" s="19"/>
      <c r="BQ18" s="19"/>
      <c r="BR18" s="19"/>
      <c r="BS18" s="19"/>
      <c r="BT18" s="19"/>
      <c r="BU18" s="19"/>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7">
        <v>14</v>
      </c>
      <c r="GC18" s="46" t="s">
        <v>20</v>
      </c>
      <c r="GD18" s="15"/>
      <c r="GE18" s="15"/>
      <c r="GG18" s="17">
        <v>5</v>
      </c>
      <c r="GH18" s="17" t="s">
        <v>20</v>
      </c>
      <c r="GI18" s="17" t="s">
        <v>21</v>
      </c>
      <c r="GJ18" s="17" t="s">
        <v>20</v>
      </c>
      <c r="GK18" s="17" t="s">
        <v>20</v>
      </c>
      <c r="GL18" s="17" t="s">
        <v>19</v>
      </c>
      <c r="GM18" s="17" t="s">
        <v>21</v>
      </c>
      <c r="GN18" s="17" t="s">
        <v>20</v>
      </c>
      <c r="GO18" s="17" t="s">
        <v>26</v>
      </c>
      <c r="GP18" s="17" t="s">
        <v>21</v>
      </c>
      <c r="GR18" s="17" t="s">
        <v>21</v>
      </c>
      <c r="GS18" s="17">
        <v>8</v>
      </c>
      <c r="GU18" s="17">
        <v>5</v>
      </c>
      <c r="GV18" s="46" t="s">
        <v>33</v>
      </c>
      <c r="GX18" s="16" t="s">
        <v>34</v>
      </c>
      <c r="GY18" s="17">
        <f>(GZ18*GZ19)+(HA18*HA19)+(HB18*HB19)+(HC18*HC19)+(HD18*HD19)</f>
        <v>0</v>
      </c>
      <c r="GZ18" s="39">
        <f>IFERROR((HLOOKUP(GZ12,C16:T17,2,0)),0)</f>
        <v>0</v>
      </c>
      <c r="HA18" s="39">
        <f>IFERROR((HLOOKUP(HA12,C16:T17,2,0)),0)</f>
        <v>0</v>
      </c>
      <c r="HB18" s="39">
        <f>IFERROR((HLOOKUP(HB12,C16:T17,2,0)),0)</f>
        <v>0</v>
      </c>
      <c r="HC18" s="39">
        <f>IFERROR((HLOOKUP(HC12,C16:T17,2,0)),0)</f>
        <v>0</v>
      </c>
      <c r="HD18" s="39">
        <f>IFERROR((HLOOKUP(HD12,C16:T17,2,0)),0)</f>
        <v>0</v>
      </c>
      <c r="HG18" s="29">
        <v>43836</v>
      </c>
      <c r="HH18" s="30" t="str">
        <f t="shared" si="4"/>
        <v>06-Jan</v>
      </c>
      <c r="HI18" s="30" t="s">
        <v>113</v>
      </c>
      <c r="HJ18" s="16" t="s">
        <v>130</v>
      </c>
      <c r="HK18" s="16" t="str">
        <f t="shared" si="3"/>
        <v>Capricorn - Earth</v>
      </c>
    </row>
    <row r="19" spans="1:219" ht="15" thickBot="1">
      <c r="A19" s="31"/>
      <c r="B19" s="21"/>
      <c r="C19" s="148">
        <f>IFERROR(VLOOKUP(C18,GR:GS,2,0),0)</f>
        <v>2</v>
      </c>
      <c r="D19" s="148">
        <f>IFERROR(VLOOKUP(D18,GR:GS,2,0),0)</f>
        <v>1</v>
      </c>
      <c r="E19" s="148">
        <f>IFERROR(VLOOKUP(E18,GR:GS,2,0),0)</f>
        <v>3</v>
      </c>
      <c r="F19" s="148">
        <f>IFERROR(VLOOKUP(F18,GR:GS,2,0),0)</f>
        <v>4</v>
      </c>
      <c r="G19" s="148">
        <f>IFERROR(VLOOKUP(G18,GR:GS,2,0),0)</f>
        <v>6</v>
      </c>
      <c r="H19" s="148">
        <f>IFERROR(VLOOKUP(H18,GR:GS,2,0),0)</f>
        <v>2</v>
      </c>
      <c r="I19" s="148">
        <f>IFERROR(VLOOKUP(I18,GR:GS,2,0),0)</f>
        <v>1</v>
      </c>
      <c r="J19" s="148">
        <f>IFERROR(VLOOKUP(J18,GR:GS,2,0),0)</f>
        <v>1</v>
      </c>
      <c r="K19" s="148">
        <f>IFERROR(VLOOKUP(K18,GR:GS,2,0),0)</f>
        <v>0</v>
      </c>
      <c r="L19" s="148">
        <f>IFERROR(VLOOKUP(L18,GR:GS,2,0),0)</f>
        <v>0</v>
      </c>
      <c r="M19" s="148">
        <f>IFERROR(VLOOKUP(M18,GR:GS,2,0),0)</f>
        <v>0</v>
      </c>
      <c r="N19" s="148">
        <f>IFERROR(VLOOKUP(N18,GR:GS,2,0),0)</f>
        <v>0</v>
      </c>
      <c r="O19" s="148">
        <f>IFERROR(VLOOKUP(O18,GR:GS,2,0),0)</f>
        <v>0</v>
      </c>
      <c r="P19" s="148">
        <f>IFERROR(VLOOKUP(P18,GR:GS,2,0),0)</f>
        <v>0</v>
      </c>
      <c r="Q19" s="148">
        <f>IFERROR(VLOOKUP(Q18,GR:GS,2,0),0)</f>
        <v>0</v>
      </c>
      <c r="R19" s="148">
        <f>IFERROR(VLOOKUP(R18,GR:GS,2,0),0)</f>
        <v>0</v>
      </c>
      <c r="S19" s="148">
        <f>IFERROR(VLOOKUP(S18,GR:GS,2,0),0)</f>
        <v>0</v>
      </c>
      <c r="T19" s="148">
        <f>IFERROR(VLOOKUP(T18,GR:GS,2,0),0)</f>
        <v>0</v>
      </c>
      <c r="U19" s="33">
        <f>SUM(C19:T19)</f>
        <v>20</v>
      </c>
      <c r="V19" s="37">
        <f>IF(U19&lt;10,U19,((LEFT(U19,1))+(RIGHT(U19,1))))</f>
        <v>2</v>
      </c>
      <c r="W19" s="21"/>
      <c r="X19" s="22"/>
      <c r="Y19" s="113" t="s">
        <v>35</v>
      </c>
      <c r="Z19" s="114">
        <f>Z17-Z18</f>
        <v>26</v>
      </c>
      <c r="AA19" s="247">
        <f>MOD(Z19-1,9)+1</f>
        <v>8</v>
      </c>
      <c r="AB19" s="76" t="str">
        <f>INDEX(GH$14:GP$22,MATCH(IF(LEN(AA$14)&gt;1,LEFT(AA$14,1)+RIGHT(AA$14,1),AA$14),GG$14:GG$22,0),MATCH(IF(LEN(AA19)&gt;1,LEFT(AA19,1)+RIGHT(AA19,1),AA19),GH$13:GP$13,0))</f>
        <v>A</v>
      </c>
      <c r="AC19" s="148" t="str">
        <f ca="1">INDEX(GH$14:GP$22,MATCH(IF(LEN(AA$15)&gt;1,LEFT(AA$15,1)+RIGHT(AA$15,1),AA$15),GG$14:GG$22,0),MATCH(IF(LEN(AA19)&gt;1,LEFT(AA19,1)+RIGHT(AA19,1),AA19),GH$13:GP$13,0))</f>
        <v>E</v>
      </c>
      <c r="AD19" s="40"/>
      <c r="AE19" s="690" t="s">
        <v>36</v>
      </c>
      <c r="AF19" s="691"/>
      <c r="AG19" s="691"/>
      <c r="AH19" s="691"/>
      <c r="AI19" s="691"/>
      <c r="AJ19" s="691"/>
      <c r="AK19" s="691"/>
      <c r="AL19" s="692"/>
      <c r="AM19" s="246"/>
      <c r="AQ19" s="246"/>
      <c r="AR19" s="14"/>
      <c r="AS19" s="14"/>
      <c r="AT19" s="14"/>
      <c r="AU19" s="14"/>
      <c r="AV19" s="14"/>
      <c r="AW19" s="14"/>
      <c r="AX19" s="14"/>
      <c r="AY19" s="14"/>
      <c r="AZ19" s="14"/>
      <c r="BA19" s="14"/>
      <c r="BB19" s="246"/>
      <c r="BC19" s="246"/>
      <c r="BD19" s="246"/>
      <c r="BE19" s="19"/>
      <c r="BF19" s="19"/>
      <c r="BO19" s="19"/>
      <c r="BP19" s="19"/>
      <c r="BQ19" s="19"/>
      <c r="BR19" s="19"/>
      <c r="BS19" s="19"/>
      <c r="BT19" s="19"/>
      <c r="BU19" s="19"/>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17">
        <v>15</v>
      </c>
      <c r="GC19" s="46" t="s">
        <v>20</v>
      </c>
      <c r="GD19" s="48"/>
      <c r="GE19" s="48"/>
      <c r="GG19" s="17">
        <v>6</v>
      </c>
      <c r="GH19" s="17" t="s">
        <v>21</v>
      </c>
      <c r="GI19" s="17" t="s">
        <v>20</v>
      </c>
      <c r="GJ19" s="17" t="s">
        <v>14</v>
      </c>
      <c r="GK19" s="17" t="s">
        <v>20</v>
      </c>
      <c r="GL19" s="17" t="s">
        <v>21</v>
      </c>
      <c r="GM19" s="17" t="s">
        <v>19</v>
      </c>
      <c r="GN19" s="17" t="s">
        <v>20</v>
      </c>
      <c r="GO19" s="17" t="s">
        <v>20</v>
      </c>
      <c r="GP19" s="17" t="s">
        <v>20</v>
      </c>
      <c r="GR19" s="17" t="s">
        <v>20</v>
      </c>
      <c r="GS19" s="17">
        <v>3</v>
      </c>
      <c r="GU19" s="17">
        <v>6</v>
      </c>
      <c r="GV19" s="46" t="s">
        <v>33</v>
      </c>
      <c r="GZ19" s="28">
        <f>COUNTIFS(C16:T16,GZ12)</f>
        <v>0</v>
      </c>
      <c r="HA19" s="28">
        <f>COUNTIFS(C16:T16,HA12)</f>
        <v>0</v>
      </c>
      <c r="HB19" s="28">
        <f>COUNTIFS(C16:T16,HB12)</f>
        <v>0</v>
      </c>
      <c r="HC19" s="28">
        <f>COUNTIFS(C16:T16,HC12)</f>
        <v>0</v>
      </c>
      <c r="HD19" s="28">
        <f>COUNTIFS(C16:T16,HD12)</f>
        <v>0</v>
      </c>
      <c r="HG19" s="29">
        <v>43837</v>
      </c>
      <c r="HH19" s="30" t="str">
        <f t="shared" si="4"/>
        <v>07-Jan</v>
      </c>
      <c r="HI19" s="30" t="s">
        <v>113</v>
      </c>
      <c r="HJ19" s="16" t="s">
        <v>130</v>
      </c>
      <c r="HK19" s="16" t="str">
        <f t="shared" si="3"/>
        <v>Capricorn - Earth</v>
      </c>
    </row>
    <row r="20" spans="1:219" ht="15" thickBot="1">
      <c r="A20" s="19"/>
      <c r="B20" s="19"/>
      <c r="C20" s="19"/>
      <c r="D20" s="19"/>
      <c r="E20" s="19"/>
      <c r="F20" s="19"/>
      <c r="G20" s="19"/>
      <c r="J20" s="353" t="s">
        <v>18</v>
      </c>
      <c r="K20" s="354" t="s">
        <v>25</v>
      </c>
      <c r="L20" s="353" t="s">
        <v>18</v>
      </c>
      <c r="M20" s="354" t="s">
        <v>25</v>
      </c>
      <c r="U20" s="21">
        <f>U19+U17+U15</f>
        <v>50</v>
      </c>
      <c r="V20" s="37">
        <f>V15+V17+V19</f>
        <v>5</v>
      </c>
      <c r="W20" s="38" t="s">
        <v>31</v>
      </c>
      <c r="X20" s="22" t="str">
        <f>IF(U20&gt;52,VLOOKUP(V20,GU:GV,2,0),VLOOKUP(U20,GU:GV,2,0))</f>
        <v>*</v>
      </c>
      <c r="Y20" s="21"/>
      <c r="Z20" s="21"/>
      <c r="AA20" s="21"/>
      <c r="AB20" s="149" t="s">
        <v>38</v>
      </c>
      <c r="AC20" s="72"/>
      <c r="AD20" s="115"/>
      <c r="AE20" s="132" t="s">
        <v>24</v>
      </c>
      <c r="AF20" s="133" t="s">
        <v>112</v>
      </c>
      <c r="AG20" s="133" t="s">
        <v>39</v>
      </c>
      <c r="AH20" s="134" t="s">
        <v>40</v>
      </c>
      <c r="AI20" s="21" t="s">
        <v>61</v>
      </c>
      <c r="AJ20" s="21" t="s">
        <v>27</v>
      </c>
      <c r="AK20" s="125" t="s">
        <v>136</v>
      </c>
      <c r="AL20" s="126" t="s">
        <v>137</v>
      </c>
      <c r="AM20" s="289"/>
      <c r="AQ20" s="14"/>
      <c r="AR20" s="693" t="s">
        <v>0</v>
      </c>
      <c r="AS20" s="693"/>
      <c r="AT20" s="693"/>
      <c r="AU20" s="693"/>
      <c r="AV20" s="693"/>
      <c r="AW20" s="693"/>
      <c r="AX20" s="693"/>
      <c r="AY20" s="693"/>
      <c r="AZ20" s="693"/>
      <c r="BA20" s="693"/>
      <c r="BB20" s="14"/>
      <c r="BC20" s="14"/>
      <c r="BD20" s="14"/>
      <c r="BE20" s="19"/>
      <c r="BF20" s="19"/>
      <c r="BO20" s="19"/>
      <c r="BP20" s="19"/>
      <c r="BQ20" s="19"/>
      <c r="BR20" s="19"/>
      <c r="BS20" s="19"/>
      <c r="BT20" s="19"/>
      <c r="BU20" s="19"/>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7">
        <v>17</v>
      </c>
      <c r="GC20" s="46" t="s">
        <v>20</v>
      </c>
      <c r="GD20" s="15"/>
      <c r="GE20" s="15"/>
      <c r="GG20" s="17">
        <v>7</v>
      </c>
      <c r="GH20" s="17" t="s">
        <v>20</v>
      </c>
      <c r="GI20" s="17" t="s">
        <v>26</v>
      </c>
      <c r="GJ20" s="17" t="s">
        <v>20</v>
      </c>
      <c r="GK20" s="17" t="s">
        <v>14</v>
      </c>
      <c r="GL20" s="17" t="s">
        <v>20</v>
      </c>
      <c r="GM20" s="17" t="s">
        <v>20</v>
      </c>
      <c r="GN20" s="17" t="s">
        <v>19</v>
      </c>
      <c r="GO20" s="17" t="s">
        <v>14</v>
      </c>
      <c r="GP20" s="17" t="s">
        <v>14</v>
      </c>
      <c r="GR20" s="17" t="s">
        <v>41</v>
      </c>
      <c r="GS20" s="17">
        <v>5</v>
      </c>
      <c r="GU20" s="17">
        <v>7</v>
      </c>
      <c r="GV20" s="28" t="s">
        <v>23</v>
      </c>
      <c r="HG20" s="29">
        <v>43838</v>
      </c>
      <c r="HH20" s="30" t="str">
        <f t="shared" si="4"/>
        <v>08-Jan</v>
      </c>
      <c r="HI20" s="30" t="s">
        <v>113</v>
      </c>
      <c r="HJ20" s="16" t="s">
        <v>130</v>
      </c>
      <c r="HK20" s="16" t="str">
        <f t="shared" si="3"/>
        <v>Capricorn - Earth</v>
      </c>
    </row>
    <row r="21" spans="1:219" ht="15" thickBot="1">
      <c r="B21" s="19"/>
      <c r="D21" s="357" t="s">
        <v>24</v>
      </c>
      <c r="E21" s="357" t="s">
        <v>31</v>
      </c>
      <c r="G21" s="351" t="s">
        <v>24</v>
      </c>
      <c r="H21" s="352" t="s">
        <v>31</v>
      </c>
      <c r="J21" s="340">
        <f>C6</f>
        <v>7</v>
      </c>
      <c r="K21" s="303">
        <f ca="1">C7</f>
        <v>8</v>
      </c>
      <c r="L21" s="340">
        <f>C6</f>
        <v>7</v>
      </c>
      <c r="M21" s="303">
        <f ca="1">C7</f>
        <v>8</v>
      </c>
      <c r="W21" s="21"/>
      <c r="X21" s="22"/>
      <c r="Y21" s="149" t="s">
        <v>42</v>
      </c>
      <c r="Z21" s="100">
        <f>C15+C19</f>
        <v>6</v>
      </c>
      <c r="AA21" s="100">
        <f>IF(LEN(Z21)&gt;1,LEFT(Z21,1)+RIGHT(Z21,1),Z21)</f>
        <v>6</v>
      </c>
      <c r="AB21" s="76">
        <v>1</v>
      </c>
      <c r="AC21" s="104">
        <f t="shared" ref="AC21:AC28" si="5">COUNTIF(C$15:T$15,AB21)+COUNTIF(C$17:T$17,AB21)+COUNTIF(C$19:T$19,AB21)</f>
        <v>5</v>
      </c>
      <c r="AD21" s="21"/>
      <c r="AE21" s="135">
        <f>IFERROR(HLOOKUP(AB21,C15:T15,1,0),0)</f>
        <v>1</v>
      </c>
      <c r="AF21" s="50">
        <f>IFERROR(HLOOKUP(AB21,C17:T17,1,0),0)</f>
        <v>0</v>
      </c>
      <c r="AG21" s="50">
        <f>IFERROR(HLOOKUP(AB21,C19:T19,1,0),0)</f>
        <v>1</v>
      </c>
      <c r="AH21" s="83">
        <f ca="1">IFERROR(VLOOKUP(AB21,AI12:AI17,1,0),0)</f>
        <v>0</v>
      </c>
      <c r="AI21" s="21">
        <f>IF(SUM(AE21:AG21)&gt;=AB21,AB21,0)</f>
        <v>1</v>
      </c>
      <c r="AJ21" s="21">
        <f ca="1">IF(AH21=AB21,AB21,0)</f>
        <v>0</v>
      </c>
      <c r="AK21" s="123">
        <f ca="1">IF(SUM(AI21:AJ21)&lt;=0,AB21,0)</f>
        <v>0</v>
      </c>
      <c r="AL21" s="83">
        <f>IF(AI21=AB21,0,AJ21)</f>
        <v>0</v>
      </c>
      <c r="AM21" s="289"/>
      <c r="AQ21" s="14"/>
      <c r="AR21" s="136"/>
      <c r="AS21" s="144">
        <v>1</v>
      </c>
      <c r="AT21" s="144">
        <v>2</v>
      </c>
      <c r="AU21" s="144">
        <v>3</v>
      </c>
      <c r="AV21" s="144">
        <v>4</v>
      </c>
      <c r="AW21" s="144">
        <v>5</v>
      </c>
      <c r="AX21" s="144">
        <v>6</v>
      </c>
      <c r="AY21" s="144">
        <v>7</v>
      </c>
      <c r="AZ21" s="144">
        <v>8</v>
      </c>
      <c r="BA21" s="144">
        <v>9</v>
      </c>
      <c r="BB21" s="14"/>
      <c r="BC21" s="14"/>
      <c r="BD21" s="14"/>
      <c r="BE21" s="19"/>
      <c r="BF21" s="19"/>
      <c r="BO21" s="19"/>
      <c r="BP21" s="19"/>
      <c r="BQ21" s="19"/>
      <c r="BR21" s="19"/>
      <c r="BS21" s="19"/>
      <c r="BT21" s="19"/>
      <c r="BU21" s="19"/>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7">
        <v>19</v>
      </c>
      <c r="GC21" s="28" t="s">
        <v>64</v>
      </c>
      <c r="GD21" s="15"/>
      <c r="GE21" s="15"/>
      <c r="GG21" s="17">
        <v>8</v>
      </c>
      <c r="GH21" s="17" t="s">
        <v>21</v>
      </c>
      <c r="GI21" s="17" t="s">
        <v>14</v>
      </c>
      <c r="GJ21" s="17" t="s">
        <v>20</v>
      </c>
      <c r="GK21" s="17" t="s">
        <v>14</v>
      </c>
      <c r="GL21" s="17" t="s">
        <v>26</v>
      </c>
      <c r="GM21" s="17" t="s">
        <v>20</v>
      </c>
      <c r="GN21" s="17" t="s">
        <v>14</v>
      </c>
      <c r="GO21" s="17" t="s">
        <v>19</v>
      </c>
      <c r="GP21" s="17" t="s">
        <v>96</v>
      </c>
      <c r="GR21" s="17" t="s">
        <v>43</v>
      </c>
      <c r="GS21" s="17">
        <v>1</v>
      </c>
      <c r="GU21" s="17">
        <v>8</v>
      </c>
      <c r="GV21" s="28" t="s">
        <v>23</v>
      </c>
      <c r="GX21" s="17" t="s">
        <v>44</v>
      </c>
      <c r="GY21" s="17">
        <f>(GZ21*GZ22)+(HA21*HA22)+(HB21*HB22)+(HC21*HC22)+(HD21*HD22)</f>
        <v>9</v>
      </c>
      <c r="GZ21" s="39">
        <f>IFERROR((HLOOKUP(GZ12,C18:T19,2,0)),0)</f>
        <v>1</v>
      </c>
      <c r="HA21" s="39">
        <f>IFERROR((HLOOKUP(HA12,C18:T19,2,0)),0)</f>
        <v>0</v>
      </c>
      <c r="HB21" s="39">
        <f>IFERROR((HLOOKUP(HB12,C18:T19,2,0)),0)</f>
        <v>1</v>
      </c>
      <c r="HC21" s="39">
        <f>IFERROR((HLOOKUP(HC12,C18:T19,2,0)),0)</f>
        <v>0</v>
      </c>
      <c r="HD21" s="39">
        <f>IFERROR((HLOOKUP(HD12,C18:T19,2,0)),0)</f>
        <v>6</v>
      </c>
      <c r="HG21" s="29">
        <v>43839</v>
      </c>
      <c r="HH21" s="30" t="str">
        <f t="shared" si="4"/>
        <v>09-Jan</v>
      </c>
      <c r="HI21" s="30" t="s">
        <v>113</v>
      </c>
      <c r="HJ21" s="16" t="s">
        <v>130</v>
      </c>
      <c r="HK21" s="16" t="str">
        <f t="shared" si="3"/>
        <v>Capricorn - Earth</v>
      </c>
    </row>
    <row r="22" spans="1:219" ht="15" thickBot="1">
      <c r="A22" s="19"/>
      <c r="D22" s="19">
        <f>U15</f>
        <v>30</v>
      </c>
      <c r="E22" s="19">
        <f>U20</f>
        <v>50</v>
      </c>
      <c r="G22" s="355"/>
      <c r="H22" s="356"/>
      <c r="J22" s="704" t="s">
        <v>24</v>
      </c>
      <c r="K22" s="704"/>
      <c r="L22" s="704" t="s">
        <v>31</v>
      </c>
      <c r="M22" s="704"/>
      <c r="S22" s="21"/>
      <c r="T22" s="21"/>
      <c r="U22" s="21"/>
      <c r="V22" s="21"/>
      <c r="W22" s="21"/>
      <c r="X22" s="22"/>
      <c r="Y22" s="250" t="s">
        <v>45</v>
      </c>
      <c r="Z22" s="247">
        <f ca="1">AA15+AA17</f>
        <v>13</v>
      </c>
      <c r="AA22" s="247">
        <f ca="1">IF(LEN(Z22)&gt;1,LEFT(Z22,1)+RIGHT(Z22,1),Z22)</f>
        <v>4</v>
      </c>
      <c r="AB22" s="76">
        <v>2</v>
      </c>
      <c r="AC22" s="104">
        <f t="shared" si="5"/>
        <v>2</v>
      </c>
      <c r="AD22" s="21"/>
      <c r="AE22" s="135">
        <f>IFERROR(HLOOKUP(AB22,C15:T15,1,0),0)</f>
        <v>0</v>
      </c>
      <c r="AF22" s="50">
        <f>IFERROR(HLOOKUP(AB22,C17:T17,1,0),0)</f>
        <v>0</v>
      </c>
      <c r="AG22" s="50">
        <f>IFERROR(HLOOKUP(AB22,C19:T19,1,0),0)</f>
        <v>2</v>
      </c>
      <c r="AH22" s="83">
        <f ca="1">IFERROR(VLOOKUP(AB22,AI12:AI17,1,0),0)</f>
        <v>0</v>
      </c>
      <c r="AI22" s="21">
        <f t="shared" ref="AI22:AI29" si="6">IF(SUM(AE22:AG22)&gt;=AB22,AB22,0)</f>
        <v>2</v>
      </c>
      <c r="AJ22" s="21">
        <f t="shared" ref="AJ22:AJ29" ca="1" si="7">IF(AH22=AB22,AB22,0)</f>
        <v>0</v>
      </c>
      <c r="AK22" s="123">
        <f t="shared" ref="AK22:AK29" ca="1" si="8">IF(SUM(AI22:AJ22)&lt;=0,AB22,0)</f>
        <v>0</v>
      </c>
      <c r="AL22" s="83">
        <f t="shared" ref="AL22:AL29" si="9">IF(AI22=AB22,0,AJ22)</f>
        <v>0</v>
      </c>
      <c r="AM22" s="289"/>
      <c r="AQ22" s="14"/>
      <c r="AR22" s="145">
        <v>1</v>
      </c>
      <c r="AS22" s="142" t="s">
        <v>19</v>
      </c>
      <c r="AT22" s="142" t="s">
        <v>20</v>
      </c>
      <c r="AU22" s="142" t="s">
        <v>20</v>
      </c>
      <c r="AV22" s="142" t="s">
        <v>21</v>
      </c>
      <c r="AW22" s="142" t="s">
        <v>20</v>
      </c>
      <c r="AX22" s="142" t="s">
        <v>21</v>
      </c>
      <c r="AY22" s="142" t="s">
        <v>20</v>
      </c>
      <c r="AZ22" s="142" t="s">
        <v>21</v>
      </c>
      <c r="BA22" s="142" t="s">
        <v>14</v>
      </c>
      <c r="BB22" s="14"/>
      <c r="BC22" s="14"/>
      <c r="BD22" s="14"/>
      <c r="BE22" s="19"/>
      <c r="BF22" s="19"/>
      <c r="BG22" s="19"/>
      <c r="BH22" s="19"/>
      <c r="BI22" s="19"/>
      <c r="BJ22" s="19"/>
      <c r="BK22" s="19"/>
      <c r="BL22" s="19"/>
      <c r="BM22" s="19"/>
      <c r="BN22" s="19"/>
      <c r="BO22" s="19"/>
      <c r="BP22" s="19"/>
      <c r="BQ22" s="19"/>
      <c r="BR22" s="19"/>
      <c r="BS22" s="19"/>
      <c r="BT22" s="19"/>
      <c r="BU22" s="19"/>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7">
        <v>20</v>
      </c>
      <c r="GC22" s="46" t="s">
        <v>20</v>
      </c>
      <c r="GD22" s="15"/>
      <c r="GE22" s="15"/>
      <c r="GG22" s="17">
        <v>9</v>
      </c>
      <c r="GH22" s="17" t="s">
        <v>14</v>
      </c>
      <c r="GI22" s="17" t="s">
        <v>14</v>
      </c>
      <c r="GJ22" s="17" t="s">
        <v>20</v>
      </c>
      <c r="GK22" s="17" t="s">
        <v>14</v>
      </c>
      <c r="GL22" s="17" t="s">
        <v>21</v>
      </c>
      <c r="GM22" s="17" t="s">
        <v>20</v>
      </c>
      <c r="GN22" s="17" t="s">
        <v>14</v>
      </c>
      <c r="GO22" s="17" t="s">
        <v>14</v>
      </c>
      <c r="GP22" s="17" t="s">
        <v>19</v>
      </c>
      <c r="GR22" s="17" t="s">
        <v>46</v>
      </c>
      <c r="GS22" s="17">
        <v>1</v>
      </c>
      <c r="GU22" s="17">
        <v>9</v>
      </c>
      <c r="GV22" s="28" t="s">
        <v>23</v>
      </c>
      <c r="GX22" s="17"/>
      <c r="GY22" s="17"/>
      <c r="GZ22" s="28">
        <f>COUNTIFS(C18:T18,GZ12)</f>
        <v>2</v>
      </c>
      <c r="HA22" s="28">
        <f>COUNTIFS(C18:T18,HA12)</f>
        <v>0</v>
      </c>
      <c r="HB22" s="28">
        <f>COUNTIFS(C18:T18,HB12)</f>
        <v>1</v>
      </c>
      <c r="HC22" s="28">
        <f>COUNTIFS(C18:T18,HC12)</f>
        <v>0</v>
      </c>
      <c r="HD22" s="28">
        <f>COUNTIFS(C18:T18,HD12)</f>
        <v>1</v>
      </c>
      <c r="HG22" s="29">
        <v>43840</v>
      </c>
      <c r="HH22" s="30" t="str">
        <f t="shared" si="4"/>
        <v>10-Jan</v>
      </c>
      <c r="HI22" s="30" t="s">
        <v>113</v>
      </c>
      <c r="HJ22" s="16" t="s">
        <v>130</v>
      </c>
      <c r="HK22" s="16" t="str">
        <f t="shared" si="3"/>
        <v>Capricorn - Earth</v>
      </c>
    </row>
    <row r="23" spans="1:219" ht="15" thickBot="1">
      <c r="A23" s="19"/>
      <c r="B23" s="19"/>
      <c r="C23" s="19">
        <v>1</v>
      </c>
      <c r="D23" s="19">
        <f>IF(ISERROR(INDEX(GB:GB,MATCH(D22,$GB$1:$GB$100,1)+1,1)),"",INDEX(GB:GB,MATCH(D22,$GB$1:$GB$100,1)+1,1))</f>
        <v>32</v>
      </c>
      <c r="E23" s="19">
        <f t="shared" ref="E23:E32" si="10">IF(ISERROR(INDEX(GB:GB,MATCH(E22,$GB$1:$GB$100,1)+1,1)),"",INDEX(GB:GB,MATCH(E22,$GB$1:$GB$100,1)+1,1))</f>
        <v>51</v>
      </c>
      <c r="F23" s="19"/>
      <c r="G23" s="349">
        <f t="shared" ref="G23:G32" si="11">MOD(D23-1,9)+1</f>
        <v>5</v>
      </c>
      <c r="H23" s="349">
        <f t="shared" ref="H23:H32" si="12">MOD(E23-1,9)+1</f>
        <v>6</v>
      </c>
      <c r="J23" s="350" t="str">
        <f>INDEX($AR$21:$BA$32,MATCH($G23,$AR$21:$BA$21,0),MATCH($J$21,$AR$21:$AR$32,0))</f>
        <v>G</v>
      </c>
      <c r="K23" s="350" t="str">
        <f t="shared" ref="K23:K32" ca="1" si="13">INDEX($AR$21:$BA$32,MATCH($G23,$AR$21:$BA$21,0),MATCH($K$21,$AR$21:$AR$32,0))</f>
        <v>VG</v>
      </c>
      <c r="L23" s="350" t="str">
        <f>INDEX($AR$21:$BA$32,MATCH($H23,$AR$21:$BA$21,0),MATCH($L$21,$AR$21:$AR$32,0))</f>
        <v>G</v>
      </c>
      <c r="M23" s="350" t="str">
        <f t="shared" ref="M23:M32" ca="1" si="14">INDEX($AR$21:$BA$32,MATCH($H23,$AR$21:$BA$21,0),MATCH($M$21,$AR$21:$AR$32,0))</f>
        <v>G</v>
      </c>
      <c r="S23" s="21"/>
      <c r="T23" s="21"/>
      <c r="Y23" s="101" t="s">
        <v>49</v>
      </c>
      <c r="Z23" s="102">
        <f>C5+F5</f>
        <v>12</v>
      </c>
      <c r="AA23" s="102">
        <f>IF(LEN(Z23)&gt;1,LEFT(Z23,1)+RIGHT(Z23,1),Z23)</f>
        <v>3</v>
      </c>
      <c r="AB23" s="76">
        <v>3</v>
      </c>
      <c r="AC23" s="104">
        <f t="shared" si="5"/>
        <v>1</v>
      </c>
      <c r="AD23" s="21"/>
      <c r="AE23" s="135">
        <f>IFERROR(HLOOKUP(AB23,C15:T15,1,0),0)</f>
        <v>0</v>
      </c>
      <c r="AF23" s="50">
        <f>IFERROR(HLOOKUP(AB23,C17:T17,1,0),0)</f>
        <v>0</v>
      </c>
      <c r="AG23" s="50">
        <f>IFERROR(HLOOKUP(AB23,C19:T19,1,0),0)</f>
        <v>3</v>
      </c>
      <c r="AH23" s="83">
        <f ca="1">IFERROR(VLOOKUP(AB23,AI12:AI17,1,0),0)</f>
        <v>3</v>
      </c>
      <c r="AI23" s="21">
        <f t="shared" si="6"/>
        <v>3</v>
      </c>
      <c r="AJ23" s="21">
        <f t="shared" ca="1" si="7"/>
        <v>3</v>
      </c>
      <c r="AK23" s="123">
        <f t="shared" ca="1" si="8"/>
        <v>0</v>
      </c>
      <c r="AL23" s="83">
        <f t="shared" si="9"/>
        <v>0</v>
      </c>
      <c r="AM23" s="289"/>
      <c r="AN23" s="289"/>
      <c r="AO23" s="289"/>
      <c r="AP23" s="289"/>
      <c r="AQ23" s="14"/>
      <c r="AR23" s="145">
        <v>2</v>
      </c>
      <c r="AS23" s="142" t="s">
        <v>20</v>
      </c>
      <c r="AT23" s="142" t="s">
        <v>19</v>
      </c>
      <c r="AU23" s="142" t="s">
        <v>20</v>
      </c>
      <c r="AV23" s="142" t="s">
        <v>20</v>
      </c>
      <c r="AW23" s="142" t="s">
        <v>21</v>
      </c>
      <c r="AX23" s="142" t="s">
        <v>20</v>
      </c>
      <c r="AY23" s="142" t="s">
        <v>26</v>
      </c>
      <c r="AZ23" s="142" t="s">
        <v>14</v>
      </c>
      <c r="BA23" s="142" t="s">
        <v>14</v>
      </c>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7">
        <v>21</v>
      </c>
      <c r="GC23" s="28" t="s">
        <v>64</v>
      </c>
      <c r="GD23" s="15"/>
      <c r="GE23" s="15"/>
      <c r="GG23" s="17"/>
      <c r="GH23" s="17"/>
      <c r="GI23" s="17"/>
      <c r="GJ23" s="17"/>
      <c r="GK23" s="17"/>
      <c r="GL23" s="17"/>
      <c r="GM23" s="17"/>
      <c r="GN23" s="17"/>
      <c r="GO23" s="17"/>
      <c r="GP23" s="17"/>
      <c r="GR23" s="17" t="s">
        <v>50</v>
      </c>
      <c r="GS23" s="17">
        <v>2</v>
      </c>
      <c r="GU23" s="17">
        <v>10</v>
      </c>
      <c r="GV23" s="46" t="s">
        <v>33</v>
      </c>
      <c r="HG23" s="29">
        <v>43841</v>
      </c>
      <c r="HH23" s="30" t="str">
        <f t="shared" si="4"/>
        <v>11-Jan</v>
      </c>
      <c r="HI23" s="30" t="s">
        <v>113</v>
      </c>
      <c r="HJ23" s="16" t="s">
        <v>130</v>
      </c>
      <c r="HK23" s="16" t="str">
        <f t="shared" si="3"/>
        <v>Capricorn - Earth</v>
      </c>
    </row>
    <row r="24" spans="1:219">
      <c r="A24" s="19"/>
      <c r="B24" s="19"/>
      <c r="C24" s="19">
        <v>2</v>
      </c>
      <c r="D24" s="19">
        <f t="shared" ref="D24:D32" si="15">IF(ISERROR(INDEX(GB:GB,MATCH(D23,$GB$1:$GB$33,1)+1,1)),"",INDEX(GB:GB,MATCH(D23,$GB$1:$GB$33,1)+1,1))</f>
        <v>33</v>
      </c>
      <c r="E24" s="19">
        <f t="shared" si="10"/>
        <v>52</v>
      </c>
      <c r="F24" s="19"/>
      <c r="G24" s="348">
        <f t="shared" si="11"/>
        <v>6</v>
      </c>
      <c r="H24" s="348">
        <f t="shared" si="12"/>
        <v>7</v>
      </c>
      <c r="J24" s="350" t="str">
        <f t="shared" ref="J24:J32" si="16">INDEX($AR$21:$BA$32,MATCH($G24,$AR$21:$BA$21,0),MATCH($J$21,$AR$21:$AR$32,0))</f>
        <v>G</v>
      </c>
      <c r="K24" s="350" t="str">
        <f t="shared" ca="1" si="13"/>
        <v>G</v>
      </c>
      <c r="L24" s="350" t="str">
        <f t="shared" ref="L24:L32" si="17">INDEX($AR$21:$BA$32,MATCH($H24,$AR$21:$BA$21,0),MATCH($L$21,$AR$21:$AR$32,0))</f>
        <v>E</v>
      </c>
      <c r="M24" s="350" t="str">
        <f t="shared" ca="1" si="14"/>
        <v>A</v>
      </c>
      <c r="S24" s="21"/>
      <c r="T24" s="21"/>
      <c r="U24" s="21"/>
      <c r="V24" s="21"/>
      <c r="W24" s="21"/>
      <c r="X24" s="22"/>
      <c r="Y24" s="21"/>
      <c r="Z24" s="21"/>
      <c r="AA24" s="21"/>
      <c r="AB24" s="76">
        <v>4</v>
      </c>
      <c r="AC24" s="104">
        <f t="shared" si="5"/>
        <v>2</v>
      </c>
      <c r="AD24" s="21"/>
      <c r="AE24" s="135">
        <f>IFERROR(HLOOKUP(AB24,C15:T15,1,0),0)</f>
        <v>4</v>
      </c>
      <c r="AF24" s="50">
        <f>IFERROR(HLOOKUP(AB24,C17:T17,1,0),0)</f>
        <v>0</v>
      </c>
      <c r="AG24" s="50">
        <f>IFERROR(HLOOKUP(AB24,C19:T19,1,0),0)</f>
        <v>4</v>
      </c>
      <c r="AH24" s="83">
        <f ca="1">IFERROR(VLOOKUP(AB24,AI12:AI17,1,0),0)</f>
        <v>0</v>
      </c>
      <c r="AI24" s="21">
        <f t="shared" si="6"/>
        <v>4</v>
      </c>
      <c r="AJ24" s="21">
        <f t="shared" ca="1" si="7"/>
        <v>0</v>
      </c>
      <c r="AK24" s="123">
        <f t="shared" ca="1" si="8"/>
        <v>0</v>
      </c>
      <c r="AL24" s="83">
        <f t="shared" si="9"/>
        <v>0</v>
      </c>
      <c r="AM24" s="289"/>
      <c r="AN24" s="289"/>
      <c r="AO24" s="289"/>
      <c r="AP24" s="289"/>
      <c r="AQ24" s="14"/>
      <c r="AR24" s="145">
        <v>3</v>
      </c>
      <c r="AS24" s="142" t="s">
        <v>20</v>
      </c>
      <c r="AT24" s="142" t="s">
        <v>20</v>
      </c>
      <c r="AU24" s="142" t="s">
        <v>19</v>
      </c>
      <c r="AV24" s="142" t="s">
        <v>14</v>
      </c>
      <c r="AW24" s="142" t="s">
        <v>20</v>
      </c>
      <c r="AX24" s="142" t="s">
        <v>14</v>
      </c>
      <c r="AY24" s="142" t="s">
        <v>20</v>
      </c>
      <c r="AZ24" s="142" t="s">
        <v>20</v>
      </c>
      <c r="BA24" s="142" t="s">
        <v>20</v>
      </c>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7">
        <v>23</v>
      </c>
      <c r="GC24" s="28" t="s">
        <v>64</v>
      </c>
      <c r="GD24" s="15"/>
      <c r="GE24" s="15"/>
      <c r="GG24" s="17"/>
      <c r="GH24" s="17" t="s">
        <v>14</v>
      </c>
      <c r="GI24" s="17" t="s">
        <v>22</v>
      </c>
      <c r="GJ24" s="17" t="s">
        <v>27</v>
      </c>
      <c r="GK24" s="17" t="s">
        <v>29</v>
      </c>
      <c r="GL24" s="17" t="s">
        <v>19</v>
      </c>
      <c r="GM24" s="17" t="s">
        <v>51</v>
      </c>
      <c r="GN24" s="17" t="s">
        <v>52</v>
      </c>
      <c r="GO24" s="17" t="s">
        <v>21</v>
      </c>
      <c r="GP24" s="17"/>
      <c r="GR24" s="17" t="s">
        <v>53</v>
      </c>
      <c r="GS24" s="17">
        <v>3</v>
      </c>
      <c r="GU24" s="17">
        <v>11</v>
      </c>
      <c r="GV24" s="28" t="s">
        <v>23</v>
      </c>
      <c r="HG24" s="29">
        <v>43842</v>
      </c>
      <c r="HH24" s="30" t="str">
        <f t="shared" si="4"/>
        <v>12-Jan</v>
      </c>
      <c r="HI24" s="30" t="s">
        <v>113</v>
      </c>
      <c r="HJ24" s="16" t="s">
        <v>130</v>
      </c>
      <c r="HK24" s="16" t="str">
        <f t="shared" si="3"/>
        <v>Capricorn - Earth</v>
      </c>
    </row>
    <row r="25" spans="1:219">
      <c r="A25" s="19"/>
      <c r="B25" s="19"/>
      <c r="C25" s="19">
        <v>3</v>
      </c>
      <c r="D25" s="19">
        <f t="shared" si="15"/>
        <v>34</v>
      </c>
      <c r="E25" s="19">
        <f t="shared" si="10"/>
        <v>55</v>
      </c>
      <c r="F25" s="19"/>
      <c r="G25" s="348">
        <f t="shared" si="11"/>
        <v>7</v>
      </c>
      <c r="H25" s="348">
        <f t="shared" si="12"/>
        <v>1</v>
      </c>
      <c r="J25" s="350" t="str">
        <f t="shared" si="16"/>
        <v>E</v>
      </c>
      <c r="K25" s="350" t="str">
        <f t="shared" ca="1" si="13"/>
        <v>A</v>
      </c>
      <c r="L25" s="350" t="str">
        <f t="shared" si="17"/>
        <v>G</v>
      </c>
      <c r="M25" s="350" t="str">
        <f t="shared" ca="1" si="14"/>
        <v>F</v>
      </c>
      <c r="S25" s="21"/>
      <c r="T25" s="21"/>
      <c r="U25" s="21"/>
      <c r="V25" s="21"/>
      <c r="W25" s="21"/>
      <c r="X25" s="22"/>
      <c r="Z25" s="21"/>
      <c r="AA25" s="21"/>
      <c r="AB25" s="76">
        <v>5</v>
      </c>
      <c r="AC25" s="104">
        <f t="shared" si="5"/>
        <v>2</v>
      </c>
      <c r="AD25" s="21"/>
      <c r="AE25" s="135">
        <f>IFERROR(HLOOKUP(AB25,C15:T15,1,0),0)</f>
        <v>5</v>
      </c>
      <c r="AF25" s="50">
        <f>IFERROR(HLOOKUP(AB25,C17:T17,1,0),0)</f>
        <v>0</v>
      </c>
      <c r="AG25" s="50">
        <f>IFERROR(HLOOKUP(AB25,C19:T19,1,0),0)</f>
        <v>0</v>
      </c>
      <c r="AH25" s="83">
        <f ca="1">IFERROR(VLOOKUP(AB25,AI12:AI17,1,0),0)</f>
        <v>5</v>
      </c>
      <c r="AI25" s="21">
        <f t="shared" si="6"/>
        <v>5</v>
      </c>
      <c r="AJ25" s="21">
        <f t="shared" ca="1" si="7"/>
        <v>5</v>
      </c>
      <c r="AK25" s="123">
        <f t="shared" ca="1" si="8"/>
        <v>0</v>
      </c>
      <c r="AL25" s="83">
        <f t="shared" si="9"/>
        <v>0</v>
      </c>
      <c r="AM25" s="289"/>
      <c r="AN25" s="289"/>
      <c r="AO25" s="289"/>
      <c r="AP25" s="289"/>
      <c r="AQ25" s="14"/>
      <c r="AR25" s="145">
        <v>4</v>
      </c>
      <c r="AS25" s="142" t="s">
        <v>21</v>
      </c>
      <c r="AT25" s="142" t="s">
        <v>20</v>
      </c>
      <c r="AU25" s="142" t="s">
        <v>14</v>
      </c>
      <c r="AV25" s="142" t="s">
        <v>19</v>
      </c>
      <c r="AW25" s="142" t="s">
        <v>20</v>
      </c>
      <c r="AX25" s="142" t="s">
        <v>20</v>
      </c>
      <c r="AY25" s="142" t="s">
        <v>20</v>
      </c>
      <c r="AZ25" s="142" t="s">
        <v>14</v>
      </c>
      <c r="BA25" s="137" t="s">
        <v>96</v>
      </c>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7">
        <v>24</v>
      </c>
      <c r="GC25" s="28" t="s">
        <v>64</v>
      </c>
      <c r="GD25" s="15"/>
      <c r="GE25" s="15"/>
      <c r="GG25" s="17"/>
      <c r="GH25" s="17" t="s">
        <v>43</v>
      </c>
      <c r="GI25" s="17" t="s">
        <v>50</v>
      </c>
      <c r="GJ25" s="17" t="s">
        <v>20</v>
      </c>
      <c r="GK25" s="17" t="s">
        <v>47</v>
      </c>
      <c r="GL25" s="17" t="s">
        <v>41</v>
      </c>
      <c r="GM25" s="17" t="s">
        <v>56</v>
      </c>
      <c r="GN25" s="17" t="s">
        <v>57</v>
      </c>
      <c r="GO25" s="17" t="s">
        <v>58</v>
      </c>
      <c r="GP25" s="17"/>
      <c r="GR25" s="17" t="s">
        <v>47</v>
      </c>
      <c r="GS25" s="17">
        <v>4</v>
      </c>
      <c r="GU25" s="17">
        <v>12</v>
      </c>
      <c r="GV25" s="46" t="s">
        <v>33</v>
      </c>
      <c r="HG25" s="29">
        <v>43843</v>
      </c>
      <c r="HH25" s="30" t="str">
        <f t="shared" si="4"/>
        <v>13-Jan</v>
      </c>
      <c r="HI25" s="30" t="s">
        <v>113</v>
      </c>
      <c r="HJ25" s="16" t="s">
        <v>130</v>
      </c>
      <c r="HK25" s="16" t="str">
        <f t="shared" si="3"/>
        <v>Capricorn - Earth</v>
      </c>
    </row>
    <row r="26" spans="1:219" ht="15" thickBot="1">
      <c r="A26" s="19"/>
      <c r="B26" s="19"/>
      <c r="C26" s="19">
        <v>4</v>
      </c>
      <c r="D26" s="19">
        <f t="shared" si="15"/>
        <v>36</v>
      </c>
      <c r="E26" s="19">
        <f t="shared" si="10"/>
        <v>57</v>
      </c>
      <c r="F26" s="19"/>
      <c r="G26" s="348">
        <f t="shared" si="11"/>
        <v>9</v>
      </c>
      <c r="H26" s="348">
        <f t="shared" si="12"/>
        <v>3</v>
      </c>
      <c r="J26" s="350" t="str">
        <f t="shared" si="16"/>
        <v>A</v>
      </c>
      <c r="K26" s="350" t="str">
        <f t="shared" ca="1" si="13"/>
        <v>SA</v>
      </c>
      <c r="L26" s="350" t="str">
        <f t="shared" si="17"/>
        <v>G</v>
      </c>
      <c r="M26" s="350" t="str">
        <f t="shared" ca="1" si="14"/>
        <v>G</v>
      </c>
      <c r="S26" s="21"/>
      <c r="T26" s="21"/>
      <c r="U26" s="21"/>
      <c r="V26" s="21"/>
      <c r="W26" s="21"/>
      <c r="X26" s="22"/>
      <c r="Z26" s="21"/>
      <c r="AA26" s="21"/>
      <c r="AB26" s="76">
        <v>6</v>
      </c>
      <c r="AC26" s="104">
        <f>COUNTIF(C$15:T$15,AB26)+COUNTIF(C$17:T$17,AB26)+COUNTIF(C$19:T$19,AB26)</f>
        <v>1</v>
      </c>
      <c r="AD26" s="21"/>
      <c r="AE26" s="135">
        <f>IFERROR(HLOOKUP(AB26,C15:T15,1,0),0)</f>
        <v>0</v>
      </c>
      <c r="AF26" s="50">
        <f>IFERROR(HLOOKUP(AB26,C17:T17,1,0),0)</f>
        <v>0</v>
      </c>
      <c r="AG26" s="50">
        <f>IFERROR(HLOOKUP(AB26,C19:T19,1,0),0)</f>
        <v>6</v>
      </c>
      <c r="AH26" s="83">
        <f ca="1">IFERROR(VLOOKUP(AB26,AI12:AI17,1,0),0)</f>
        <v>6</v>
      </c>
      <c r="AI26" s="21">
        <f t="shared" si="6"/>
        <v>6</v>
      </c>
      <c r="AJ26" s="21">
        <f t="shared" ca="1" si="7"/>
        <v>6</v>
      </c>
      <c r="AK26" s="123">
        <f t="shared" ca="1" si="8"/>
        <v>0</v>
      </c>
      <c r="AL26" s="83">
        <f t="shared" si="9"/>
        <v>0</v>
      </c>
      <c r="AM26" s="289"/>
      <c r="AN26" s="289"/>
      <c r="AO26" s="289"/>
      <c r="AP26" s="289"/>
      <c r="AQ26" s="14"/>
      <c r="AR26" s="145">
        <v>5</v>
      </c>
      <c r="AS26" s="142" t="s">
        <v>20</v>
      </c>
      <c r="AT26" s="142" t="s">
        <v>21</v>
      </c>
      <c r="AU26" s="142" t="s">
        <v>20</v>
      </c>
      <c r="AV26" s="142" t="s">
        <v>20</v>
      </c>
      <c r="AW26" s="142" t="s">
        <v>19</v>
      </c>
      <c r="AX26" s="142" t="s">
        <v>21</v>
      </c>
      <c r="AY26" s="142" t="s">
        <v>20</v>
      </c>
      <c r="AZ26" s="142" t="s">
        <v>26</v>
      </c>
      <c r="BA26" s="142" t="s">
        <v>21</v>
      </c>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7">
        <v>25</v>
      </c>
      <c r="GC26" s="46" t="s">
        <v>20</v>
      </c>
      <c r="GD26" s="15"/>
      <c r="GE26" s="15"/>
      <c r="GG26" s="17"/>
      <c r="GH26" s="17" t="s">
        <v>46</v>
      </c>
      <c r="GI26" s="17" t="s">
        <v>59</v>
      </c>
      <c r="GJ26" s="17" t="s">
        <v>53</v>
      </c>
      <c r="GK26" s="17" t="s">
        <v>60</v>
      </c>
      <c r="GL26" s="17" t="s">
        <v>61</v>
      </c>
      <c r="GM26" s="17" t="s">
        <v>62</v>
      </c>
      <c r="GN26" s="17"/>
      <c r="GO26" s="17"/>
      <c r="GP26" s="17"/>
      <c r="GR26" s="17" t="s">
        <v>61</v>
      </c>
      <c r="GS26" s="17">
        <v>5</v>
      </c>
      <c r="GU26" s="17">
        <v>13</v>
      </c>
      <c r="GV26" s="46" t="s">
        <v>33</v>
      </c>
      <c r="HG26" s="29">
        <v>43844</v>
      </c>
      <c r="HH26" s="30" t="str">
        <f t="shared" si="4"/>
        <v>14-Jan</v>
      </c>
      <c r="HI26" s="30" t="s">
        <v>113</v>
      </c>
      <c r="HJ26" s="16" t="s">
        <v>130</v>
      </c>
      <c r="HK26" s="16" t="str">
        <f t="shared" si="3"/>
        <v>Capricorn - Earth</v>
      </c>
    </row>
    <row r="27" spans="1:219">
      <c r="A27" s="19"/>
      <c r="B27" s="19"/>
      <c r="C27" s="19">
        <v>5</v>
      </c>
      <c r="D27" s="19">
        <f t="shared" si="15"/>
        <v>37</v>
      </c>
      <c r="E27" s="19">
        <f t="shared" si="10"/>
        <v>59</v>
      </c>
      <c r="F27" s="19"/>
      <c r="G27" s="348">
        <f t="shared" si="11"/>
        <v>1</v>
      </c>
      <c r="H27" s="348">
        <f t="shared" si="12"/>
        <v>5</v>
      </c>
      <c r="J27" s="350" t="str">
        <f t="shared" si="16"/>
        <v>G</v>
      </c>
      <c r="K27" s="350" t="str">
        <f t="shared" ca="1" si="13"/>
        <v>F</v>
      </c>
      <c r="L27" s="350" t="str">
        <f t="shared" si="17"/>
        <v>G</v>
      </c>
      <c r="M27" s="350" t="str">
        <f t="shared" ca="1" si="14"/>
        <v>VG</v>
      </c>
      <c r="S27" s="21"/>
      <c r="T27" s="21"/>
      <c r="U27" s="21"/>
      <c r="V27" s="21"/>
      <c r="W27" s="21"/>
      <c r="X27" s="22"/>
      <c r="Y27" s="21"/>
      <c r="Z27" s="21"/>
      <c r="AA27" s="21"/>
      <c r="AB27" s="76">
        <v>7</v>
      </c>
      <c r="AC27" s="104">
        <f t="shared" si="5"/>
        <v>2</v>
      </c>
      <c r="AD27" s="21"/>
      <c r="AE27" s="135">
        <f>IFERROR(HLOOKUP(AB27,C15:T15,1,0),0)</f>
        <v>7</v>
      </c>
      <c r="AF27" s="50">
        <f>IFERROR(HLOOKUP(AB27,C17:T17,1,0),0)</f>
        <v>0</v>
      </c>
      <c r="AG27" s="50">
        <f>IFERROR(HLOOKUP(AB27,C19:T19,1,0),0)</f>
        <v>0</v>
      </c>
      <c r="AH27" s="83">
        <f>IFERROR(VLOOKUP(AB27,AI12:AI17,1,0),0)</f>
        <v>7</v>
      </c>
      <c r="AI27" s="21">
        <f t="shared" si="6"/>
        <v>7</v>
      </c>
      <c r="AJ27" s="21">
        <f t="shared" si="7"/>
        <v>7</v>
      </c>
      <c r="AK27" s="123">
        <f t="shared" si="8"/>
        <v>0</v>
      </c>
      <c r="AL27" s="83">
        <f t="shared" si="9"/>
        <v>0</v>
      </c>
      <c r="AM27" s="289"/>
      <c r="AN27" s="289"/>
      <c r="AO27" s="289"/>
      <c r="AP27" s="289"/>
      <c r="AQ27" s="14"/>
      <c r="AR27" s="145">
        <v>6</v>
      </c>
      <c r="AS27" s="142" t="s">
        <v>21</v>
      </c>
      <c r="AT27" s="142" t="s">
        <v>20</v>
      </c>
      <c r="AU27" s="142" t="s">
        <v>14</v>
      </c>
      <c r="AV27" s="142" t="s">
        <v>20</v>
      </c>
      <c r="AW27" s="142" t="s">
        <v>21</v>
      </c>
      <c r="AX27" s="142" t="s">
        <v>19</v>
      </c>
      <c r="AY27" s="142" t="s">
        <v>20</v>
      </c>
      <c r="AZ27" s="142" t="s">
        <v>20</v>
      </c>
      <c r="BA27" s="142" t="s">
        <v>20</v>
      </c>
      <c r="BB27" s="14"/>
      <c r="BC27" s="14"/>
      <c r="BD27" s="14"/>
      <c r="BE27" s="321"/>
      <c r="BF27" s="298" t="s">
        <v>18</v>
      </c>
      <c r="BG27" s="299" t="s">
        <v>25</v>
      </c>
      <c r="BH27" s="295"/>
      <c r="BI27" s="294"/>
      <c r="BJ27" s="294"/>
      <c r="BK27" s="294"/>
      <c r="BL27" s="294"/>
      <c r="BM27" s="294"/>
      <c r="BN27" s="29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7">
        <v>27</v>
      </c>
      <c r="GC27" s="46" t="s">
        <v>20</v>
      </c>
      <c r="GD27" s="15"/>
      <c r="GE27" s="15"/>
      <c r="GG27" s="17"/>
      <c r="GH27" s="17" t="s">
        <v>63</v>
      </c>
      <c r="GI27" s="17"/>
      <c r="GJ27" s="17" t="s">
        <v>64</v>
      </c>
      <c r="GK27" s="17"/>
      <c r="GL27" s="17" t="s">
        <v>23</v>
      </c>
      <c r="GM27" s="17"/>
      <c r="GN27" s="17"/>
      <c r="GO27" s="17"/>
      <c r="GP27" s="17"/>
      <c r="GR27" s="17" t="s">
        <v>52</v>
      </c>
      <c r="GS27" s="17">
        <v>7</v>
      </c>
      <c r="GU27" s="17">
        <v>14</v>
      </c>
      <c r="GV27" s="46" t="s">
        <v>33</v>
      </c>
      <c r="HG27" s="29">
        <v>43845</v>
      </c>
      <c r="HH27" s="30" t="str">
        <f t="shared" si="4"/>
        <v>15-Jan</v>
      </c>
      <c r="HI27" s="30" t="s">
        <v>113</v>
      </c>
      <c r="HJ27" s="16" t="s">
        <v>130</v>
      </c>
      <c r="HK27" s="16" t="str">
        <f t="shared" si="3"/>
        <v>Capricorn - Earth</v>
      </c>
    </row>
    <row r="28" spans="1:219" ht="15" thickBot="1">
      <c r="A28" s="19"/>
      <c r="B28" s="19"/>
      <c r="C28" s="19">
        <v>6</v>
      </c>
      <c r="D28" s="19">
        <f t="shared" si="15"/>
        <v>38</v>
      </c>
      <c r="E28" s="19">
        <f t="shared" si="10"/>
        <v>60</v>
      </c>
      <c r="F28" s="19"/>
      <c r="G28" s="348">
        <f t="shared" si="11"/>
        <v>2</v>
      </c>
      <c r="H28" s="348">
        <f t="shared" si="12"/>
        <v>6</v>
      </c>
      <c r="J28" s="350" t="str">
        <f t="shared" si="16"/>
        <v>VG</v>
      </c>
      <c r="K28" s="350" t="str">
        <f t="shared" ca="1" si="13"/>
        <v>A</v>
      </c>
      <c r="L28" s="350" t="str">
        <f t="shared" si="17"/>
        <v>G</v>
      </c>
      <c r="M28" s="350" t="str">
        <f t="shared" ca="1" si="14"/>
        <v>G</v>
      </c>
      <c r="S28" s="21"/>
      <c r="T28" s="21"/>
      <c r="U28" s="21"/>
      <c r="V28" s="21"/>
      <c r="W28" s="21"/>
      <c r="X28" s="22"/>
      <c r="Y28" s="21"/>
      <c r="Z28" s="21"/>
      <c r="AA28" s="21"/>
      <c r="AB28" s="76">
        <v>8</v>
      </c>
      <c r="AC28" s="104">
        <f t="shared" si="5"/>
        <v>0</v>
      </c>
      <c r="AD28" s="21"/>
      <c r="AE28" s="135">
        <f>IFERROR(HLOOKUP(AB28,C15:T15,1,0),0)</f>
        <v>0</v>
      </c>
      <c r="AF28" s="50">
        <f>IFERROR(HLOOKUP(AB28,C17:T17,1,0),0)</f>
        <v>0</v>
      </c>
      <c r="AG28" s="50">
        <f>IFERROR(HLOOKUP(AB28,C19:T19,1,0),0)</f>
        <v>0</v>
      </c>
      <c r="AH28" s="83">
        <f ca="1">IFERROR(VLOOKUP(AB28,AI12:AI17,1,0),0)</f>
        <v>8</v>
      </c>
      <c r="AI28" s="21">
        <f t="shared" si="6"/>
        <v>0</v>
      </c>
      <c r="AJ28" s="21">
        <f t="shared" ca="1" si="7"/>
        <v>8</v>
      </c>
      <c r="AK28" s="123">
        <f t="shared" ca="1" si="8"/>
        <v>0</v>
      </c>
      <c r="AL28" s="83">
        <f t="shared" ca="1" si="9"/>
        <v>8</v>
      </c>
      <c r="AM28" s="289"/>
      <c r="AN28" s="289"/>
      <c r="AO28" s="289"/>
      <c r="AP28" s="289"/>
      <c r="AQ28" s="14"/>
      <c r="AR28" s="145">
        <v>7</v>
      </c>
      <c r="AS28" s="142" t="s">
        <v>20</v>
      </c>
      <c r="AT28" s="142" t="s">
        <v>26</v>
      </c>
      <c r="AU28" s="142" t="s">
        <v>20</v>
      </c>
      <c r="AV28" s="142" t="s">
        <v>20</v>
      </c>
      <c r="AW28" s="142" t="s">
        <v>20</v>
      </c>
      <c r="AX28" s="142" t="s">
        <v>20</v>
      </c>
      <c r="AY28" s="142" t="s">
        <v>19</v>
      </c>
      <c r="AZ28" s="142" t="s">
        <v>14</v>
      </c>
      <c r="BA28" s="142" t="s">
        <v>14</v>
      </c>
      <c r="BB28" s="14"/>
      <c r="BC28" s="14"/>
      <c r="BD28" s="14"/>
      <c r="BE28" s="322"/>
      <c r="BF28" s="304">
        <f>AA14</f>
        <v>7</v>
      </c>
      <c r="BG28" s="305">
        <f ca="1">AA15</f>
        <v>8</v>
      </c>
      <c r="BH28" s="306"/>
      <c r="BI28" s="307"/>
      <c r="BJ28" s="307"/>
      <c r="BK28" s="307"/>
      <c r="BL28" s="307"/>
      <c r="BM28" s="307"/>
      <c r="BN28" s="307"/>
      <c r="BO28" s="14"/>
      <c r="BP28" s="14"/>
      <c r="BQ28" s="14"/>
      <c r="BR28" s="14"/>
      <c r="BS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7">
        <v>30</v>
      </c>
      <c r="GC28" s="28" t="s">
        <v>64</v>
      </c>
      <c r="GD28" s="15"/>
      <c r="GE28" s="15"/>
      <c r="GG28" s="17"/>
      <c r="GH28" s="17" t="s">
        <v>48</v>
      </c>
      <c r="GI28" s="17"/>
      <c r="GJ28" s="17"/>
      <c r="GK28" s="17"/>
      <c r="GL28" s="17"/>
      <c r="GM28" s="17"/>
      <c r="GN28" s="17"/>
      <c r="GO28" s="17"/>
      <c r="GP28" s="17"/>
      <c r="GR28" s="17" t="s">
        <v>58</v>
      </c>
      <c r="GS28" s="17">
        <v>8</v>
      </c>
      <c r="GU28" s="17">
        <v>15</v>
      </c>
      <c r="GV28" s="46" t="s">
        <v>33</v>
      </c>
      <c r="HG28" s="29">
        <v>43846</v>
      </c>
      <c r="HH28" s="30" t="str">
        <f t="shared" si="4"/>
        <v>16-Jan</v>
      </c>
      <c r="HI28" s="30" t="s">
        <v>113</v>
      </c>
      <c r="HJ28" s="16" t="s">
        <v>130</v>
      </c>
      <c r="HK28" s="16" t="str">
        <f t="shared" si="3"/>
        <v>Capricorn - Earth</v>
      </c>
    </row>
    <row r="29" spans="1:219" ht="15" thickBot="1">
      <c r="A29" s="21"/>
      <c r="B29" s="19"/>
      <c r="C29" s="19">
        <v>7</v>
      </c>
      <c r="D29" s="19">
        <f t="shared" si="15"/>
        <v>38</v>
      </c>
      <c r="E29" s="19">
        <f t="shared" si="10"/>
        <v>64</v>
      </c>
      <c r="F29" s="19"/>
      <c r="G29" s="348">
        <f t="shared" si="11"/>
        <v>2</v>
      </c>
      <c r="H29" s="348">
        <f t="shared" si="12"/>
        <v>1</v>
      </c>
      <c r="J29" s="350" t="str">
        <f t="shared" si="16"/>
        <v>VG</v>
      </c>
      <c r="K29" s="350" t="str">
        <f t="shared" ca="1" si="13"/>
        <v>A</v>
      </c>
      <c r="L29" s="350" t="str">
        <f t="shared" si="17"/>
        <v>G</v>
      </c>
      <c r="M29" s="350" t="str">
        <f t="shared" ca="1" si="14"/>
        <v>F</v>
      </c>
      <c r="S29" s="21"/>
      <c r="T29" s="21"/>
      <c r="U29" s="21"/>
      <c r="V29" s="21"/>
      <c r="W29" s="21"/>
      <c r="X29" s="22"/>
      <c r="Y29" s="21"/>
      <c r="Z29" s="21"/>
      <c r="AA29" s="21"/>
      <c r="AB29" s="103">
        <v>9</v>
      </c>
      <c r="AC29" s="87"/>
      <c r="AD29" s="116"/>
      <c r="AE29" s="103">
        <f>IFERROR(HLOOKUP(AB29,C15:T15,1,0),0)</f>
        <v>0</v>
      </c>
      <c r="AF29" s="60">
        <f>IFERROR(HLOOKUP(AB29,C17:T17,1,0),0)</f>
        <v>0</v>
      </c>
      <c r="AG29" s="60">
        <f>IFERROR(HLOOKUP(AB29,C19:T19,1,0),0)</f>
        <v>0</v>
      </c>
      <c r="AH29" s="86">
        <f ca="1">IFERROR(VLOOKUP(AB29,AI12:AI17,1,0),0)</f>
        <v>0</v>
      </c>
      <c r="AI29" s="59">
        <f t="shared" si="6"/>
        <v>0</v>
      </c>
      <c r="AJ29" s="59">
        <f t="shared" ca="1" si="7"/>
        <v>0</v>
      </c>
      <c r="AK29" s="124">
        <f t="shared" ca="1" si="8"/>
        <v>9</v>
      </c>
      <c r="AL29" s="86">
        <f t="shared" ca="1" si="9"/>
        <v>0</v>
      </c>
      <c r="AM29" s="289"/>
      <c r="AN29" s="289"/>
      <c r="AO29" s="289"/>
      <c r="AP29" s="289"/>
      <c r="AQ29" s="14"/>
      <c r="AR29" s="145">
        <v>8</v>
      </c>
      <c r="AS29" s="142" t="s">
        <v>21</v>
      </c>
      <c r="AT29" s="142" t="s">
        <v>14</v>
      </c>
      <c r="AU29" s="142" t="s">
        <v>20</v>
      </c>
      <c r="AV29" s="142" t="s">
        <v>14</v>
      </c>
      <c r="AW29" s="142" t="s">
        <v>26</v>
      </c>
      <c r="AX29" s="142" t="s">
        <v>20</v>
      </c>
      <c r="AY29" s="142" t="s">
        <v>14</v>
      </c>
      <c r="AZ29" s="142" t="s">
        <v>19</v>
      </c>
      <c r="BA29" s="137" t="s">
        <v>96</v>
      </c>
      <c r="BB29" s="14"/>
      <c r="BC29" s="14"/>
      <c r="BD29" s="14"/>
      <c r="BE29" s="322">
        <v>1</v>
      </c>
      <c r="BF29" s="298" t="str">
        <f t="shared" ref="BF29:BF37" si="18">INDEX($AR$21:$BA$32,MATCH($BE29,$AR$21:$BA$21,0),MATCH($BF$28,$AR$21:$AR$32,0))</f>
        <v>G</v>
      </c>
      <c r="BG29" s="299" t="str">
        <f t="shared" ref="BG29:BG37" ca="1" si="19">INDEX($AR$21:$BA$32,MATCH($BE29,$AR$21:$BA$21,0),MATCH($BG$28,$AR$21:$AR$32,0))</f>
        <v>F</v>
      </c>
      <c r="BH29" s="308"/>
      <c r="BI29" s="309">
        <v>1</v>
      </c>
      <c r="BJ29" s="310">
        <v>10</v>
      </c>
      <c r="BK29" s="311">
        <v>19</v>
      </c>
      <c r="BL29" s="309">
        <v>28</v>
      </c>
      <c r="BM29" s="310">
        <v>37</v>
      </c>
      <c r="BN29" s="312">
        <v>46</v>
      </c>
      <c r="BO29" s="14"/>
      <c r="BP29" s="333">
        <v>1</v>
      </c>
      <c r="BQ29" s="329" t="s">
        <v>14</v>
      </c>
      <c r="BR29" s="324" t="s">
        <v>43</v>
      </c>
      <c r="BS29" s="325" t="s">
        <v>46</v>
      </c>
      <c r="BT29" s="325" t="s">
        <v>63</v>
      </c>
      <c r="BU29" s="326" t="s">
        <v>48</v>
      </c>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7">
        <v>32</v>
      </c>
      <c r="GC29" s="46" t="s">
        <v>20</v>
      </c>
      <c r="GD29" s="15"/>
      <c r="GE29" s="15"/>
      <c r="GR29" s="17" t="s">
        <v>63</v>
      </c>
      <c r="GS29" s="17">
        <v>1</v>
      </c>
      <c r="GU29" s="17">
        <v>16</v>
      </c>
      <c r="GV29" s="28" t="s">
        <v>23</v>
      </c>
      <c r="GX29" s="17"/>
      <c r="GY29" s="248" t="s">
        <v>4</v>
      </c>
      <c r="GZ29" s="18" t="s">
        <v>5</v>
      </c>
      <c r="HA29" s="18" t="s">
        <v>6</v>
      </c>
      <c r="HB29" s="18" t="s">
        <v>7</v>
      </c>
      <c r="HC29" s="18" t="s">
        <v>8</v>
      </c>
      <c r="HD29" s="18" t="s">
        <v>9</v>
      </c>
      <c r="HG29" s="29">
        <v>43847</v>
      </c>
      <c r="HH29" s="30" t="str">
        <f t="shared" si="4"/>
        <v>17-Jan</v>
      </c>
      <c r="HI29" s="30" t="s">
        <v>113</v>
      </c>
      <c r="HJ29" s="16" t="s">
        <v>130</v>
      </c>
      <c r="HK29" s="16" t="str">
        <f t="shared" si="3"/>
        <v>Capricorn - Earth</v>
      </c>
    </row>
    <row r="30" spans="1:219">
      <c r="A30" s="21"/>
      <c r="B30" s="19"/>
      <c r="C30" s="19">
        <v>8</v>
      </c>
      <c r="D30" s="74">
        <f t="shared" si="15"/>
        <v>38</v>
      </c>
      <c r="E30" s="19">
        <f t="shared" si="10"/>
        <v>66</v>
      </c>
      <c r="F30" s="21"/>
      <c r="G30" s="348">
        <f t="shared" si="11"/>
        <v>2</v>
      </c>
      <c r="H30" s="348">
        <f t="shared" si="12"/>
        <v>3</v>
      </c>
      <c r="J30" s="350" t="str">
        <f t="shared" si="16"/>
        <v>VG</v>
      </c>
      <c r="K30" s="350" t="str">
        <f t="shared" ca="1" si="13"/>
        <v>A</v>
      </c>
      <c r="L30" s="350" t="str">
        <f t="shared" si="17"/>
        <v>G</v>
      </c>
      <c r="M30" s="350" t="str">
        <f t="shared" ca="1" si="14"/>
        <v>G</v>
      </c>
      <c r="S30" s="21"/>
      <c r="T30" s="21"/>
      <c r="U30" s="21"/>
      <c r="V30" s="21"/>
      <c r="W30" s="21"/>
      <c r="X30" s="22"/>
      <c r="Y30" s="21"/>
      <c r="Z30" s="21"/>
      <c r="AA30" s="21"/>
      <c r="AB30" s="50"/>
      <c r="AC30" s="21"/>
      <c r="AD30" s="21"/>
      <c r="AE30" s="50"/>
      <c r="AF30" s="50"/>
      <c r="AG30" s="50"/>
      <c r="AH30" s="50"/>
      <c r="AI30" s="21"/>
      <c r="AJ30" s="21"/>
      <c r="AK30" s="50"/>
      <c r="AL30" s="50"/>
      <c r="AM30" s="289"/>
      <c r="AN30" s="289"/>
      <c r="AO30" s="289"/>
      <c r="AP30" s="289"/>
      <c r="AQ30" s="14"/>
      <c r="AR30" s="145">
        <v>9</v>
      </c>
      <c r="AS30" s="142" t="s">
        <v>14</v>
      </c>
      <c r="AT30" s="142" t="s">
        <v>14</v>
      </c>
      <c r="AU30" s="142" t="s">
        <v>20</v>
      </c>
      <c r="AV30" s="137" t="s">
        <v>96</v>
      </c>
      <c r="AW30" s="142" t="s">
        <v>21</v>
      </c>
      <c r="AX30" s="142" t="s">
        <v>20</v>
      </c>
      <c r="AY30" s="142" t="s">
        <v>14</v>
      </c>
      <c r="AZ30" s="137" t="s">
        <v>96</v>
      </c>
      <c r="BA30" s="142" t="s">
        <v>19</v>
      </c>
      <c r="BB30" s="14"/>
      <c r="BC30" s="14"/>
      <c r="BD30" s="14"/>
      <c r="BE30" s="322">
        <v>2</v>
      </c>
      <c r="BF30" s="300" t="str">
        <f t="shared" si="18"/>
        <v>VG</v>
      </c>
      <c r="BG30" s="301" t="str">
        <f t="shared" ca="1" si="19"/>
        <v>A</v>
      </c>
      <c r="BH30" s="296"/>
      <c r="BI30" s="139">
        <v>2</v>
      </c>
      <c r="BJ30" s="139">
        <v>11</v>
      </c>
      <c r="BK30" s="142">
        <v>20</v>
      </c>
      <c r="BL30" s="139">
        <v>29</v>
      </c>
      <c r="BM30" s="141">
        <v>38</v>
      </c>
      <c r="BN30" s="313">
        <v>47</v>
      </c>
      <c r="BO30" s="14"/>
      <c r="BP30" s="334">
        <v>2</v>
      </c>
      <c r="BQ30" s="330" t="s">
        <v>22</v>
      </c>
      <c r="BR30" s="142" t="s">
        <v>50</v>
      </c>
      <c r="BS30" s="142" t="s">
        <v>59</v>
      </c>
      <c r="BT30" s="142"/>
      <c r="BU30" s="327"/>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7">
        <v>33</v>
      </c>
      <c r="GC30" s="46" t="s">
        <v>20</v>
      </c>
      <c r="GD30" s="15"/>
      <c r="GE30" s="15"/>
      <c r="GR30" s="17" t="s">
        <v>59</v>
      </c>
      <c r="GS30" s="17">
        <v>2</v>
      </c>
      <c r="GU30" s="17">
        <v>17</v>
      </c>
      <c r="GV30" s="46" t="s">
        <v>33</v>
      </c>
      <c r="GX30" s="17"/>
      <c r="GY30" s="248" t="s">
        <v>4</v>
      </c>
      <c r="GZ30" s="18" t="s">
        <v>5</v>
      </c>
      <c r="HA30" s="18" t="s">
        <v>6</v>
      </c>
      <c r="HB30" s="18" t="s">
        <v>7</v>
      </c>
      <c r="HC30" s="18" t="s">
        <v>8</v>
      </c>
      <c r="HD30" s="18" t="s">
        <v>9</v>
      </c>
      <c r="HG30" s="29">
        <v>43848</v>
      </c>
      <c r="HH30" s="30" t="str">
        <f t="shared" ref="HH30:HH77" si="20">TEXT(HG30,"DD-MMM")</f>
        <v>18-Jan</v>
      </c>
      <c r="HI30" s="30" t="s">
        <v>113</v>
      </c>
      <c r="HJ30" s="16" t="s">
        <v>130</v>
      </c>
      <c r="HK30" s="16" t="str">
        <f t="shared" ref="HK30:HK76" si="21">HI30&amp;" - "&amp;HJ30</f>
        <v>Capricorn - Earth</v>
      </c>
    </row>
    <row r="31" spans="1:219">
      <c r="A31" s="21"/>
      <c r="B31" s="19"/>
      <c r="C31" s="19">
        <v>9</v>
      </c>
      <c r="D31" s="74">
        <f t="shared" si="15"/>
        <v>38</v>
      </c>
      <c r="E31" s="19">
        <f t="shared" si="10"/>
        <v>68</v>
      </c>
      <c r="F31" s="21"/>
      <c r="G31" s="348">
        <f t="shared" si="11"/>
        <v>2</v>
      </c>
      <c r="H31" s="348">
        <f t="shared" si="12"/>
        <v>5</v>
      </c>
      <c r="J31" s="350" t="str">
        <f t="shared" si="16"/>
        <v>VG</v>
      </c>
      <c r="K31" s="350" t="str">
        <f t="shared" ca="1" si="13"/>
        <v>A</v>
      </c>
      <c r="L31" s="350" t="str">
        <f t="shared" si="17"/>
        <v>G</v>
      </c>
      <c r="M31" s="350" t="str">
        <f t="shared" ca="1" si="14"/>
        <v>VG</v>
      </c>
      <c r="S31" s="21"/>
      <c r="T31" s="21"/>
      <c r="U31" s="21"/>
      <c r="V31" s="21"/>
      <c r="W31" s="21"/>
      <c r="X31" s="22"/>
      <c r="Y31" s="21"/>
      <c r="Z31" s="21"/>
      <c r="AA31" s="21"/>
      <c r="AB31" s="50"/>
      <c r="AC31" s="21"/>
      <c r="AD31" s="21"/>
      <c r="AE31" s="50"/>
      <c r="AF31" s="50"/>
      <c r="AG31" s="50"/>
      <c r="AH31" s="50"/>
      <c r="AI31" s="21"/>
      <c r="AJ31" s="21"/>
      <c r="AK31" s="50"/>
      <c r="AL31" s="50"/>
      <c r="AM31" s="289"/>
      <c r="AN31" s="289"/>
      <c r="AO31" s="289"/>
      <c r="AP31" s="289"/>
      <c r="AQ31" s="14"/>
      <c r="AR31" s="145"/>
      <c r="AS31" s="142"/>
      <c r="AT31" s="142"/>
      <c r="AU31" s="142"/>
      <c r="AV31" s="142"/>
      <c r="AW31" s="142"/>
      <c r="AX31" s="142"/>
      <c r="AY31" s="142"/>
      <c r="AZ31" s="142"/>
      <c r="BA31" s="137"/>
      <c r="BB31" s="14"/>
      <c r="BC31" s="14"/>
      <c r="BD31" s="14"/>
      <c r="BE31" s="322">
        <v>3</v>
      </c>
      <c r="BF31" s="300" t="str">
        <f t="shared" si="18"/>
        <v>G</v>
      </c>
      <c r="BG31" s="301" t="str">
        <f t="shared" ca="1" si="19"/>
        <v>G</v>
      </c>
      <c r="BH31" s="297"/>
      <c r="BI31" s="139">
        <v>3</v>
      </c>
      <c r="BJ31" s="140">
        <v>12</v>
      </c>
      <c r="BK31" s="143">
        <v>21</v>
      </c>
      <c r="BL31" s="143">
        <v>30</v>
      </c>
      <c r="BM31" s="141">
        <v>39</v>
      </c>
      <c r="BN31" s="314">
        <v>48</v>
      </c>
      <c r="BO31" s="14"/>
      <c r="BP31" s="334">
        <v>3</v>
      </c>
      <c r="BQ31" s="330" t="s">
        <v>27</v>
      </c>
      <c r="BR31" s="142" t="s">
        <v>20</v>
      </c>
      <c r="BS31" s="142" t="s">
        <v>53</v>
      </c>
      <c r="BT31" s="142" t="s">
        <v>64</v>
      </c>
      <c r="BU31" s="327"/>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7">
        <v>34</v>
      </c>
      <c r="GC31" s="28" t="s">
        <v>64</v>
      </c>
      <c r="GD31" s="15"/>
      <c r="GE31" s="15"/>
      <c r="GR31" s="17" t="s">
        <v>64</v>
      </c>
      <c r="GS31" s="17">
        <v>3</v>
      </c>
      <c r="GU31" s="17">
        <v>18</v>
      </c>
      <c r="GV31" s="28" t="s">
        <v>23</v>
      </c>
      <c r="GX31" s="17"/>
      <c r="GY31" s="17"/>
      <c r="GZ31" s="28">
        <v>1</v>
      </c>
      <c r="HA31" s="28">
        <v>5</v>
      </c>
      <c r="HB31" s="28">
        <v>1</v>
      </c>
      <c r="HC31" s="28">
        <v>7</v>
      </c>
      <c r="HD31" s="28">
        <v>6</v>
      </c>
      <c r="HG31" s="29">
        <v>43849</v>
      </c>
      <c r="HH31" s="30" t="str">
        <f t="shared" si="20"/>
        <v>19-Jan</v>
      </c>
      <c r="HI31" s="30" t="s">
        <v>113</v>
      </c>
      <c r="HJ31" s="16" t="s">
        <v>130</v>
      </c>
      <c r="HK31" s="16" t="str">
        <f t="shared" si="21"/>
        <v>Capricorn - Earth</v>
      </c>
    </row>
    <row r="32" spans="1:219">
      <c r="A32" s="21"/>
      <c r="B32" s="19"/>
      <c r="C32" s="19">
        <v>10</v>
      </c>
      <c r="D32" s="74">
        <f t="shared" si="15"/>
        <v>38</v>
      </c>
      <c r="E32" s="19">
        <f t="shared" si="10"/>
        <v>69</v>
      </c>
      <c r="F32" s="21"/>
      <c r="G32" s="348">
        <f t="shared" si="11"/>
        <v>2</v>
      </c>
      <c r="H32" s="348">
        <f t="shared" si="12"/>
        <v>6</v>
      </c>
      <c r="J32" s="350" t="str">
        <f t="shared" si="16"/>
        <v>VG</v>
      </c>
      <c r="K32" s="350" t="str">
        <f t="shared" ca="1" si="13"/>
        <v>A</v>
      </c>
      <c r="L32" s="350" t="str">
        <f t="shared" si="17"/>
        <v>G</v>
      </c>
      <c r="M32" s="350" t="str">
        <f t="shared" ca="1" si="14"/>
        <v>G</v>
      </c>
      <c r="S32" s="21"/>
      <c r="T32" s="21"/>
      <c r="U32" s="21"/>
      <c r="V32" s="21"/>
      <c r="W32" s="21"/>
      <c r="X32" s="22"/>
      <c r="Y32" s="21"/>
      <c r="Z32" s="21"/>
      <c r="AA32" s="21"/>
      <c r="AB32" s="50"/>
      <c r="AC32" s="21"/>
      <c r="AD32" s="21"/>
      <c r="AE32" s="50"/>
      <c r="AF32" s="50"/>
      <c r="AG32" s="50"/>
      <c r="AH32" s="50"/>
      <c r="AI32" s="21"/>
      <c r="AJ32" s="21"/>
      <c r="AK32" s="50"/>
      <c r="AL32" s="50"/>
      <c r="AM32" s="289"/>
      <c r="AN32" s="289"/>
      <c r="AO32" s="289"/>
      <c r="AP32" s="289"/>
      <c r="AQ32" s="14"/>
      <c r="AR32" s="145"/>
      <c r="AS32" s="142"/>
      <c r="AT32" s="142"/>
      <c r="AU32" s="142"/>
      <c r="AV32" s="142"/>
      <c r="AW32" s="142"/>
      <c r="AX32" s="142"/>
      <c r="AY32" s="142"/>
      <c r="AZ32" s="142"/>
      <c r="BA32" s="137"/>
      <c r="BB32" s="14"/>
      <c r="BC32" s="14"/>
      <c r="BD32" s="14"/>
      <c r="BE32" s="322">
        <v>4</v>
      </c>
      <c r="BF32" s="300" t="str">
        <f t="shared" si="18"/>
        <v>G</v>
      </c>
      <c r="BG32" s="301" t="str">
        <f t="shared" ca="1" si="19"/>
        <v>A</v>
      </c>
      <c r="BH32" s="296"/>
      <c r="BI32" s="139">
        <v>4</v>
      </c>
      <c r="BJ32" s="140">
        <v>13</v>
      </c>
      <c r="BK32" s="139">
        <v>22</v>
      </c>
      <c r="BL32" s="139">
        <v>31</v>
      </c>
      <c r="BM32" s="139">
        <v>40</v>
      </c>
      <c r="BN32" s="315">
        <v>49</v>
      </c>
      <c r="BO32" s="14"/>
      <c r="BP32" s="334">
        <v>4</v>
      </c>
      <c r="BQ32" s="330" t="s">
        <v>29</v>
      </c>
      <c r="BR32" s="142" t="s">
        <v>47</v>
      </c>
      <c r="BS32" s="142" t="s">
        <v>60</v>
      </c>
      <c r="BT32" s="142"/>
      <c r="BU32" s="327"/>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7">
        <v>36</v>
      </c>
      <c r="GC32" s="46" t="s">
        <v>20</v>
      </c>
      <c r="GD32" s="15"/>
      <c r="GE32" s="15"/>
      <c r="GR32" s="17" t="s">
        <v>60</v>
      </c>
      <c r="GS32" s="17">
        <v>4</v>
      </c>
      <c r="GU32" s="17">
        <v>19</v>
      </c>
      <c r="GV32" s="28" t="s">
        <v>67</v>
      </c>
      <c r="GX32" s="17"/>
      <c r="GY32" s="17"/>
      <c r="GZ32" s="28"/>
      <c r="HA32" s="28"/>
      <c r="HB32" s="28"/>
      <c r="HC32" s="28"/>
      <c r="HD32" s="28"/>
      <c r="HG32" s="29">
        <v>43850</v>
      </c>
      <c r="HH32" s="30" t="str">
        <f t="shared" si="20"/>
        <v>20-Jan</v>
      </c>
      <c r="HI32" s="30" t="s">
        <v>114</v>
      </c>
      <c r="HJ32" s="16" t="s">
        <v>132</v>
      </c>
      <c r="HK32" s="16" t="str">
        <f t="shared" si="21"/>
        <v>Aquarius - Air</v>
      </c>
    </row>
    <row r="33" spans="1:219" ht="15" thickBot="1">
      <c r="AB33" s="705" t="s">
        <v>100</v>
      </c>
      <c r="AC33" s="698"/>
      <c r="AD33" s="706"/>
      <c r="AI33" s="21">
        <f t="shared" ref="AI33:AI38" si="22">IF(LEN(AA35)&gt;1,LEFT(AA35,1)+RIGHT(AA35,1),AA35)</f>
        <v>7</v>
      </c>
      <c r="AR33" s="19"/>
      <c r="AS33" s="19"/>
      <c r="AT33" s="19"/>
      <c r="AU33" s="19"/>
      <c r="AV33" s="19"/>
      <c r="AW33" s="19"/>
      <c r="AX33" s="19"/>
      <c r="AY33" s="19"/>
      <c r="AZ33" s="19"/>
      <c r="BA33" s="19"/>
      <c r="BE33" s="322">
        <v>5</v>
      </c>
      <c r="BF33" s="300" t="str">
        <f t="shared" si="18"/>
        <v>G</v>
      </c>
      <c r="BG33" s="301" t="str">
        <f t="shared" ca="1" si="19"/>
        <v>VG</v>
      </c>
      <c r="BH33" s="296"/>
      <c r="BI33" s="140">
        <v>5</v>
      </c>
      <c r="BJ33" s="140">
        <v>14</v>
      </c>
      <c r="BK33" s="141">
        <v>23</v>
      </c>
      <c r="BL33" s="142">
        <v>32</v>
      </c>
      <c r="BM33" s="140">
        <v>41</v>
      </c>
      <c r="BN33" s="313">
        <v>50</v>
      </c>
      <c r="BO33" s="14"/>
      <c r="BP33" s="334">
        <v>5</v>
      </c>
      <c r="BQ33" s="331" t="s">
        <v>19</v>
      </c>
      <c r="BR33" s="142" t="s">
        <v>41</v>
      </c>
      <c r="BS33" s="142" t="s">
        <v>61</v>
      </c>
      <c r="BT33" s="142" t="s">
        <v>23</v>
      </c>
      <c r="BU33" s="327"/>
      <c r="GB33" s="17">
        <v>37</v>
      </c>
      <c r="GC33" s="46" t="s">
        <v>20</v>
      </c>
      <c r="GR33" s="17" t="s">
        <v>51</v>
      </c>
      <c r="GS33" s="17">
        <v>6</v>
      </c>
      <c r="GU33" s="17">
        <v>20</v>
      </c>
      <c r="GV33" s="46" t="s">
        <v>33</v>
      </c>
      <c r="GX33" s="17" t="s">
        <v>28</v>
      </c>
      <c r="GY33" s="17">
        <f>(GZ33*GZ34)+(HA33*HA34)+(HB33*HB34)+(HC33*HC34)+(HD33*HD34)</f>
        <v>2</v>
      </c>
      <c r="GZ33" s="39">
        <f>IFERROR((HLOOKUP(GZ30,C35:T36,2,0)),0)</f>
        <v>0</v>
      </c>
      <c r="HA33" s="39">
        <f>IFERROR((HLOOKUP(HA30,C35:T36,2,0)),0)</f>
        <v>0</v>
      </c>
      <c r="HB33" s="39">
        <f>IFERROR((HLOOKUP(HB30,C35:T36,2,0)),0)</f>
        <v>1</v>
      </c>
      <c r="HC33" s="39">
        <f>IFERROR((HLOOKUP(HC30,C35:T36,2,0)),0)</f>
        <v>0</v>
      </c>
      <c r="HD33" s="39">
        <f>IFERROR((HLOOKUP(HD30,C35:T36,2,0)),0)</f>
        <v>0</v>
      </c>
      <c r="HG33" s="29">
        <v>43851</v>
      </c>
      <c r="HH33" s="30" t="str">
        <f t="shared" si="20"/>
        <v>21-Jan</v>
      </c>
      <c r="HI33" s="30" t="s">
        <v>114</v>
      </c>
      <c r="HJ33" s="16" t="s">
        <v>132</v>
      </c>
      <c r="HK33" s="16" t="str">
        <f t="shared" si="21"/>
        <v>Aquarius - Air</v>
      </c>
    </row>
    <row r="34" spans="1:219">
      <c r="A34" s="698" t="s">
        <v>65</v>
      </c>
      <c r="B34" s="698"/>
      <c r="C34" s="62"/>
      <c r="D34" s="62"/>
      <c r="E34" s="62"/>
      <c r="F34" s="62"/>
      <c r="G34" s="62"/>
      <c r="H34" s="62"/>
      <c r="I34" s="62"/>
      <c r="J34" s="62"/>
      <c r="K34" s="62"/>
      <c r="L34" s="62"/>
      <c r="M34" s="62"/>
      <c r="N34" s="62"/>
      <c r="O34" s="62"/>
      <c r="P34" s="62"/>
      <c r="Q34" s="62"/>
      <c r="R34" s="62"/>
      <c r="S34" s="62"/>
      <c r="T34" s="62"/>
      <c r="U34" s="27"/>
      <c r="V34" s="27"/>
      <c r="Y34" s="120" t="s">
        <v>66</v>
      </c>
      <c r="Z34" s="108"/>
      <c r="AA34" s="109"/>
      <c r="AB34" s="246" t="s">
        <v>12</v>
      </c>
      <c r="AC34" s="246" t="s">
        <v>13</v>
      </c>
      <c r="AD34" s="47"/>
      <c r="AI34" s="21">
        <f t="shared" ca="1" si="22"/>
        <v>8</v>
      </c>
      <c r="BE34" s="322">
        <v>6</v>
      </c>
      <c r="BF34" s="300" t="str">
        <f t="shared" si="18"/>
        <v>G</v>
      </c>
      <c r="BG34" s="301" t="str">
        <f t="shared" ca="1" si="19"/>
        <v>G</v>
      </c>
      <c r="BH34" s="296"/>
      <c r="BI34" s="140">
        <v>6</v>
      </c>
      <c r="BJ34" s="140">
        <v>15</v>
      </c>
      <c r="BK34" s="141">
        <v>24</v>
      </c>
      <c r="BL34" s="140">
        <v>33</v>
      </c>
      <c r="BM34" s="140">
        <v>42</v>
      </c>
      <c r="BN34" s="313">
        <v>51</v>
      </c>
      <c r="BO34" s="246"/>
      <c r="BP34" s="334">
        <v>6</v>
      </c>
      <c r="BQ34" s="331" t="s">
        <v>51</v>
      </c>
      <c r="BR34" s="142" t="s">
        <v>56</v>
      </c>
      <c r="BS34" s="142" t="s">
        <v>62</v>
      </c>
      <c r="BT34" s="142"/>
      <c r="BU34" s="327"/>
      <c r="GB34" s="17">
        <v>38</v>
      </c>
      <c r="GC34" s="28" t="s">
        <v>64</v>
      </c>
      <c r="GR34" s="17" t="s">
        <v>56</v>
      </c>
      <c r="GS34" s="17">
        <v>6</v>
      </c>
      <c r="GU34" s="17">
        <v>21</v>
      </c>
      <c r="GV34" s="28" t="s">
        <v>67</v>
      </c>
      <c r="GX34" s="17"/>
      <c r="GY34" s="17"/>
      <c r="GZ34" s="28">
        <f>COUNTIFS(C35:T35,GZ30)</f>
        <v>0</v>
      </c>
      <c r="HA34" s="28">
        <f>COUNTIFS(C35:T35,HA30)</f>
        <v>0</v>
      </c>
      <c r="HB34" s="28">
        <f>COUNTIFS(C35:T35,HB30)</f>
        <v>2</v>
      </c>
      <c r="HC34" s="28">
        <f>COUNTIFS(C35:T35,HC30)</f>
        <v>0</v>
      </c>
      <c r="HD34" s="28">
        <f>COUNTIFS(C35:T35,HD30)</f>
        <v>0</v>
      </c>
      <c r="HG34" s="29">
        <v>43852</v>
      </c>
      <c r="HH34" s="30" t="str">
        <f t="shared" si="20"/>
        <v>22-Jan</v>
      </c>
      <c r="HI34" s="30" t="s">
        <v>114</v>
      </c>
      <c r="HJ34" s="16" t="s">
        <v>132</v>
      </c>
      <c r="HK34" s="16" t="str">
        <f t="shared" si="21"/>
        <v>Aquarius - Air</v>
      </c>
    </row>
    <row r="35" spans="1:219">
      <c r="A35" s="49" t="s">
        <v>17</v>
      </c>
      <c r="B35" s="32" t="s">
        <v>196</v>
      </c>
      <c r="C35" s="33" t="str">
        <f>MID($B35,COLUMNS($B$13:B$13),1)</f>
        <v>K</v>
      </c>
      <c r="D35" s="33" t="str">
        <f>MID($B35,COLUMNS($B$13:C$13),1)</f>
        <v>r</v>
      </c>
      <c r="E35" s="33" t="str">
        <f>MID($B35,COLUMNS($B$13:D$13),1)</f>
        <v>i</v>
      </c>
      <c r="F35" s="33" t="str">
        <f>MID($B35,COLUMNS($B$13:E$13),1)</f>
        <v>i</v>
      </c>
      <c r="G35" s="33" t="str">
        <f>MID($B35,COLUMNS($B$13:F$13),1)</f>
        <v>s</v>
      </c>
      <c r="H35" s="33" t="str">
        <f>MID($B35,COLUMNS($B$13:G$13),1)</f>
        <v>h</v>
      </c>
      <c r="I35" s="33" t="str">
        <f>MID($B35,COLUMNS($B$13:H$13),1)</f>
        <v>h</v>
      </c>
      <c r="J35" s="33" t="str">
        <f>MID($B35,COLUMNS($B$13:I$13),1)</f>
        <v/>
      </c>
      <c r="K35" s="33" t="str">
        <f>MID($B35,COLUMNS($B$13:J$13),1)</f>
        <v/>
      </c>
      <c r="L35" s="33" t="str">
        <f>MID($B35,COLUMNS($B$13:K$13),1)</f>
        <v/>
      </c>
      <c r="M35" s="33" t="str">
        <f>MID($B35,COLUMNS($B$13:L$13),1)</f>
        <v/>
      </c>
      <c r="N35" s="33" t="str">
        <f>MID($B35,COLUMNS($B$13:M$13),1)</f>
        <v/>
      </c>
      <c r="O35" s="33" t="str">
        <f>MID($B35,COLUMNS($B$13:N$13),1)</f>
        <v/>
      </c>
      <c r="P35" s="33" t="str">
        <f>MID($B35,COLUMNS($B$13:O$13),1)</f>
        <v/>
      </c>
      <c r="Q35" s="33" t="str">
        <f>MID($B35,COLUMNS($B$13:P$13),1)</f>
        <v/>
      </c>
      <c r="R35" s="33" t="str">
        <f>MID($B35,COLUMNS($B$13:Q$13),1)</f>
        <v/>
      </c>
      <c r="S35" s="33" t="str">
        <f>MID($B35,COLUMNS($B$13:R$13),1)</f>
        <v/>
      </c>
      <c r="T35" s="33" t="str">
        <f>MID($B35,COLUMNS($B$13:S$13),1)</f>
        <v/>
      </c>
      <c r="U35" s="42"/>
      <c r="V35" s="42"/>
      <c r="Y35" s="110" t="s">
        <v>18</v>
      </c>
      <c r="Z35" s="249">
        <f>C$5</f>
        <v>7</v>
      </c>
      <c r="AA35" s="111">
        <f>C6</f>
        <v>7</v>
      </c>
      <c r="AB35" s="41">
        <f ca="1">IF(D10&lt;=35,"Active",0)</f>
        <v>0</v>
      </c>
      <c r="AC35" s="246" t="str">
        <f ca="1">IF(D10&gt;35,"Active",0)</f>
        <v>Active</v>
      </c>
      <c r="AD35" s="36"/>
      <c r="AI35" s="21">
        <f t="shared" si="22"/>
        <v>1</v>
      </c>
      <c r="AS35" s="694" t="s">
        <v>150</v>
      </c>
      <c r="AT35" s="694"/>
      <c r="AU35" s="694"/>
      <c r="AV35" s="694"/>
      <c r="AW35" s="694"/>
      <c r="AX35" s="694"/>
      <c r="AY35" s="694"/>
      <c r="AZ35" s="694"/>
      <c r="BA35" s="694"/>
      <c r="BE35" s="322">
        <v>7</v>
      </c>
      <c r="BF35" s="300" t="str">
        <f t="shared" si="18"/>
        <v>E</v>
      </c>
      <c r="BG35" s="301" t="str">
        <f t="shared" ca="1" si="19"/>
        <v>A</v>
      </c>
      <c r="BH35" s="297"/>
      <c r="BI35" s="139">
        <v>7</v>
      </c>
      <c r="BJ35" s="139">
        <v>16</v>
      </c>
      <c r="BK35" s="142">
        <v>25</v>
      </c>
      <c r="BL35" s="141">
        <v>34</v>
      </c>
      <c r="BM35" s="140">
        <v>43</v>
      </c>
      <c r="BN35" s="315">
        <v>52</v>
      </c>
      <c r="BO35" s="14"/>
      <c r="BP35" s="334">
        <v>7</v>
      </c>
      <c r="BQ35" s="331" t="s">
        <v>52</v>
      </c>
      <c r="BR35" s="142" t="s">
        <v>57</v>
      </c>
      <c r="BS35" s="142"/>
      <c r="BT35" s="142"/>
      <c r="BU35" s="327"/>
      <c r="GB35" s="17">
        <v>39</v>
      </c>
      <c r="GC35" s="28" t="s">
        <v>64</v>
      </c>
      <c r="GR35" s="17" t="s">
        <v>62</v>
      </c>
      <c r="GS35" s="17">
        <v>6</v>
      </c>
      <c r="GU35" s="17">
        <v>22</v>
      </c>
      <c r="GV35" s="28" t="s">
        <v>23</v>
      </c>
      <c r="GX35" s="17"/>
      <c r="GY35" s="17"/>
      <c r="GZ35" s="28"/>
      <c r="HA35" s="28"/>
      <c r="HB35" s="28"/>
      <c r="HC35" s="28"/>
      <c r="HD35" s="28"/>
      <c r="HG35" s="29">
        <v>43853</v>
      </c>
      <c r="HH35" s="30" t="str">
        <f t="shared" si="20"/>
        <v>23-Jan</v>
      </c>
      <c r="HI35" s="30" t="s">
        <v>114</v>
      </c>
      <c r="HJ35" s="16" t="s">
        <v>132</v>
      </c>
      <c r="HK35" s="16" t="str">
        <f t="shared" si="21"/>
        <v>Aquarius - Air</v>
      </c>
    </row>
    <row r="36" spans="1:219" ht="15" thickBot="1">
      <c r="B36" s="21"/>
      <c r="C36" s="42">
        <f>IFERROR(VLOOKUP(C35,GR:GS,2,0),0)</f>
        <v>2</v>
      </c>
      <c r="D36" s="42">
        <f>IFERROR(VLOOKUP(D35,GR:GS,2,0),0)</f>
        <v>2</v>
      </c>
      <c r="E36" s="42">
        <f>IFERROR(VLOOKUP(E35,GR:GS,2,0),0)</f>
        <v>1</v>
      </c>
      <c r="F36" s="42">
        <f>IFERROR(VLOOKUP(F35,GR:GS,2,0),0)</f>
        <v>1</v>
      </c>
      <c r="G36" s="42">
        <f>IFERROR(VLOOKUP(G35,GR:GS,2,0),0)</f>
        <v>3</v>
      </c>
      <c r="H36" s="42">
        <f>IFERROR(VLOOKUP(H35,GR:GS,2,0),0)</f>
        <v>5</v>
      </c>
      <c r="I36" s="42">
        <f>IFERROR(VLOOKUP(I35,GR:GS,2,0),0)</f>
        <v>5</v>
      </c>
      <c r="J36" s="42">
        <f>IFERROR(VLOOKUP(J35,GR:GS,2,0),0)</f>
        <v>0</v>
      </c>
      <c r="K36" s="42">
        <f>IFERROR(VLOOKUP(K35,GR:GS,2,0),0)</f>
        <v>0</v>
      </c>
      <c r="L36" s="42">
        <f>IFERROR(VLOOKUP(L35,GR:GS,2,0),0)</f>
        <v>0</v>
      </c>
      <c r="M36" s="42">
        <f>IFERROR(VLOOKUP(M35,GR:GS,2,0),0)</f>
        <v>0</v>
      </c>
      <c r="N36" s="42">
        <f>IFERROR(VLOOKUP(N35,GR:GS,2,0),0)</f>
        <v>0</v>
      </c>
      <c r="O36" s="42">
        <f>IFERROR(VLOOKUP(O35,GR:GS,2,0),0)</f>
        <v>0</v>
      </c>
      <c r="P36" s="42">
        <f>IFERROR(VLOOKUP(P35,GR:GS,2,0),0)</f>
        <v>0</v>
      </c>
      <c r="Q36" s="42">
        <f>IFERROR(VLOOKUP(Q35,GR:GS,2,0),0)</f>
        <v>0</v>
      </c>
      <c r="R36" s="42">
        <f>IFERROR(VLOOKUP(R35,GR:GS,2,0),0)</f>
        <v>0</v>
      </c>
      <c r="S36" s="42">
        <f>IFERROR(VLOOKUP(S35,GR:GS,2,0),0)</f>
        <v>0</v>
      </c>
      <c r="T36" s="42">
        <f>IFERROR(VLOOKUP(T35,GR:GS,2,0),0)</f>
        <v>0</v>
      </c>
      <c r="U36" s="63">
        <f>SUM(C36:T36)</f>
        <v>19</v>
      </c>
      <c r="V36" s="64">
        <f>IF(U36&lt;10,U36,((LEFT(U36,1))+(RIGHT(U36,1))))</f>
        <v>10</v>
      </c>
      <c r="W36" s="65" t="s">
        <v>24</v>
      </c>
      <c r="X36" s="22" t="str">
        <f>IF(U36&gt;52,VLOOKUP(V36,GU:GV,2,0),VLOOKUP(U36,GU:GV,2,0))</f>
        <v>*</v>
      </c>
      <c r="Y36" s="110" t="s">
        <v>25</v>
      </c>
      <c r="Z36" s="249">
        <f ca="1">I$5+F$5+C$5</f>
        <v>17</v>
      </c>
      <c r="AA36" s="111">
        <f ca="1">C7</f>
        <v>8</v>
      </c>
      <c r="AB36" s="249"/>
      <c r="AC36" s="249"/>
      <c r="AD36" s="36"/>
      <c r="AI36" s="21">
        <f t="shared" si="22"/>
        <v>6</v>
      </c>
      <c r="AS36" s="138">
        <v>1</v>
      </c>
      <c r="AT36" s="138">
        <v>2</v>
      </c>
      <c r="AU36" s="138">
        <v>3</v>
      </c>
      <c r="AV36" s="146">
        <v>4</v>
      </c>
      <c r="AW36" s="138">
        <v>5</v>
      </c>
      <c r="AX36" s="138">
        <v>6</v>
      </c>
      <c r="AY36" s="138">
        <v>7</v>
      </c>
      <c r="AZ36" s="146">
        <v>8</v>
      </c>
      <c r="BA36" s="138">
        <v>9</v>
      </c>
      <c r="BE36" s="322">
        <v>8</v>
      </c>
      <c r="BF36" s="300" t="str">
        <f t="shared" si="18"/>
        <v>A</v>
      </c>
      <c r="BG36" s="301" t="str">
        <f t="shared" ca="1" si="19"/>
        <v>E</v>
      </c>
      <c r="BH36" s="296"/>
      <c r="BI36" s="139">
        <v>8</v>
      </c>
      <c r="BJ36" s="140">
        <v>17</v>
      </c>
      <c r="BK36" s="139">
        <v>26</v>
      </c>
      <c r="BL36" s="139">
        <v>35</v>
      </c>
      <c r="BM36" s="139">
        <v>44</v>
      </c>
      <c r="BN36" s="315"/>
      <c r="BO36" s="14"/>
      <c r="BP36" s="335">
        <v>8</v>
      </c>
      <c r="BQ36" s="332" t="s">
        <v>21</v>
      </c>
      <c r="BR36" s="318" t="s">
        <v>58</v>
      </c>
      <c r="BS36" s="318"/>
      <c r="BT36" s="318"/>
      <c r="BU36" s="328"/>
      <c r="GB36" s="17">
        <v>41</v>
      </c>
      <c r="GC36" s="46" t="s">
        <v>20</v>
      </c>
      <c r="GR36" s="17" t="s">
        <v>23</v>
      </c>
      <c r="GS36" s="17">
        <v>5</v>
      </c>
      <c r="GU36" s="17">
        <v>23</v>
      </c>
      <c r="GV36" s="28" t="s">
        <v>67</v>
      </c>
      <c r="GX36" s="16" t="s">
        <v>34</v>
      </c>
      <c r="GY36" s="17">
        <f>(GZ36*GZ37)+(HA36*HA37)+(HB36*HB37)+(HC36*HC37)+(HD36*HD37)</f>
        <v>0</v>
      </c>
      <c r="GZ36" s="39">
        <f>IFERROR((HLOOKUP(GZ30,C37:T38,2,0)),0)</f>
        <v>0</v>
      </c>
      <c r="HA36" s="39">
        <f>IFERROR((HLOOKUP(HA30,C37:T38,2,0)),0)</f>
        <v>0</v>
      </c>
      <c r="HB36" s="39">
        <f>IFERROR((HLOOKUP(HB30,C37:T38,2,0)),0)</f>
        <v>0</v>
      </c>
      <c r="HC36" s="39">
        <f>IFERROR((HLOOKUP(HC30,C37:T38,2,0)),0)</f>
        <v>0</v>
      </c>
      <c r="HD36" s="39">
        <f>IFERROR((HLOOKUP(HD30,C37:T38,2,0)),0)</f>
        <v>0</v>
      </c>
      <c r="HG36" s="29">
        <v>43854</v>
      </c>
      <c r="HH36" s="30" t="str">
        <f t="shared" si="20"/>
        <v>24-Jan</v>
      </c>
      <c r="HI36" s="30" t="s">
        <v>114</v>
      </c>
      <c r="HJ36" s="16" t="s">
        <v>132</v>
      </c>
      <c r="HK36" s="16" t="str">
        <f t="shared" si="21"/>
        <v>Aquarius - Air</v>
      </c>
    </row>
    <row r="37" spans="1:219" ht="15" thickBot="1">
      <c r="A37" s="49" t="s">
        <v>30</v>
      </c>
      <c r="B37" s="32" t="s">
        <v>27</v>
      </c>
      <c r="C37" s="33" t="str">
        <f>MID($B37,COLUMNS($B$13:B$13),1)</f>
        <v>C</v>
      </c>
      <c r="D37" s="33" t="str">
        <f>MID($B37,COLUMNS($B$13:C$13),1)</f>
        <v/>
      </c>
      <c r="E37" s="33" t="str">
        <f>MID($B37,COLUMNS($B$13:D$13),1)</f>
        <v/>
      </c>
      <c r="F37" s="33" t="str">
        <f>MID($B37,COLUMNS($B$13:E$13),1)</f>
        <v/>
      </c>
      <c r="G37" s="33" t="str">
        <f>MID($B37,COLUMNS($B$13:F$13),1)</f>
        <v/>
      </c>
      <c r="H37" s="33" t="str">
        <f>MID($B37,COLUMNS($B$13:G$13),1)</f>
        <v/>
      </c>
      <c r="I37" s="33" t="str">
        <f>MID($B37,COLUMNS($B$13:H$13),1)</f>
        <v/>
      </c>
      <c r="J37" s="33" t="str">
        <f>MID($B37,COLUMNS($B$13:I$13),1)</f>
        <v/>
      </c>
      <c r="K37" s="33" t="str">
        <f>MID($B37,COLUMNS($B$13:J$13),1)</f>
        <v/>
      </c>
      <c r="L37" s="33" t="str">
        <f>MID($B37,COLUMNS($B$13:K$13),1)</f>
        <v/>
      </c>
      <c r="M37" s="33" t="str">
        <f>MID($B37,COLUMNS($B$13:L$13),1)</f>
        <v/>
      </c>
      <c r="N37" s="33" t="str">
        <f>MID($B37,COLUMNS($B$13:M$13),1)</f>
        <v/>
      </c>
      <c r="O37" s="33" t="str">
        <f>MID($B37,COLUMNS($B$13:N$13),1)</f>
        <v/>
      </c>
      <c r="P37" s="33" t="str">
        <f>MID($B37,COLUMNS($B$13:O$13),1)</f>
        <v/>
      </c>
      <c r="Q37" s="33" t="str">
        <f>MID($B37,COLUMNS($B$13:P$13),1)</f>
        <v/>
      </c>
      <c r="R37" s="33" t="str">
        <f>MID($B37,COLUMNS($B$13:Q$13),1)</f>
        <v/>
      </c>
      <c r="S37" s="33" t="str">
        <f>MID($B37,COLUMNS($B$13:R$13),1)</f>
        <v/>
      </c>
      <c r="T37" s="33" t="str">
        <f>MID($B37,COLUMNS($B$13:S$13),1)</f>
        <v/>
      </c>
      <c r="U37" s="42"/>
      <c r="V37" s="42"/>
      <c r="Y37" s="110" t="s">
        <v>24</v>
      </c>
      <c r="Z37" s="249">
        <f>U36</f>
        <v>19</v>
      </c>
      <c r="AA37" s="247">
        <f>MOD(Z37-1,9)+1</f>
        <v>1</v>
      </c>
      <c r="AB37" s="76" t="str">
        <f>INDEX(GH$14:GP$22,MATCH(IF(LEN(AA$35)&gt;1,LEFT(AA$35,1)+RIGHT(AA$35,1),AA$35),GG$14:GG$22,0),MATCH(IF(LEN(AA37)&gt;1,LEFT(AA37,1)+RIGHT(AA37,1),AA37),GH$13:GP$13,0))</f>
        <v>G</v>
      </c>
      <c r="AC37" s="148" t="str">
        <f ca="1">INDEX(GH$14:GP$22,MATCH(IF(LEN(AA$36)&gt;1,LEFT(AA$36,1)+RIGHT(AA$36,1),AA$36),GG$14:GG$22,0),MATCH(IF(LEN(AA37)&gt;1,LEFT(AA37,1)+RIGHT(AA37,1),AA37),GH$13:GP$13,0))</f>
        <v>F</v>
      </c>
      <c r="AD37" s="106"/>
      <c r="AI37" s="21">
        <f t="shared" si="22"/>
        <v>8</v>
      </c>
      <c r="AS37" s="139">
        <v>1</v>
      </c>
      <c r="AT37" s="139">
        <v>2</v>
      </c>
      <c r="AU37" s="139">
        <v>3</v>
      </c>
      <c r="AV37" s="139">
        <v>4</v>
      </c>
      <c r="AW37" s="140">
        <v>5</v>
      </c>
      <c r="AX37" s="140">
        <v>6</v>
      </c>
      <c r="AY37" s="139">
        <v>7</v>
      </c>
      <c r="AZ37" s="139">
        <v>8</v>
      </c>
      <c r="BA37" s="139">
        <v>9</v>
      </c>
      <c r="BE37" s="323">
        <v>9</v>
      </c>
      <c r="BF37" s="302" t="str">
        <f t="shared" si="18"/>
        <v>A</v>
      </c>
      <c r="BG37" s="303" t="str">
        <f t="shared" ca="1" si="19"/>
        <v>SA</v>
      </c>
      <c r="BH37" s="316"/>
      <c r="BI37" s="317">
        <v>9</v>
      </c>
      <c r="BJ37" s="317">
        <v>18</v>
      </c>
      <c r="BK37" s="318">
        <v>27</v>
      </c>
      <c r="BL37" s="318">
        <v>36</v>
      </c>
      <c r="BM37" s="319">
        <v>45</v>
      </c>
      <c r="BN37" s="320"/>
      <c r="BO37" s="14"/>
      <c r="BP37" s="14"/>
      <c r="BQ37" s="14"/>
      <c r="BR37" s="14"/>
      <c r="BS37" s="14"/>
      <c r="BT37" s="14"/>
      <c r="BU37" s="14"/>
      <c r="GB37" s="17">
        <v>42</v>
      </c>
      <c r="GC37" s="46" t="s">
        <v>20</v>
      </c>
      <c r="GR37" s="17" t="s">
        <v>48</v>
      </c>
      <c r="GS37" s="17">
        <v>1</v>
      </c>
      <c r="GU37" s="17">
        <v>24</v>
      </c>
      <c r="GV37" s="28" t="s">
        <v>67</v>
      </c>
      <c r="GZ37" s="28">
        <f>COUNTIFS(C37:T37,GZ30)</f>
        <v>0</v>
      </c>
      <c r="HA37" s="28">
        <f>COUNTIFS(C37:T37,HA30)</f>
        <v>0</v>
      </c>
      <c r="HB37" s="28">
        <f>COUNTIFS(C37:T37,HB30)</f>
        <v>0</v>
      </c>
      <c r="HC37" s="28">
        <f>COUNTIFS(C37:T37,HC30)</f>
        <v>0</v>
      </c>
      <c r="HD37" s="28">
        <f>COUNTIFS(C37:T37,HD30)</f>
        <v>0</v>
      </c>
      <c r="HG37" s="29">
        <v>43855</v>
      </c>
      <c r="HH37" s="30" t="str">
        <f t="shared" si="20"/>
        <v>25-Jan</v>
      </c>
      <c r="HI37" s="30" t="s">
        <v>114</v>
      </c>
      <c r="HJ37" s="16" t="s">
        <v>132</v>
      </c>
      <c r="HK37" s="16" t="str">
        <f t="shared" si="21"/>
        <v>Aquarius - Air</v>
      </c>
    </row>
    <row r="38" spans="1:219">
      <c r="B38" s="21"/>
      <c r="C38" s="42">
        <f>IFERROR(VLOOKUP(C37,GR:GS,2,0),0)</f>
        <v>3</v>
      </c>
      <c r="D38" s="42">
        <f>IFERROR(VLOOKUP(D37,GR:GS,2,0),0)</f>
        <v>0</v>
      </c>
      <c r="E38" s="42">
        <f>IFERROR(VLOOKUP(E37,GR:GS,2,0),0)</f>
        <v>0</v>
      </c>
      <c r="F38" s="42">
        <f>IFERROR(VLOOKUP(F37,GR:GS,2,0),0)</f>
        <v>0</v>
      </c>
      <c r="G38" s="42">
        <f>IFERROR(VLOOKUP(G37,GR:GS,2,0),0)</f>
        <v>0</v>
      </c>
      <c r="H38" s="42">
        <f>IFERROR(VLOOKUP(H37,GR:GS,2,0),0)</f>
        <v>0</v>
      </c>
      <c r="I38" s="42">
        <f>IFERROR(VLOOKUP(I37,GR:GS,2,0),0)</f>
        <v>0</v>
      </c>
      <c r="J38" s="42">
        <f>IFERROR(VLOOKUP(J37,GR:GS,2,0),0)</f>
        <v>0</v>
      </c>
      <c r="K38" s="42">
        <f>IFERROR(VLOOKUP(K37,GR:GS,2,0),0)</f>
        <v>0</v>
      </c>
      <c r="L38" s="42">
        <f>IFERROR(VLOOKUP(L37,GR:GS,2,0),0)</f>
        <v>0</v>
      </c>
      <c r="M38" s="42">
        <f>IFERROR(VLOOKUP(M37,GR:GS,2,0),0)</f>
        <v>0</v>
      </c>
      <c r="N38" s="42">
        <f>IFERROR(VLOOKUP(N37,GR:GS,2,0),0)</f>
        <v>0</v>
      </c>
      <c r="O38" s="42">
        <f>IFERROR(VLOOKUP(O37,GR:GS,2,0),0)</f>
        <v>0</v>
      </c>
      <c r="P38" s="42">
        <f>IFERROR(VLOOKUP(P37,GR:GS,2,0),0)</f>
        <v>0</v>
      </c>
      <c r="Q38" s="42">
        <f>IFERROR(VLOOKUP(Q37,GR:GS,2,0),0)</f>
        <v>0</v>
      </c>
      <c r="R38" s="42">
        <f>IFERROR(VLOOKUP(R37,GR:GS,2,0),0)</f>
        <v>0</v>
      </c>
      <c r="S38" s="42">
        <f>IFERROR(VLOOKUP(S37,GR:GS,2,0),0)</f>
        <v>0</v>
      </c>
      <c r="T38" s="42">
        <f>IFERROR(VLOOKUP(T37,GR:GS,2,0),0)</f>
        <v>0</v>
      </c>
      <c r="U38" s="63">
        <f>SUM(C38:T38)</f>
        <v>3</v>
      </c>
      <c r="V38" s="64">
        <f>IF(U38&lt;10,U38,((LEFT(U38,1))+(RIGHT(U38,1))))</f>
        <v>3</v>
      </c>
      <c r="Y38" s="112" t="s">
        <v>31</v>
      </c>
      <c r="Z38" s="148">
        <f>U41</f>
        <v>42</v>
      </c>
      <c r="AA38" s="247">
        <f>MOD(Z38-1,9)+1</f>
        <v>6</v>
      </c>
      <c r="AB38" s="76" t="str">
        <f>INDEX(GH$14:GP$22,MATCH(IF(LEN(AA$35)&gt;1,LEFT(AA$35,1)+RIGHT(AA$35,1),AA$35),GG$14:GG$22,0),MATCH(IF(LEN(AA38)&gt;1,LEFT(AA38,1)+RIGHT(AA38,1),AA38),GH$13:GP$13,0))</f>
        <v>G</v>
      </c>
      <c r="AC38" s="148" t="str">
        <f ca="1">INDEX(GH$14:GP$22,MATCH(IF(LEN(AA$36)&gt;1,LEFT(AA$36,1)+RIGHT(AA$36,1),AA$36),GG$14:GG$22,0),MATCH(IF(LEN(AA38)&gt;1,LEFT(AA38,1)+RIGHT(AA38,1),AA38),GH$13:GP$13,0))</f>
        <v>G</v>
      </c>
      <c r="AD38" s="106"/>
      <c r="AI38" s="21">
        <f t="shared" si="22"/>
        <v>7</v>
      </c>
      <c r="AS38" s="140">
        <v>10</v>
      </c>
      <c r="AT38" s="139">
        <v>11</v>
      </c>
      <c r="AU38" s="140">
        <v>12</v>
      </c>
      <c r="AV38" s="140">
        <v>13</v>
      </c>
      <c r="AW38" s="140">
        <v>14</v>
      </c>
      <c r="AX38" s="140">
        <v>15</v>
      </c>
      <c r="AY38" s="139">
        <v>16</v>
      </c>
      <c r="AZ38" s="140">
        <v>17</v>
      </c>
      <c r="BA38" s="139">
        <v>18</v>
      </c>
      <c r="BE38" s="19"/>
      <c r="BF38" s="19"/>
      <c r="BG38" s="19"/>
      <c r="BH38" s="19"/>
      <c r="BI38" s="19"/>
      <c r="BJ38" s="19"/>
      <c r="BK38" s="19"/>
      <c r="BL38" s="19"/>
      <c r="BM38" s="19"/>
      <c r="BN38" s="19"/>
      <c r="BO38" s="19"/>
      <c r="BP38" s="19"/>
      <c r="BQ38" s="19"/>
      <c r="BR38" s="19"/>
      <c r="BS38" s="19"/>
      <c r="BT38" s="19"/>
      <c r="BU38" s="19"/>
      <c r="GB38" s="17">
        <v>43</v>
      </c>
      <c r="GC38" s="46" t="s">
        <v>20</v>
      </c>
      <c r="GR38" s="17" t="s">
        <v>57</v>
      </c>
      <c r="GS38" s="17">
        <v>7</v>
      </c>
      <c r="GU38" s="17">
        <v>25</v>
      </c>
      <c r="GV38" s="46" t="s">
        <v>33</v>
      </c>
      <c r="HG38" s="29">
        <v>43856</v>
      </c>
      <c r="HH38" s="30" t="str">
        <f t="shared" si="20"/>
        <v>26-Jan</v>
      </c>
      <c r="HI38" s="30" t="s">
        <v>114</v>
      </c>
      <c r="HJ38" s="16" t="s">
        <v>132</v>
      </c>
      <c r="HK38" s="16" t="str">
        <f t="shared" si="21"/>
        <v>Aquarius - Air</v>
      </c>
    </row>
    <row r="39" spans="1:219" ht="15" thickBot="1">
      <c r="A39" s="49" t="s">
        <v>37</v>
      </c>
      <c r="B39" s="32" t="s">
        <v>197</v>
      </c>
      <c r="C39" s="33" t="str">
        <f>MID($B39,COLUMNS($B$13:B$13),1)</f>
        <v>K</v>
      </c>
      <c r="D39" s="33" t="str">
        <f>MID($B39,COLUMNS($B$13:C$13),1)</f>
        <v>a</v>
      </c>
      <c r="E39" s="33" t="str">
        <f>MID($B39,COLUMNS($B$13:D$13),1)</f>
        <v>r</v>
      </c>
      <c r="F39" s="33" t="str">
        <f>MID($B39,COLUMNS($B$13:E$13),1)</f>
        <v>r</v>
      </c>
      <c r="G39" s="33" t="str">
        <f>MID($B39,COLUMNS($B$13:F$13),1)</f>
        <v>p</v>
      </c>
      <c r="H39" s="33" t="str">
        <f>MID($B39,COLUMNS($B$13:G$13),1)</f>
        <v>e</v>
      </c>
      <c r="I39" s="33" t="str">
        <f>MID($B39,COLUMNS($B$13:H$13),1)</f>
        <v/>
      </c>
      <c r="J39" s="33" t="str">
        <f>MID($B39,COLUMNS($B$13:I$13),1)</f>
        <v/>
      </c>
      <c r="K39" s="33" t="str">
        <f>MID($B39,COLUMNS($B$13:J$13),1)</f>
        <v/>
      </c>
      <c r="L39" s="33" t="str">
        <f>MID($B39,COLUMNS($B$13:K$13),1)</f>
        <v/>
      </c>
      <c r="M39" s="33" t="str">
        <f>MID($B39,COLUMNS($B$13:L$13),1)</f>
        <v/>
      </c>
      <c r="N39" s="33" t="str">
        <f>MID($B39,COLUMNS($B$13:M$13),1)</f>
        <v/>
      </c>
      <c r="O39" s="33" t="str">
        <f>MID($B39,COLUMNS($B$13:N$13),1)</f>
        <v/>
      </c>
      <c r="P39" s="33" t="str">
        <f>MID($B39,COLUMNS($B$13:O$13),1)</f>
        <v/>
      </c>
      <c r="Q39" s="33" t="str">
        <f>MID($B39,COLUMNS($B$13:P$13),1)</f>
        <v/>
      </c>
      <c r="R39" s="33" t="str">
        <f>MID($B39,COLUMNS($B$13:Q$13),1)</f>
        <v/>
      </c>
      <c r="S39" s="33" t="str">
        <f>MID($B39,COLUMNS($B$13:R$13),1)</f>
        <v/>
      </c>
      <c r="T39" s="33" t="str">
        <f>MID($B39,COLUMNS($B$13:S$13),1)</f>
        <v/>
      </c>
      <c r="U39" s="42"/>
      <c r="V39" s="42"/>
      <c r="Y39" s="112" t="s">
        <v>32</v>
      </c>
      <c r="Z39" s="148">
        <f>GY33+GY39+GY36</f>
        <v>8</v>
      </c>
      <c r="AA39" s="247">
        <f>MOD(Z39-1,9)+1</f>
        <v>8</v>
      </c>
      <c r="AB39" s="76" t="str">
        <f>INDEX(GH$14:GP$22,MATCH(IF(LEN(AA$35)&gt;1,LEFT(AA$35,1)+RIGHT(AA$35,1),AA$35),GG$14:GG$22,0),MATCH(IF(LEN(AA39)&gt;1,LEFT(AA39,1)+RIGHT(AA39,1),AA39),GH$13:GP$13,0))</f>
        <v>A</v>
      </c>
      <c r="AC39" s="148" t="str">
        <f ca="1">INDEX(GH$14:GP$22,MATCH(IF(LEN(AA$36)&gt;1,LEFT(AA$36,1)+RIGHT(AA$36,1),AA$36),GG$14:GG$22,0),MATCH(IF(LEN(AA39)&gt;1,LEFT(AA39,1)+RIGHT(AA39,1),AA39),GH$13:GP$13,0))</f>
        <v>E</v>
      </c>
      <c r="AD39" s="106"/>
      <c r="AR39" s="66"/>
      <c r="AS39" s="141">
        <v>19</v>
      </c>
      <c r="AT39" s="142">
        <v>20</v>
      </c>
      <c r="AU39" s="143">
        <v>21</v>
      </c>
      <c r="AV39" s="139">
        <v>22</v>
      </c>
      <c r="AW39" s="141">
        <v>23</v>
      </c>
      <c r="AX39" s="141">
        <v>24</v>
      </c>
      <c r="AY39" s="142">
        <v>25</v>
      </c>
      <c r="AZ39" s="139">
        <v>26</v>
      </c>
      <c r="BA39" s="142">
        <v>27</v>
      </c>
      <c r="BE39" s="19"/>
      <c r="BF39" s="19"/>
      <c r="BG39" s="19"/>
      <c r="BH39" s="19"/>
      <c r="BI39" s="19"/>
      <c r="BJ39" s="19"/>
      <c r="BK39" s="19"/>
      <c r="BL39" s="19"/>
      <c r="BM39" s="19"/>
      <c r="BN39" s="19"/>
      <c r="BO39" s="19"/>
      <c r="BP39" s="19"/>
      <c r="BQ39" s="19"/>
      <c r="BR39" s="19"/>
      <c r="BS39" s="19"/>
      <c r="BT39" s="19"/>
      <c r="BU39" s="19"/>
      <c r="GB39" s="17">
        <v>45</v>
      </c>
      <c r="GC39" s="28" t="s">
        <v>64</v>
      </c>
      <c r="GR39" s="213" t="s">
        <v>173</v>
      </c>
      <c r="GS39" s="17">
        <v>1</v>
      </c>
      <c r="GU39" s="17">
        <v>26</v>
      </c>
      <c r="GV39" s="28" t="s">
        <v>23</v>
      </c>
      <c r="GX39" s="17" t="s">
        <v>44</v>
      </c>
      <c r="GY39" s="17">
        <f>(GZ39*GZ40)+(HA39*HA40)+(HB39*HB40)+(HC39*HC40)+(HD39*HD40)</f>
        <v>6</v>
      </c>
      <c r="GZ39" s="39">
        <f>IFERROR((HLOOKUP(GZ30,C39:T40,2,0)),0)</f>
        <v>1</v>
      </c>
      <c r="HA39" s="39">
        <f>IFERROR((HLOOKUP(HA30,C39:T40,2,0)),0)</f>
        <v>5</v>
      </c>
      <c r="HB39" s="39">
        <f>IFERROR((HLOOKUP(HB30,C39:T40,2,0)),0)</f>
        <v>0</v>
      </c>
      <c r="HC39" s="39">
        <f>IFERROR((HLOOKUP(HC30,C39:T40,2,0)),0)</f>
        <v>0</v>
      </c>
      <c r="HD39" s="39">
        <f>IFERROR((HLOOKUP(HD30,C39:T40,2,0)),0)</f>
        <v>0</v>
      </c>
      <c r="HG39" s="29">
        <v>43857</v>
      </c>
      <c r="HH39" s="30" t="str">
        <f t="shared" si="20"/>
        <v>27-Jan</v>
      </c>
      <c r="HI39" s="30" t="s">
        <v>114</v>
      </c>
      <c r="HJ39" s="16" t="s">
        <v>132</v>
      </c>
      <c r="HK39" s="16" t="str">
        <f t="shared" si="21"/>
        <v>Aquarius - Air</v>
      </c>
    </row>
    <row r="40" spans="1:219" ht="15" thickBot="1">
      <c r="C40" s="42">
        <f>IFERROR(VLOOKUP(C39,GR:GS,2,0),0)</f>
        <v>2</v>
      </c>
      <c r="D40" s="42">
        <f>IFERROR(VLOOKUP(D39,GR:GS,2,0),0)</f>
        <v>1</v>
      </c>
      <c r="E40" s="42">
        <f>IFERROR(VLOOKUP(E39,GR:GS,2,0),0)</f>
        <v>2</v>
      </c>
      <c r="F40" s="42">
        <f>IFERROR(VLOOKUP(F39,GR:GS,2,0),0)</f>
        <v>2</v>
      </c>
      <c r="G40" s="42">
        <f>IFERROR(VLOOKUP(G39,GR:GS,2,0),0)</f>
        <v>8</v>
      </c>
      <c r="H40" s="42">
        <f>IFERROR(VLOOKUP(H39,GR:GS,2,0),0)</f>
        <v>5</v>
      </c>
      <c r="I40" s="42">
        <f>IFERROR(VLOOKUP(I39,GR:GS,2,0),0)</f>
        <v>0</v>
      </c>
      <c r="J40" s="42">
        <f>IFERROR(VLOOKUP(J39,GR:GS,2,0),0)</f>
        <v>0</v>
      </c>
      <c r="K40" s="42">
        <f>IFERROR(VLOOKUP(K39,GR:GS,2,0),0)</f>
        <v>0</v>
      </c>
      <c r="L40" s="42">
        <f>IFERROR(VLOOKUP(L39,GR:GS,2,0),0)</f>
        <v>0</v>
      </c>
      <c r="M40" s="42">
        <f>IFERROR(VLOOKUP(M39,GR:GS,2,0),0)</f>
        <v>0</v>
      </c>
      <c r="N40" s="42">
        <f>IFERROR(VLOOKUP(N39,GR:GS,2,0),0)</f>
        <v>0</v>
      </c>
      <c r="O40" s="42">
        <f>IFERROR(VLOOKUP(O39,GR:GS,2,0),0)</f>
        <v>0</v>
      </c>
      <c r="P40" s="42">
        <f>IFERROR(VLOOKUP(P39,GR:GS,2,0),0)</f>
        <v>0</v>
      </c>
      <c r="Q40" s="42">
        <f>IFERROR(VLOOKUP(Q39,GR:GS,2,0),0)</f>
        <v>0</v>
      </c>
      <c r="R40" s="42">
        <f>IFERROR(VLOOKUP(R39,GR:GS,2,0),0)</f>
        <v>0</v>
      </c>
      <c r="S40" s="42">
        <f>IFERROR(VLOOKUP(S39,GR:GS,2,0),0)</f>
        <v>0</v>
      </c>
      <c r="T40" s="42">
        <f>IFERROR(VLOOKUP(T39,GR:GS,2,0),0)</f>
        <v>0</v>
      </c>
      <c r="U40" s="63">
        <f>SUM(C40:T40)</f>
        <v>20</v>
      </c>
      <c r="V40" s="64">
        <f>IF(U40&lt;10,U40,((LEFT(U40,1))+(RIGHT(U40,1))))</f>
        <v>2</v>
      </c>
      <c r="Y40" s="113" t="s">
        <v>35</v>
      </c>
      <c r="Z40" s="114">
        <f>Z38-Z39</f>
        <v>34</v>
      </c>
      <c r="AA40" s="247">
        <f>MOD(Z40-1,9)+1</f>
        <v>7</v>
      </c>
      <c r="AB40" s="76" t="str">
        <f>INDEX(GH$14:GP$22,MATCH(IF(LEN(AA$35)&gt;1,LEFT(AA$35,1)+RIGHT(AA$35,1),AA$35),GG$14:GG$22,0),MATCH(IF(LEN(AA40)&gt;1,LEFT(AA40,1)+RIGHT(AA40,1),AA40),GH$13:GP$13,0))</f>
        <v>E</v>
      </c>
      <c r="AC40" s="93" t="str">
        <f ca="1">INDEX(GH$14:GP$22,MATCH(IF(LEN(AA$36)&gt;1,LEFT(AA$36,1)+RIGHT(AA$36,1),AA$36),GG$14:GG$22,0),MATCH(IF(LEN(AA40)&gt;1,LEFT(AA40,1)+RIGHT(AA40,1),AA40),GH$13:GP$13,0))</f>
        <v>A</v>
      </c>
      <c r="AD40" s="118"/>
      <c r="AE40" s="690" t="s">
        <v>36</v>
      </c>
      <c r="AF40" s="691"/>
      <c r="AG40" s="691"/>
      <c r="AH40" s="691"/>
      <c r="AI40" s="691"/>
      <c r="AJ40" s="691"/>
      <c r="AK40" s="691"/>
      <c r="AL40" s="692"/>
      <c r="AP40" s="66"/>
      <c r="AQ40" s="66"/>
      <c r="AS40" s="139">
        <v>28</v>
      </c>
      <c r="AT40" s="139">
        <v>29</v>
      </c>
      <c r="AU40" s="143">
        <v>30</v>
      </c>
      <c r="AV40" s="139">
        <v>31</v>
      </c>
      <c r="AW40" s="142">
        <v>32</v>
      </c>
      <c r="AX40" s="140">
        <v>33</v>
      </c>
      <c r="AY40" s="141">
        <v>34</v>
      </c>
      <c r="AZ40" s="139">
        <v>35</v>
      </c>
      <c r="BA40" s="142">
        <v>36</v>
      </c>
      <c r="BB40" s="66"/>
      <c r="BC40" s="66"/>
      <c r="BD40" s="66"/>
      <c r="BE40" s="19"/>
      <c r="BF40" s="61">
        <v>55</v>
      </c>
      <c r="BG40" s="19">
        <f>MOD(BF40-1,9)+1</f>
        <v>1</v>
      </c>
      <c r="BH40" s="19"/>
      <c r="BI40" s="19"/>
      <c r="BJ40" s="19"/>
      <c r="BK40" s="19"/>
      <c r="BL40" s="19"/>
      <c r="BM40" s="19"/>
      <c r="BN40" s="19"/>
      <c r="BO40" s="19"/>
      <c r="BP40" s="19"/>
      <c r="BQ40" s="19"/>
      <c r="BR40" s="19"/>
      <c r="BS40" s="19"/>
      <c r="BT40" s="19"/>
      <c r="BU40" s="19"/>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17">
        <v>46</v>
      </c>
      <c r="GC40" s="28" t="s">
        <v>64</v>
      </c>
      <c r="GD40" s="248"/>
      <c r="GE40" s="248"/>
      <c r="GR40" s="213" t="s">
        <v>174</v>
      </c>
      <c r="GS40" s="17">
        <v>2</v>
      </c>
      <c r="GU40" s="17">
        <v>27</v>
      </c>
      <c r="GV40" s="46" t="s">
        <v>33</v>
      </c>
      <c r="GX40" s="17"/>
      <c r="GY40" s="17"/>
      <c r="GZ40" s="28">
        <f>COUNTIFS(C39:T39,GZ30)</f>
        <v>1</v>
      </c>
      <c r="HA40" s="28">
        <f>COUNTIFS(C39:T39,HA30)</f>
        <v>1</v>
      </c>
      <c r="HB40" s="28">
        <f>COUNTIFS(C39:T39,HB30)</f>
        <v>0</v>
      </c>
      <c r="HC40" s="28">
        <f>COUNTIFS(C39:T39,HC30)</f>
        <v>0</v>
      </c>
      <c r="HD40" s="28">
        <f>COUNTIFS(C39:T39,HD30)</f>
        <v>0</v>
      </c>
      <c r="HG40" s="29">
        <v>43858</v>
      </c>
      <c r="HH40" s="30" t="str">
        <f t="shared" si="20"/>
        <v>28-Jan</v>
      </c>
      <c r="HI40" s="30" t="s">
        <v>114</v>
      </c>
      <c r="HJ40" s="16" t="s">
        <v>132</v>
      </c>
      <c r="HK40" s="16" t="str">
        <f t="shared" si="21"/>
        <v>Aquarius - Air</v>
      </c>
    </row>
    <row r="41" spans="1:219" ht="15" thickBot="1">
      <c r="U41" s="49">
        <f>U40+U38+U36</f>
        <v>42</v>
      </c>
      <c r="V41" s="64">
        <f>V36+V38+V40</f>
        <v>15</v>
      </c>
      <c r="W41" s="65" t="s">
        <v>31</v>
      </c>
      <c r="X41" s="22" t="str">
        <f>IF(U41&gt;52,VLOOKUP(V41,GU:GV,2,0),VLOOKUP(U41,GU:GV,2,0))</f>
        <v>√</v>
      </c>
      <c r="AB41" s="250" t="s">
        <v>38</v>
      </c>
      <c r="AC41" s="73"/>
      <c r="AE41" s="132" t="s">
        <v>24</v>
      </c>
      <c r="AF41" s="133" t="s">
        <v>112</v>
      </c>
      <c r="AG41" s="133" t="s">
        <v>39</v>
      </c>
      <c r="AH41" s="134" t="s">
        <v>40</v>
      </c>
      <c r="AI41" s="21" t="s">
        <v>61</v>
      </c>
      <c r="AJ41" s="21" t="s">
        <v>27</v>
      </c>
      <c r="AK41" s="121" t="s">
        <v>136</v>
      </c>
      <c r="AL41" s="122" t="s">
        <v>137</v>
      </c>
      <c r="AS41" s="140">
        <v>37</v>
      </c>
      <c r="AT41" s="141">
        <v>38</v>
      </c>
      <c r="AU41" s="141">
        <v>39</v>
      </c>
      <c r="AV41" s="139">
        <v>40</v>
      </c>
      <c r="AW41" s="140">
        <v>41</v>
      </c>
      <c r="AX41" s="140">
        <v>42</v>
      </c>
      <c r="AY41" s="140">
        <v>43</v>
      </c>
      <c r="AZ41" s="139">
        <v>44</v>
      </c>
      <c r="BA41" s="141">
        <v>45</v>
      </c>
      <c r="BF41" s="61">
        <v>57</v>
      </c>
      <c r="BG41" s="19">
        <f t="shared" ref="BG41" si="23">MOD(BF41-1,9)+1</f>
        <v>3</v>
      </c>
      <c r="GB41" s="17">
        <v>47</v>
      </c>
      <c r="GC41" s="28" t="s">
        <v>64</v>
      </c>
      <c r="GR41" s="214" t="s">
        <v>175</v>
      </c>
      <c r="GS41" s="69">
        <v>3</v>
      </c>
      <c r="GU41" s="17">
        <v>28</v>
      </c>
      <c r="GV41" s="28" t="s">
        <v>23</v>
      </c>
      <c r="HG41" s="29">
        <v>43859</v>
      </c>
      <c r="HH41" s="30" t="str">
        <f t="shared" si="20"/>
        <v>29-Jan</v>
      </c>
      <c r="HI41" s="30" t="s">
        <v>114</v>
      </c>
      <c r="HJ41" s="16" t="s">
        <v>132</v>
      </c>
      <c r="HK41" s="16" t="str">
        <f t="shared" si="21"/>
        <v>Aquarius - Air</v>
      </c>
    </row>
    <row r="42" spans="1:219">
      <c r="Y42" s="149" t="s">
        <v>42</v>
      </c>
      <c r="Z42" s="100">
        <f>C36+C40</f>
        <v>4</v>
      </c>
      <c r="AA42" s="131">
        <f>IF(LEN(Z42)&gt;1,LEFT(Z42,1)+RIGHT(Z42,1),Z42)</f>
        <v>4</v>
      </c>
      <c r="AB42" s="148">
        <v>1</v>
      </c>
      <c r="AC42" s="104">
        <f t="shared" ref="AC42:AC49" si="24">COUNTIF(C$36:T$36,AB42)+COUNTIF(C$38:T$38,AB42)+COUNTIF(C$40:T$40,AB42)</f>
        <v>3</v>
      </c>
      <c r="AE42" s="135">
        <f>IFERROR(HLOOKUP(AB42,C36:T36,1,0),0)</f>
        <v>1</v>
      </c>
      <c r="AF42" s="50">
        <f>IFERROR(HLOOKUP(AB42,C38:T38,1,0),0)</f>
        <v>0</v>
      </c>
      <c r="AG42" s="50">
        <f>IFERROR(HLOOKUP(AB42,C40:T40,1,0),0)</f>
        <v>1</v>
      </c>
      <c r="AH42" s="83">
        <f ca="1">IFERROR(VLOOKUP(AB42,AI33:AI38,1,0),0)</f>
        <v>1</v>
      </c>
      <c r="AI42" s="21">
        <f>IF(SUM(AE42:AG42)&gt;=AB42,AB42,0)</f>
        <v>1</v>
      </c>
      <c r="AJ42" s="21">
        <f ca="1">IF(AH42=AB42,AB42,0)</f>
        <v>1</v>
      </c>
      <c r="AK42" s="123">
        <f ca="1">IF(SUM(AI42:AJ42)&lt;=0,AB42,0)</f>
        <v>0</v>
      </c>
      <c r="AL42" s="83">
        <f>IF(AI42=AB42,0,AJ42)</f>
        <v>0</v>
      </c>
      <c r="AS42" s="141">
        <v>46</v>
      </c>
      <c r="AT42" s="141">
        <v>47</v>
      </c>
      <c r="AU42" s="139">
        <v>48</v>
      </c>
      <c r="AV42" s="140">
        <v>49</v>
      </c>
      <c r="AW42" s="141">
        <v>50</v>
      </c>
      <c r="AX42" s="141">
        <v>51</v>
      </c>
      <c r="AY42" s="140">
        <v>52</v>
      </c>
      <c r="AZ42" s="140"/>
      <c r="BA42" s="140"/>
      <c r="BF42" s="61">
        <v>59</v>
      </c>
      <c r="BG42" s="19">
        <f t="shared" ref="BG42:BG59" si="25">MOD(BF42-1,9)+1</f>
        <v>5</v>
      </c>
      <c r="GB42" s="17">
        <v>50</v>
      </c>
      <c r="GC42" s="28" t="s">
        <v>64</v>
      </c>
      <c r="GR42" s="213" t="s">
        <v>176</v>
      </c>
      <c r="GS42" s="17">
        <v>4</v>
      </c>
      <c r="GU42" s="17">
        <v>29</v>
      </c>
      <c r="GV42" s="28" t="s">
        <v>23</v>
      </c>
      <c r="HG42" s="29">
        <v>43860</v>
      </c>
      <c r="HH42" s="30" t="str">
        <f t="shared" si="20"/>
        <v>30-Jan</v>
      </c>
      <c r="HI42" s="30" t="s">
        <v>114</v>
      </c>
      <c r="HJ42" s="16" t="s">
        <v>132</v>
      </c>
      <c r="HK42" s="16" t="str">
        <f t="shared" si="21"/>
        <v>Aquarius - Air</v>
      </c>
    </row>
    <row r="43" spans="1:219">
      <c r="Y43" s="250" t="s">
        <v>45</v>
      </c>
      <c r="Z43" s="247">
        <f ca="1">AA36+AA38</f>
        <v>14</v>
      </c>
      <c r="AA43" s="92">
        <f ca="1">IF(LEN(Z43)&gt;1,LEFT(Z43,1)+RIGHT(Z43,1),Z43)</f>
        <v>5</v>
      </c>
      <c r="AB43" s="148">
        <v>2</v>
      </c>
      <c r="AC43" s="104">
        <f t="shared" si="24"/>
        <v>5</v>
      </c>
      <c r="AE43" s="135">
        <f>IFERROR(HLOOKUP(AB43,C36:T36,1,0),0)</f>
        <v>2</v>
      </c>
      <c r="AF43" s="50">
        <f>IFERROR(HLOOKUP(AB43,C38:T38,1,0),0)</f>
        <v>0</v>
      </c>
      <c r="AG43" s="50">
        <f>IFERROR(HLOOKUP(AB43,C40:T40,1,0),0)</f>
        <v>2</v>
      </c>
      <c r="AH43" s="83">
        <f ca="1">IFERROR(VLOOKUP(AB43,AI33:AI38,1,0),0)</f>
        <v>0</v>
      </c>
      <c r="AI43" s="21">
        <f t="shared" ref="AI43:AI50" si="26">IF(SUM(AE43:AG43)&gt;=AB43,AB43,0)</f>
        <v>2</v>
      </c>
      <c r="AJ43" s="21">
        <f t="shared" ref="AJ43:AJ50" ca="1" si="27">IF(AH43=AB43,AB43,0)</f>
        <v>0</v>
      </c>
      <c r="AK43" s="123">
        <f t="shared" ref="AK43:AK50" ca="1" si="28">IF(SUM(AI43:AJ43)&lt;=0,AB43,0)</f>
        <v>0</v>
      </c>
      <c r="AL43" s="83">
        <f t="shared" ref="AL43:AL50" si="29">IF(AI43=AB43,0,AJ43)</f>
        <v>0</v>
      </c>
      <c r="AM43" s="50"/>
      <c r="AN43" s="50"/>
      <c r="AO43" s="50"/>
      <c r="BF43" s="61">
        <v>60</v>
      </c>
      <c r="BG43" s="19">
        <f t="shared" si="25"/>
        <v>6</v>
      </c>
      <c r="GB43" s="17">
        <v>51</v>
      </c>
      <c r="GC43" s="28" t="s">
        <v>64</v>
      </c>
      <c r="GR43" s="213" t="s">
        <v>177</v>
      </c>
      <c r="GS43" s="17">
        <v>5</v>
      </c>
      <c r="GU43" s="17">
        <v>30</v>
      </c>
      <c r="GV43" s="28" t="s">
        <v>67</v>
      </c>
      <c r="HG43" s="29">
        <v>43861</v>
      </c>
      <c r="HH43" s="30" t="str">
        <f t="shared" si="20"/>
        <v>31-Jan</v>
      </c>
      <c r="HI43" s="30" t="s">
        <v>114</v>
      </c>
      <c r="HJ43" s="16" t="s">
        <v>132</v>
      </c>
      <c r="HK43" s="16" t="str">
        <f t="shared" si="21"/>
        <v>Aquarius - Air</v>
      </c>
    </row>
    <row r="44" spans="1:219" ht="15" thickBot="1">
      <c r="A44" s="67"/>
      <c r="B44" s="68"/>
      <c r="C44" s="42"/>
      <c r="D44" s="42"/>
      <c r="E44" s="42"/>
      <c r="F44" s="42"/>
      <c r="G44" s="42"/>
      <c r="H44" s="42"/>
      <c r="I44" s="42"/>
      <c r="J44" s="42"/>
      <c r="K44" s="42"/>
      <c r="L44" s="42"/>
      <c r="Y44" s="101" t="s">
        <v>49</v>
      </c>
      <c r="Z44" s="102">
        <f>+C5+F5</f>
        <v>12</v>
      </c>
      <c r="AA44" s="94">
        <f>IF(LEN(Z44)&gt;1,LEFT(Z44,1)+RIGHT(Z44,1),Z44)</f>
        <v>3</v>
      </c>
      <c r="AB44" s="148">
        <v>3</v>
      </c>
      <c r="AC44" s="104">
        <f t="shared" si="24"/>
        <v>2</v>
      </c>
      <c r="AE44" s="135">
        <f>IFERROR(HLOOKUP(AB44,C36:T36,1,0),0)</f>
        <v>3</v>
      </c>
      <c r="AF44" s="50">
        <f>IFERROR(HLOOKUP(AB44,C38:T38,1,0),0)</f>
        <v>3</v>
      </c>
      <c r="AG44" s="50">
        <f>IFERROR(HLOOKUP(AB44,C40:T40,1,0),0)</f>
        <v>0</v>
      </c>
      <c r="AH44" s="83">
        <f ca="1">IFERROR(VLOOKUP(AB44,AI33:AI38,1,0),0)</f>
        <v>0</v>
      </c>
      <c r="AI44" s="21">
        <f t="shared" si="26"/>
        <v>3</v>
      </c>
      <c r="AJ44" s="21">
        <f t="shared" ca="1" si="27"/>
        <v>0</v>
      </c>
      <c r="AK44" s="123">
        <f t="shared" ca="1" si="28"/>
        <v>0</v>
      </c>
      <c r="AL44" s="83">
        <f t="shared" si="29"/>
        <v>0</v>
      </c>
      <c r="AM44" s="50"/>
      <c r="AN44" s="50"/>
      <c r="AO44" s="50"/>
      <c r="AS44" s="61">
        <v>55</v>
      </c>
      <c r="AU44" s="61">
        <v>57</v>
      </c>
      <c r="AV44" s="61">
        <v>58</v>
      </c>
      <c r="AW44" s="61">
        <v>59</v>
      </c>
      <c r="AX44" s="61">
        <v>60</v>
      </c>
      <c r="BF44" s="61">
        <v>64</v>
      </c>
      <c r="BG44" s="19">
        <f t="shared" si="25"/>
        <v>1</v>
      </c>
      <c r="GB44" s="17">
        <v>52</v>
      </c>
      <c r="GC44" s="28" t="s">
        <v>64</v>
      </c>
      <c r="GR44" s="213" t="s">
        <v>178</v>
      </c>
      <c r="GS44" s="17">
        <v>6</v>
      </c>
      <c r="GU44" s="17">
        <v>31</v>
      </c>
      <c r="GV44" s="28" t="s">
        <v>23</v>
      </c>
      <c r="HG44" s="29">
        <v>43862</v>
      </c>
      <c r="HH44" s="30" t="str">
        <f t="shared" si="20"/>
        <v>01-Feb</v>
      </c>
      <c r="HI44" s="30" t="s">
        <v>114</v>
      </c>
      <c r="HJ44" s="16" t="s">
        <v>132</v>
      </c>
      <c r="HK44" s="16" t="str">
        <f t="shared" si="21"/>
        <v>Aquarius - Air</v>
      </c>
    </row>
    <row r="45" spans="1:219">
      <c r="AB45" s="76">
        <v>4</v>
      </c>
      <c r="AC45" s="104">
        <f t="shared" si="24"/>
        <v>0</v>
      </c>
      <c r="AE45" s="135">
        <f>IFERROR(HLOOKUP(AB45,C36:T36,1,0),0)</f>
        <v>0</v>
      </c>
      <c r="AF45" s="50">
        <f>IFERROR(HLOOKUP(AB45,C38:T38,1,0),0)</f>
        <v>0</v>
      </c>
      <c r="AG45" s="50">
        <f>IFERROR(HLOOKUP(AB45,C40:T40,1,0),0)</f>
        <v>0</v>
      </c>
      <c r="AH45" s="83">
        <f ca="1">IFERROR(VLOOKUP(AB45,AI33:AI38,1,0),0)</f>
        <v>0</v>
      </c>
      <c r="AI45" s="21">
        <f t="shared" si="26"/>
        <v>0</v>
      </c>
      <c r="AJ45" s="21">
        <f t="shared" ca="1" si="27"/>
        <v>0</v>
      </c>
      <c r="AK45" s="123">
        <f t="shared" ca="1" si="28"/>
        <v>4</v>
      </c>
      <c r="AL45" s="83">
        <f t="shared" ca="1" si="29"/>
        <v>0</v>
      </c>
      <c r="AM45" s="50"/>
      <c r="AN45" s="50"/>
      <c r="AO45" s="50"/>
      <c r="AS45" s="61">
        <v>64</v>
      </c>
      <c r="AU45" s="61">
        <v>66</v>
      </c>
      <c r="AV45" s="61">
        <v>67</v>
      </c>
      <c r="AW45" s="61">
        <v>68</v>
      </c>
      <c r="AX45" s="61">
        <v>69</v>
      </c>
      <c r="BF45" s="61">
        <v>66</v>
      </c>
      <c r="BG45" s="19">
        <f t="shared" si="25"/>
        <v>3</v>
      </c>
      <c r="GB45" s="61">
        <v>55</v>
      </c>
      <c r="GC45" s="19"/>
      <c r="GR45" s="213" t="s">
        <v>179</v>
      </c>
      <c r="GS45" s="17">
        <v>7</v>
      </c>
      <c r="GU45" s="17">
        <v>32</v>
      </c>
      <c r="GV45" s="46" t="s">
        <v>33</v>
      </c>
      <c r="HG45" s="29">
        <v>43863</v>
      </c>
      <c r="HH45" s="30" t="str">
        <f t="shared" si="20"/>
        <v>02-Feb</v>
      </c>
      <c r="HI45" s="30" t="s">
        <v>114</v>
      </c>
      <c r="HJ45" s="16" t="s">
        <v>132</v>
      </c>
      <c r="HK45" s="16" t="str">
        <f t="shared" si="21"/>
        <v>Aquarius - Air</v>
      </c>
    </row>
    <row r="46" spans="1:219">
      <c r="A46" s="284"/>
      <c r="B46" s="74"/>
      <c r="C46" s="249"/>
      <c r="D46" s="249"/>
      <c r="E46" s="249"/>
      <c r="F46" s="249"/>
      <c r="G46" s="249"/>
      <c r="H46" s="249"/>
      <c r="I46" s="249"/>
      <c r="J46" s="249"/>
      <c r="K46" s="249"/>
      <c r="L46" s="249"/>
      <c r="M46" s="74"/>
      <c r="N46" s="74"/>
      <c r="O46" s="74"/>
      <c r="P46" s="74"/>
      <c r="Q46" s="74"/>
      <c r="R46" s="74"/>
      <c r="S46" s="74"/>
      <c r="T46" s="74"/>
      <c r="AB46" s="76">
        <v>5</v>
      </c>
      <c r="AC46" s="104">
        <f t="shared" si="24"/>
        <v>3</v>
      </c>
      <c r="AE46" s="135">
        <f>IFERROR(HLOOKUP(AB46,C36:T36,1,0),0)</f>
        <v>5</v>
      </c>
      <c r="AF46" s="50">
        <f>IFERROR(HLOOKUP(AB46,C38:T38,1,0),0)</f>
        <v>0</v>
      </c>
      <c r="AG46" s="50">
        <f>IFERROR(HLOOKUP(AB46,C40:T40,1,0),0)</f>
        <v>5</v>
      </c>
      <c r="AH46" s="83">
        <f ca="1">IFERROR(VLOOKUP(AB46,AI33:AI38,1,0),0)</f>
        <v>0</v>
      </c>
      <c r="AI46" s="21">
        <f t="shared" si="26"/>
        <v>5</v>
      </c>
      <c r="AJ46" s="21">
        <f t="shared" ca="1" si="27"/>
        <v>0</v>
      </c>
      <c r="AK46" s="123">
        <f t="shared" ca="1" si="28"/>
        <v>0</v>
      </c>
      <c r="AL46" s="83">
        <f t="shared" si="29"/>
        <v>0</v>
      </c>
      <c r="AM46" s="50"/>
      <c r="AN46" s="50"/>
      <c r="AO46" s="50"/>
      <c r="AS46" s="61">
        <v>73</v>
      </c>
      <c r="AU46" s="61">
        <v>75</v>
      </c>
      <c r="AV46" s="61">
        <v>76</v>
      </c>
      <c r="AW46" s="61">
        <v>77</v>
      </c>
      <c r="BF46" s="61">
        <v>68</v>
      </c>
      <c r="BG46" s="19">
        <f t="shared" si="25"/>
        <v>5</v>
      </c>
      <c r="GB46" s="61">
        <v>57</v>
      </c>
      <c r="GC46" s="19"/>
      <c r="GR46" s="213" t="s">
        <v>180</v>
      </c>
      <c r="GS46" s="17">
        <v>8</v>
      </c>
      <c r="GU46" s="17">
        <v>33</v>
      </c>
      <c r="GV46" s="46" t="s">
        <v>33</v>
      </c>
      <c r="HG46" s="29">
        <v>43864</v>
      </c>
      <c r="HH46" s="30" t="str">
        <f t="shared" si="20"/>
        <v>03-Feb</v>
      </c>
      <c r="HI46" s="30" t="s">
        <v>114</v>
      </c>
      <c r="HJ46" s="16" t="s">
        <v>132</v>
      </c>
      <c r="HK46" s="16" t="str">
        <f t="shared" si="21"/>
        <v>Aquarius - Air</v>
      </c>
    </row>
    <row r="47" spans="1:219">
      <c r="A47" s="282"/>
      <c r="B47" s="74"/>
      <c r="C47" s="249"/>
      <c r="D47" s="249"/>
      <c r="E47" s="249"/>
      <c r="F47" s="249"/>
      <c r="G47" s="249"/>
      <c r="H47" s="249"/>
      <c r="I47" s="249"/>
      <c r="J47" s="249"/>
      <c r="K47" s="249"/>
      <c r="L47" s="249"/>
      <c r="M47" s="74"/>
      <c r="N47" s="74"/>
      <c r="O47" s="74"/>
      <c r="P47" s="74"/>
      <c r="Q47" s="74"/>
      <c r="R47" s="74"/>
      <c r="S47" s="74"/>
      <c r="T47" s="74"/>
      <c r="AB47" s="76">
        <v>6</v>
      </c>
      <c r="AC47" s="104">
        <f t="shared" si="24"/>
        <v>0</v>
      </c>
      <c r="AE47" s="135">
        <f>IFERROR(HLOOKUP(AB47,C36:T36,1,0),0)</f>
        <v>0</v>
      </c>
      <c r="AF47" s="50">
        <f>IFERROR(HLOOKUP(AB47,C38:T38,1,0),0)</f>
        <v>0</v>
      </c>
      <c r="AG47" s="50">
        <f>IFERROR(HLOOKUP(AB47,C40:T40,1,0),0)</f>
        <v>0</v>
      </c>
      <c r="AH47" s="83">
        <f ca="1">IFERROR(VLOOKUP(AB47,AI33:AI38,1,0),0)</f>
        <v>6</v>
      </c>
      <c r="AI47" s="21">
        <f t="shared" si="26"/>
        <v>0</v>
      </c>
      <c r="AJ47" s="21">
        <f t="shared" ca="1" si="27"/>
        <v>6</v>
      </c>
      <c r="AK47" s="123">
        <f t="shared" ca="1" si="28"/>
        <v>0</v>
      </c>
      <c r="AL47" s="83">
        <f t="shared" ca="1" si="29"/>
        <v>6</v>
      </c>
      <c r="AM47" s="50"/>
      <c r="AN47" s="50"/>
      <c r="AO47" s="50"/>
      <c r="BF47" s="61">
        <v>69</v>
      </c>
      <c r="BG47" s="19">
        <f t="shared" si="25"/>
        <v>6</v>
      </c>
      <c r="GB47" s="61">
        <v>59</v>
      </c>
      <c r="GC47" s="19"/>
      <c r="GR47" s="213" t="s">
        <v>181</v>
      </c>
      <c r="GS47" s="17">
        <v>9</v>
      </c>
      <c r="GU47" s="17">
        <v>34</v>
      </c>
      <c r="GV47" s="28" t="s">
        <v>67</v>
      </c>
      <c r="HG47" s="29">
        <v>43865</v>
      </c>
      <c r="HH47" s="30" t="str">
        <f t="shared" si="20"/>
        <v>04-Feb</v>
      </c>
      <c r="HI47" s="30" t="s">
        <v>114</v>
      </c>
      <c r="HJ47" s="16" t="s">
        <v>132</v>
      </c>
      <c r="HK47" s="16" t="str">
        <f t="shared" si="21"/>
        <v>Aquarius - Air</v>
      </c>
    </row>
    <row r="48" spans="1:219">
      <c r="A48" s="283"/>
      <c r="B48" s="74"/>
      <c r="C48" s="249"/>
      <c r="D48" s="249"/>
      <c r="E48" s="249"/>
      <c r="F48" s="290"/>
      <c r="G48" s="290"/>
      <c r="H48" s="249"/>
      <c r="I48" s="290"/>
      <c r="J48" s="290"/>
      <c r="K48" s="249"/>
      <c r="L48" s="20"/>
      <c r="M48" s="20"/>
      <c r="N48" s="20"/>
      <c r="O48" s="20"/>
      <c r="P48" s="74"/>
      <c r="Q48" s="74"/>
      <c r="R48" s="74"/>
      <c r="S48" s="74"/>
      <c r="T48" s="74"/>
      <c r="Y48" s="119"/>
      <c r="AB48" s="76">
        <v>7</v>
      </c>
      <c r="AC48" s="104">
        <f t="shared" si="24"/>
        <v>0</v>
      </c>
      <c r="AE48" s="135">
        <f>IFERROR(HLOOKUP(AB48,C36:T36,1,0),0)</f>
        <v>0</v>
      </c>
      <c r="AF48" s="50">
        <f>IFERROR(HLOOKUP(AB48,C38:T38,1,0),0)</f>
        <v>0</v>
      </c>
      <c r="AG48" s="50">
        <f>IFERROR(HLOOKUP(AB48,C40:T40,1,0),0)</f>
        <v>0</v>
      </c>
      <c r="AH48" s="83">
        <f>IFERROR(VLOOKUP(AB48,AI33:AI38,1,0),0)</f>
        <v>7</v>
      </c>
      <c r="AI48" s="21">
        <f t="shared" si="26"/>
        <v>0</v>
      </c>
      <c r="AJ48" s="21">
        <f t="shared" si="27"/>
        <v>7</v>
      </c>
      <c r="AK48" s="123">
        <f t="shared" si="28"/>
        <v>0</v>
      </c>
      <c r="AL48" s="83">
        <f t="shared" si="29"/>
        <v>7</v>
      </c>
      <c r="AM48" s="50"/>
      <c r="AN48" s="50"/>
      <c r="AO48" s="50"/>
      <c r="BF48" s="61">
        <v>73</v>
      </c>
      <c r="BG48" s="19">
        <f t="shared" si="25"/>
        <v>1</v>
      </c>
      <c r="GB48" s="61">
        <v>60</v>
      </c>
      <c r="GR48" s="213" t="s">
        <v>182</v>
      </c>
      <c r="GS48" s="17">
        <v>0</v>
      </c>
      <c r="GU48" s="17">
        <v>35</v>
      </c>
      <c r="GV48" s="28" t="s">
        <v>23</v>
      </c>
      <c r="HG48" s="29">
        <v>43866</v>
      </c>
      <c r="HH48" s="30" t="str">
        <f t="shared" si="20"/>
        <v>05-Feb</v>
      </c>
      <c r="HI48" s="30" t="s">
        <v>114</v>
      </c>
      <c r="HJ48" s="16" t="s">
        <v>132</v>
      </c>
      <c r="HK48" s="16" t="str">
        <f t="shared" si="21"/>
        <v>Aquarius - Air</v>
      </c>
    </row>
    <row r="49" spans="1:219">
      <c r="A49" s="283"/>
      <c r="B49" s="74"/>
      <c r="C49" s="249"/>
      <c r="D49" s="249"/>
      <c r="E49" s="249"/>
      <c r="F49" s="246"/>
      <c r="G49" s="249"/>
      <c r="H49" s="249"/>
      <c r="I49" s="246"/>
      <c r="J49" s="249"/>
      <c r="K49" s="249"/>
      <c r="L49" s="246"/>
      <c r="M49" s="74"/>
      <c r="N49" s="74"/>
      <c r="O49" s="74"/>
      <c r="P49" s="74"/>
      <c r="Q49" s="74"/>
      <c r="R49" s="74"/>
      <c r="S49" s="74"/>
      <c r="T49" s="74"/>
      <c r="AB49" s="76">
        <v>8</v>
      </c>
      <c r="AC49" s="104">
        <f t="shared" si="24"/>
        <v>1</v>
      </c>
      <c r="AE49" s="135">
        <f>IFERROR(HLOOKUP(AB49,C36:T36,1,0),0)</f>
        <v>0</v>
      </c>
      <c r="AF49" s="50">
        <f>IFERROR(HLOOKUP(AB49,C38:T38,1,0),0)</f>
        <v>0</v>
      </c>
      <c r="AG49" s="50">
        <f>IFERROR(HLOOKUP(AB49,C40:T40,1,0),0)</f>
        <v>8</v>
      </c>
      <c r="AH49" s="83">
        <f ca="1">IFERROR(VLOOKUP(AB49,AI33:AI38,1,0),0)</f>
        <v>8</v>
      </c>
      <c r="AI49" s="21">
        <f t="shared" si="26"/>
        <v>8</v>
      </c>
      <c r="AJ49" s="21">
        <f t="shared" ca="1" si="27"/>
        <v>8</v>
      </c>
      <c r="AK49" s="123">
        <f t="shared" ca="1" si="28"/>
        <v>0</v>
      </c>
      <c r="AL49" s="83">
        <f t="shared" si="29"/>
        <v>0</v>
      </c>
      <c r="AM49" s="50"/>
      <c r="AN49" s="50"/>
      <c r="AO49" s="50"/>
      <c r="BF49" s="61">
        <v>75</v>
      </c>
      <c r="BG49" s="19">
        <f t="shared" si="25"/>
        <v>3</v>
      </c>
      <c r="GB49" s="61">
        <v>64</v>
      </c>
      <c r="GR49" s="19"/>
      <c r="GS49" s="19"/>
      <c r="GT49" s="19"/>
      <c r="GU49" s="19"/>
      <c r="GV49" s="19"/>
      <c r="HG49" s="29">
        <v>43867</v>
      </c>
      <c r="HH49" s="30" t="str">
        <f t="shared" si="20"/>
        <v>06-Feb</v>
      </c>
      <c r="HI49" s="30" t="s">
        <v>114</v>
      </c>
      <c r="HJ49" s="16" t="s">
        <v>132</v>
      </c>
      <c r="HK49" s="16" t="str">
        <f t="shared" si="21"/>
        <v>Aquarius - Air</v>
      </c>
    </row>
    <row r="50" spans="1:219" ht="15" thickBot="1">
      <c r="A50" s="283"/>
      <c r="B50" s="74"/>
      <c r="C50" s="249"/>
      <c r="D50" s="249"/>
      <c r="E50" s="249"/>
      <c r="F50" s="249"/>
      <c r="G50" s="249"/>
      <c r="H50" s="249"/>
      <c r="I50" s="249"/>
      <c r="J50" s="249"/>
      <c r="K50" s="249"/>
      <c r="L50" s="249"/>
      <c r="M50" s="74"/>
      <c r="N50" s="74"/>
      <c r="O50" s="74"/>
      <c r="P50" s="74"/>
      <c r="Q50" s="74"/>
      <c r="R50" s="74"/>
      <c r="S50" s="74"/>
      <c r="T50" s="74"/>
      <c r="AB50" s="103">
        <v>9</v>
      </c>
      <c r="AC50" s="86"/>
      <c r="AE50" s="103">
        <f>IFERROR(HLOOKUP(AB50,C36:T36,1,0),0)</f>
        <v>0</v>
      </c>
      <c r="AF50" s="60">
        <f>IFERROR(HLOOKUP(AB50,C38:T38,1,0),0)</f>
        <v>0</v>
      </c>
      <c r="AG50" s="60">
        <f>IFERROR(HLOOKUP(AB50,C40:T40,1,0),0)</f>
        <v>0</v>
      </c>
      <c r="AH50" s="86">
        <f ca="1">IFERROR(VLOOKUP(AB50,AI33:AI38,1,0),0)</f>
        <v>0</v>
      </c>
      <c r="AI50" s="117">
        <f t="shared" si="26"/>
        <v>0</v>
      </c>
      <c r="AJ50" s="117">
        <f t="shared" ca="1" si="27"/>
        <v>0</v>
      </c>
      <c r="AK50" s="124">
        <f t="shared" ca="1" si="28"/>
        <v>9</v>
      </c>
      <c r="AL50" s="86">
        <f t="shared" ca="1" si="29"/>
        <v>0</v>
      </c>
      <c r="AM50" s="50"/>
      <c r="AN50" s="50"/>
      <c r="AO50" s="50"/>
      <c r="BF50" s="61">
        <v>77</v>
      </c>
      <c r="BG50" s="19">
        <f t="shared" si="25"/>
        <v>5</v>
      </c>
      <c r="GB50" s="61">
        <v>66</v>
      </c>
      <c r="GR50" s="19"/>
      <c r="GS50" s="19"/>
      <c r="GT50" s="19"/>
      <c r="GU50" s="19"/>
      <c r="GV50" s="19"/>
      <c r="HG50" s="29">
        <v>43868</v>
      </c>
      <c r="HH50" s="30" t="str">
        <f t="shared" si="20"/>
        <v>07-Feb</v>
      </c>
      <c r="HI50" s="30" t="s">
        <v>114</v>
      </c>
      <c r="HJ50" s="16" t="s">
        <v>132</v>
      </c>
      <c r="HK50" s="16" t="str">
        <f t="shared" si="21"/>
        <v>Aquarius - Air</v>
      </c>
    </row>
    <row r="51" spans="1:219" ht="15.5">
      <c r="A51" s="284"/>
      <c r="B51" s="74"/>
      <c r="C51" s="249"/>
      <c r="D51" s="249"/>
      <c r="E51" s="249"/>
      <c r="F51" s="249"/>
      <c r="G51" s="249"/>
      <c r="H51" s="246"/>
      <c r="I51" s="249"/>
      <c r="J51" s="249"/>
      <c r="K51" s="249"/>
      <c r="L51" s="249"/>
      <c r="M51" s="74"/>
      <c r="N51" s="74"/>
      <c r="O51" s="74"/>
      <c r="P51" s="74"/>
      <c r="Q51" s="74"/>
      <c r="R51" s="74"/>
      <c r="S51" s="74"/>
      <c r="T51" s="74"/>
      <c r="Y51" s="695" t="s">
        <v>70</v>
      </c>
      <c r="Z51" s="696"/>
      <c r="AA51" s="696"/>
      <c r="AB51" s="697"/>
      <c r="BF51" s="61">
        <v>78</v>
      </c>
      <c r="BG51" s="61">
        <f t="shared" si="25"/>
        <v>6</v>
      </c>
      <c r="GB51" s="61">
        <v>68</v>
      </c>
      <c r="GR51" s="19"/>
      <c r="GS51" s="19"/>
      <c r="GT51" s="19"/>
      <c r="GU51" s="19"/>
      <c r="GV51" s="19"/>
      <c r="HG51" s="29">
        <v>43869</v>
      </c>
      <c r="HH51" s="30" t="str">
        <f t="shared" si="20"/>
        <v>08-Feb</v>
      </c>
      <c r="HI51" s="30" t="s">
        <v>114</v>
      </c>
      <c r="HJ51" s="16" t="s">
        <v>132</v>
      </c>
      <c r="HK51" s="16" t="str">
        <f t="shared" si="21"/>
        <v>Aquarius - Air</v>
      </c>
    </row>
    <row r="52" spans="1:219">
      <c r="A52" s="284"/>
      <c r="B52" s="74"/>
      <c r="C52" s="249"/>
      <c r="D52" s="249"/>
      <c r="E52" s="249"/>
      <c r="F52" s="249"/>
      <c r="G52" s="249"/>
      <c r="H52" s="246"/>
      <c r="I52" s="249"/>
      <c r="J52" s="249"/>
      <c r="K52" s="249"/>
      <c r="L52" s="249"/>
      <c r="M52" s="74"/>
      <c r="N52" s="74"/>
      <c r="O52" s="74"/>
      <c r="P52" s="74"/>
      <c r="Q52" s="74"/>
      <c r="R52" s="74"/>
      <c r="S52" s="74"/>
      <c r="T52" s="74"/>
      <c r="Y52" s="76" t="s">
        <v>72</v>
      </c>
      <c r="Z52" s="246">
        <f>ABS(C6-F6)</f>
        <v>2</v>
      </c>
      <c r="AA52" s="57">
        <f>IF(LEN(Z52)&gt;1,LEFT(Z52,1)+RIGHT(Z52,1),Z52)</f>
        <v>2</v>
      </c>
      <c r="AB52" s="77" t="s">
        <v>73</v>
      </c>
      <c r="BF52" s="61">
        <v>82</v>
      </c>
      <c r="BG52" s="19">
        <f t="shared" si="25"/>
        <v>1</v>
      </c>
      <c r="GB52" s="61">
        <v>69</v>
      </c>
      <c r="GU52" s="17">
        <v>36</v>
      </c>
      <c r="GV52" s="46" t="s">
        <v>33</v>
      </c>
      <c r="HG52" s="29">
        <v>43870</v>
      </c>
      <c r="HH52" s="30" t="str">
        <f t="shared" si="20"/>
        <v>09-Feb</v>
      </c>
      <c r="HI52" s="30" t="s">
        <v>114</v>
      </c>
      <c r="HJ52" s="16" t="s">
        <v>132</v>
      </c>
      <c r="HK52" s="16" t="str">
        <f t="shared" si="21"/>
        <v>Aquarius - Air</v>
      </c>
    </row>
    <row r="53" spans="1:219">
      <c r="A53" s="284"/>
      <c r="B53" s="74"/>
      <c r="C53" s="249"/>
      <c r="D53" s="249"/>
      <c r="E53" s="249"/>
      <c r="F53" s="249"/>
      <c r="G53" s="249"/>
      <c r="H53" s="246"/>
      <c r="I53" s="249"/>
      <c r="J53" s="249"/>
      <c r="K53" s="249"/>
      <c r="L53" s="249"/>
      <c r="M53" s="74"/>
      <c r="N53" s="74"/>
      <c r="O53" s="74"/>
      <c r="P53" s="74"/>
      <c r="Q53" s="74"/>
      <c r="R53" s="74"/>
      <c r="S53" s="74"/>
      <c r="T53" s="74"/>
      <c r="Y53" s="76" t="s">
        <v>75</v>
      </c>
      <c r="Z53" s="246">
        <f ca="1">ABS(C6-I6)</f>
        <v>2</v>
      </c>
      <c r="AA53" s="57">
        <f ca="1">IF(LEN(Z53)&gt;1,LEFT(Z53,1)+RIGHT(Z53,1),Z53)</f>
        <v>2</v>
      </c>
      <c r="AB53" s="77" t="s">
        <v>76</v>
      </c>
      <c r="BF53" s="61">
        <v>84</v>
      </c>
      <c r="BG53" s="61">
        <f t="shared" si="25"/>
        <v>3</v>
      </c>
      <c r="GB53" s="61">
        <v>73</v>
      </c>
      <c r="GU53" s="17">
        <v>37</v>
      </c>
      <c r="GV53" s="46" t="s">
        <v>33</v>
      </c>
      <c r="HG53" s="29">
        <v>43871</v>
      </c>
      <c r="HH53" s="30" t="str">
        <f t="shared" si="20"/>
        <v>10-Feb</v>
      </c>
      <c r="HI53" s="30" t="s">
        <v>114</v>
      </c>
      <c r="HJ53" s="16" t="s">
        <v>132</v>
      </c>
      <c r="HK53" s="16" t="str">
        <f t="shared" si="21"/>
        <v>Aquarius - Air</v>
      </c>
    </row>
    <row r="54" spans="1:219">
      <c r="A54" s="283"/>
      <c r="B54" s="74"/>
      <c r="C54" s="249"/>
      <c r="D54" s="249"/>
      <c r="E54" s="249"/>
      <c r="F54" s="249"/>
      <c r="G54" s="249"/>
      <c r="H54" s="249"/>
      <c r="I54" s="249"/>
      <c r="J54" s="249"/>
      <c r="K54" s="249"/>
      <c r="L54" s="249"/>
      <c r="M54" s="74"/>
      <c r="N54" s="74"/>
      <c r="O54" s="74"/>
      <c r="P54" s="74"/>
      <c r="Q54" s="74"/>
      <c r="R54" s="74"/>
      <c r="S54" s="74"/>
      <c r="T54" s="74"/>
      <c r="Y54" s="76" t="s">
        <v>77</v>
      </c>
      <c r="Z54" s="246">
        <f ca="1">ABS(Z52-Z53)</f>
        <v>0</v>
      </c>
      <c r="AA54" s="57">
        <f ca="1">IF(LEN(Z54)&gt;1,LEFT(Z54,1)+RIGHT(Z54,1),Z54)</f>
        <v>0</v>
      </c>
      <c r="AB54" s="77" t="s">
        <v>78</v>
      </c>
      <c r="BF54" s="61">
        <v>86</v>
      </c>
      <c r="BG54" s="61">
        <f t="shared" si="25"/>
        <v>5</v>
      </c>
      <c r="GB54" s="61">
        <v>75</v>
      </c>
      <c r="GU54" s="17">
        <v>38</v>
      </c>
      <c r="GV54" s="28" t="s">
        <v>67</v>
      </c>
      <c r="HG54" s="29">
        <v>43872</v>
      </c>
      <c r="HH54" s="30" t="str">
        <f t="shared" si="20"/>
        <v>11-Feb</v>
      </c>
      <c r="HI54" s="30" t="s">
        <v>114</v>
      </c>
      <c r="HJ54" s="16" t="s">
        <v>132</v>
      </c>
      <c r="HK54" s="16" t="str">
        <f t="shared" si="21"/>
        <v>Aquarius - Air</v>
      </c>
    </row>
    <row r="55" spans="1:219" ht="19" thickBot="1">
      <c r="A55" s="283"/>
      <c r="B55" s="74"/>
      <c r="C55" s="78"/>
      <c r="D55" s="249"/>
      <c r="E55" s="249"/>
      <c r="F55" s="249"/>
      <c r="G55" s="249"/>
      <c r="H55" s="249"/>
      <c r="I55" s="249"/>
      <c r="J55" s="249"/>
      <c r="K55" s="249"/>
      <c r="L55" s="249"/>
      <c r="M55" s="74"/>
      <c r="N55" s="74"/>
      <c r="O55" s="74"/>
      <c r="P55" s="74"/>
      <c r="Q55" s="74"/>
      <c r="R55" s="74"/>
      <c r="S55" s="74"/>
      <c r="T55" s="74"/>
      <c r="Y55" s="84" t="s">
        <v>79</v>
      </c>
      <c r="Z55" s="207">
        <f ca="1">ABS(F6-I6)</f>
        <v>0</v>
      </c>
      <c r="AA55" s="85">
        <f ca="1">IF(LEN(Z55)&gt;1,LEFT(Z55,1)+RIGHT(Z55,1),Z55)</f>
        <v>0</v>
      </c>
      <c r="AB55" s="99" t="s">
        <v>80</v>
      </c>
      <c r="BF55" s="61">
        <v>87</v>
      </c>
      <c r="BG55" s="61">
        <f t="shared" si="25"/>
        <v>6</v>
      </c>
      <c r="GB55" s="61">
        <v>77</v>
      </c>
      <c r="GU55" s="17">
        <v>39</v>
      </c>
      <c r="GV55" s="28" t="s">
        <v>67</v>
      </c>
      <c r="HG55" s="29">
        <v>43873</v>
      </c>
      <c r="HH55" s="30" t="str">
        <f t="shared" si="20"/>
        <v>12-Feb</v>
      </c>
      <c r="HI55" s="30" t="s">
        <v>114</v>
      </c>
      <c r="HJ55" s="16" t="s">
        <v>132</v>
      </c>
      <c r="HK55" s="16" t="str">
        <f t="shared" si="21"/>
        <v>Aquarius - Air</v>
      </c>
    </row>
    <row r="56" spans="1:219" ht="15" thickBot="1">
      <c r="A56" s="279"/>
      <c r="B56" s="74"/>
      <c r="C56" s="249"/>
      <c r="D56" s="249"/>
      <c r="E56" s="249"/>
      <c r="F56" s="249"/>
      <c r="G56" s="249"/>
      <c r="H56" s="249"/>
      <c r="I56" s="249"/>
      <c r="J56" s="249"/>
      <c r="K56" s="249"/>
      <c r="L56" s="249"/>
      <c r="M56" s="74"/>
      <c r="N56" s="74"/>
      <c r="O56" s="74"/>
      <c r="P56" s="74"/>
      <c r="Q56" s="74"/>
      <c r="R56" s="74"/>
      <c r="S56" s="74"/>
      <c r="T56" s="74"/>
      <c r="Y56" s="21"/>
      <c r="Z56" s="21"/>
      <c r="AA56" s="21"/>
      <c r="AB56" s="21"/>
      <c r="AC56" s="21"/>
      <c r="BF56" s="61">
        <v>91</v>
      </c>
      <c r="BG56" s="61">
        <f t="shared" si="25"/>
        <v>1</v>
      </c>
      <c r="GB56" s="61">
        <v>78</v>
      </c>
      <c r="GU56" s="17">
        <v>40</v>
      </c>
      <c r="GV56" s="28" t="s">
        <v>23</v>
      </c>
      <c r="HG56" s="29">
        <v>43874</v>
      </c>
      <c r="HH56" s="30" t="str">
        <f t="shared" si="20"/>
        <v>13-Feb</v>
      </c>
      <c r="HI56" s="30" t="s">
        <v>114</v>
      </c>
      <c r="HJ56" s="16" t="s">
        <v>132</v>
      </c>
      <c r="HK56" s="16" t="str">
        <f t="shared" si="21"/>
        <v>Aquarius - Air</v>
      </c>
    </row>
    <row r="57" spans="1:219" ht="15.5">
      <c r="A57" s="282"/>
      <c r="B57" s="74"/>
      <c r="C57" s="249"/>
      <c r="D57" s="249"/>
      <c r="E57" s="249"/>
      <c r="F57" s="249"/>
      <c r="G57" s="249"/>
      <c r="H57" s="249"/>
      <c r="I57" s="249"/>
      <c r="J57" s="249"/>
      <c r="K57" s="249"/>
      <c r="L57" s="249"/>
      <c r="M57" s="74"/>
      <c r="N57" s="74"/>
      <c r="O57" s="74"/>
      <c r="P57" s="74"/>
      <c r="Q57" s="74"/>
      <c r="R57" s="74"/>
      <c r="S57" s="74"/>
      <c r="T57" s="74"/>
      <c r="Y57" s="79" t="s">
        <v>81</v>
      </c>
      <c r="Z57" s="80"/>
      <c r="AA57" s="80"/>
      <c r="AB57" s="81" t="s">
        <v>133</v>
      </c>
      <c r="AC57" s="82" t="s">
        <v>134</v>
      </c>
      <c r="BF57" s="61">
        <v>93</v>
      </c>
      <c r="BG57" s="61">
        <f t="shared" si="25"/>
        <v>3</v>
      </c>
      <c r="GB57" s="61">
        <v>82</v>
      </c>
      <c r="GU57" s="17">
        <v>41</v>
      </c>
      <c r="GV57" s="46" t="s">
        <v>33</v>
      </c>
      <c r="HG57" s="29">
        <v>43875</v>
      </c>
      <c r="HH57" s="30" t="str">
        <f t="shared" si="20"/>
        <v>14-Feb</v>
      </c>
      <c r="HI57" s="30" t="s">
        <v>114</v>
      </c>
      <c r="HJ57" s="16" t="s">
        <v>132</v>
      </c>
      <c r="HK57" s="16" t="str">
        <f t="shared" si="21"/>
        <v>Aquarius - Air</v>
      </c>
    </row>
    <row r="58" spans="1:219">
      <c r="A58" s="283"/>
      <c r="B58" s="74"/>
      <c r="C58" s="249"/>
      <c r="D58" s="249"/>
      <c r="E58" s="249"/>
      <c r="F58" s="290"/>
      <c r="G58" s="290"/>
      <c r="H58" s="249"/>
      <c r="I58" s="290"/>
      <c r="J58" s="290"/>
      <c r="K58" s="249"/>
      <c r="L58" s="20"/>
      <c r="M58" s="20"/>
      <c r="N58" s="20"/>
      <c r="O58" s="20"/>
      <c r="P58" s="74"/>
      <c r="Q58" s="74"/>
      <c r="R58" s="74"/>
      <c r="S58" s="74"/>
      <c r="T58" s="74"/>
      <c r="Y58" s="76" t="s">
        <v>82</v>
      </c>
      <c r="Z58" s="57">
        <f>ABS(C5+F5)</f>
        <v>12</v>
      </c>
      <c r="AA58" s="247">
        <f>MOD(Z58-1,9)+1</f>
        <v>3</v>
      </c>
      <c r="AB58" s="50">
        <v>0</v>
      </c>
      <c r="AC58" s="83">
        <f ca="1">36-C7</f>
        <v>28</v>
      </c>
      <c r="BF58" s="61">
        <v>96</v>
      </c>
      <c r="BG58" s="61">
        <f t="shared" si="25"/>
        <v>6</v>
      </c>
      <c r="GB58" s="61">
        <v>84</v>
      </c>
      <c r="GU58" s="17">
        <v>42</v>
      </c>
      <c r="GV58" s="46" t="s">
        <v>33</v>
      </c>
      <c r="HG58" s="29">
        <v>43876</v>
      </c>
      <c r="HH58" s="30" t="str">
        <f t="shared" si="20"/>
        <v>15-Feb</v>
      </c>
      <c r="HI58" s="30" t="s">
        <v>114</v>
      </c>
      <c r="HJ58" s="16" t="s">
        <v>132</v>
      </c>
      <c r="HK58" s="16" t="str">
        <f t="shared" si="21"/>
        <v>Aquarius - Air</v>
      </c>
    </row>
    <row r="59" spans="1:219">
      <c r="A59" s="283"/>
      <c r="B59" s="74"/>
      <c r="C59" s="249"/>
      <c r="D59" s="249"/>
      <c r="E59" s="249"/>
      <c r="F59" s="246"/>
      <c r="G59" s="249"/>
      <c r="H59" s="249"/>
      <c r="I59" s="246"/>
      <c r="J59" s="249"/>
      <c r="K59" s="249"/>
      <c r="L59" s="246"/>
      <c r="M59" s="74"/>
      <c r="N59" s="74"/>
      <c r="O59" s="74"/>
      <c r="P59" s="74"/>
      <c r="Q59" s="74"/>
      <c r="R59" s="74"/>
      <c r="S59" s="74"/>
      <c r="T59" s="74"/>
      <c r="Y59" s="76" t="s">
        <v>83</v>
      </c>
      <c r="Z59" s="57">
        <f ca="1">ABS(C5+I6)</f>
        <v>12</v>
      </c>
      <c r="AA59" s="247">
        <f ca="1">MOD(Z59-1,9)+1</f>
        <v>3</v>
      </c>
      <c r="AB59" s="50">
        <f ca="1">IF(C7=1,36,IF(C7=2,35,IF(C7=3,34,IF(C7=4,33,IF(C7=5,32,IF(C7=6,31,IF(C7=7,30,IF(C7=8,29,IF(C7=9,28,0)))))))))</f>
        <v>29</v>
      </c>
      <c r="AC59" s="83">
        <f ca="1">IF(C7=1,44,IF(C7=2,43,IF(C7=3,42,IF(C7=4,41,IF(C7=5,40,IF(C7=6,39,IF(C7=7,38,IF(C7=8,37,IF(C7=9,36,0)))))))))</f>
        <v>37</v>
      </c>
      <c r="BF59" s="61">
        <v>100</v>
      </c>
      <c r="BG59" s="61">
        <f t="shared" si="25"/>
        <v>1</v>
      </c>
      <c r="GB59" s="61">
        <v>86</v>
      </c>
      <c r="GU59" s="17">
        <v>43</v>
      </c>
      <c r="GV59" s="46" t="s">
        <v>33</v>
      </c>
      <c r="HG59" s="29">
        <v>43877</v>
      </c>
      <c r="HH59" s="30" t="str">
        <f t="shared" si="20"/>
        <v>16-Feb</v>
      </c>
      <c r="HI59" s="30" t="s">
        <v>114</v>
      </c>
      <c r="HJ59" s="16" t="s">
        <v>132</v>
      </c>
      <c r="HK59" s="16" t="str">
        <f t="shared" si="21"/>
        <v>Aquarius - Air</v>
      </c>
    </row>
    <row r="60" spans="1:219">
      <c r="A60" s="283"/>
      <c r="B60" s="74"/>
      <c r="C60" s="249"/>
      <c r="D60" s="249"/>
      <c r="E60" s="249"/>
      <c r="F60" s="249"/>
      <c r="G60" s="249"/>
      <c r="H60" s="249"/>
      <c r="I60" s="249"/>
      <c r="J60" s="249"/>
      <c r="K60" s="249"/>
      <c r="L60" s="249"/>
      <c r="M60" s="74"/>
      <c r="N60" s="74"/>
      <c r="O60" s="74"/>
      <c r="P60" s="74"/>
      <c r="Q60" s="74"/>
      <c r="R60" s="74"/>
      <c r="S60" s="74"/>
      <c r="T60" s="74"/>
      <c r="Y60" s="76" t="s">
        <v>84</v>
      </c>
      <c r="Z60" s="57">
        <f ca="1">ABS(Z58+Z59)</f>
        <v>24</v>
      </c>
      <c r="AA60" s="247">
        <f ca="1">MOD(Z60-1,9)+1</f>
        <v>6</v>
      </c>
      <c r="AB60" s="50">
        <f ca="1">AC59+1</f>
        <v>38</v>
      </c>
      <c r="AC60" s="83">
        <f ca="1">IF(C7=1,53,IF(C7=2,52,IF(C7=3,51,IF(C7=4,50,IF(C7=5,49,IF(C7=6,48,IF(C7=7,47,IF(C7=8,46,IF(C7=9,45,0)))))))))</f>
        <v>46</v>
      </c>
      <c r="GB60" s="61">
        <v>87</v>
      </c>
      <c r="GU60" s="17">
        <v>44</v>
      </c>
      <c r="GV60" s="28" t="s">
        <v>23</v>
      </c>
      <c r="HG60" s="29">
        <v>43878</v>
      </c>
      <c r="HH60" s="30" t="str">
        <f t="shared" si="20"/>
        <v>17-Feb</v>
      </c>
      <c r="HI60" s="30" t="s">
        <v>114</v>
      </c>
      <c r="HJ60" s="16" t="s">
        <v>132</v>
      </c>
      <c r="HK60" s="16" t="str">
        <f t="shared" si="21"/>
        <v>Aquarius - Air</v>
      </c>
    </row>
    <row r="61" spans="1:219" ht="15" thickBot="1">
      <c r="A61" s="284"/>
      <c r="B61" s="74"/>
      <c r="C61" s="249"/>
      <c r="D61" s="249"/>
      <c r="E61" s="249"/>
      <c r="F61" s="249"/>
      <c r="G61" s="249"/>
      <c r="H61" s="246"/>
      <c r="I61" s="249"/>
      <c r="J61" s="249"/>
      <c r="K61" s="249"/>
      <c r="L61" s="249"/>
      <c r="M61" s="74"/>
      <c r="N61" s="74"/>
      <c r="O61" s="74"/>
      <c r="P61" s="74"/>
      <c r="Q61" s="74"/>
      <c r="R61" s="74"/>
      <c r="S61" s="74"/>
      <c r="T61" s="74"/>
      <c r="Y61" s="84" t="s">
        <v>85</v>
      </c>
      <c r="Z61" s="85">
        <f ca="1">ABS(F5+I6)</f>
        <v>10</v>
      </c>
      <c r="AA61" s="247">
        <f ca="1">MOD(Z61-1,9)+1</f>
        <v>1</v>
      </c>
      <c r="AB61" s="60">
        <f ca="1">AC60+1</f>
        <v>47</v>
      </c>
      <c r="AC61" s="86" t="s">
        <v>135</v>
      </c>
      <c r="GB61" s="61">
        <v>91</v>
      </c>
      <c r="GU61" s="17">
        <v>45</v>
      </c>
      <c r="GV61" s="28" t="s">
        <v>67</v>
      </c>
      <c r="HG61" s="29">
        <v>43879</v>
      </c>
      <c r="HH61" s="30" t="str">
        <f t="shared" si="20"/>
        <v>18-Feb</v>
      </c>
      <c r="HI61" s="30" t="s">
        <v>114</v>
      </c>
      <c r="HJ61" s="16" t="s">
        <v>132</v>
      </c>
      <c r="HK61" s="16" t="str">
        <f t="shared" si="21"/>
        <v>Aquarius - Air</v>
      </c>
    </row>
    <row r="62" spans="1:219">
      <c r="A62" s="284"/>
      <c r="B62" s="74"/>
      <c r="C62" s="249"/>
      <c r="D62" s="249"/>
      <c r="E62" s="249"/>
      <c r="F62" s="249"/>
      <c r="G62" s="249"/>
      <c r="H62" s="246"/>
      <c r="I62" s="249"/>
      <c r="J62" s="249"/>
      <c r="K62" s="249"/>
      <c r="L62" s="249"/>
      <c r="M62" s="74"/>
      <c r="N62" s="74"/>
      <c r="O62" s="74"/>
      <c r="P62" s="74"/>
      <c r="Q62" s="74"/>
      <c r="R62" s="74"/>
      <c r="S62" s="74"/>
      <c r="T62" s="74"/>
      <c r="Y62" s="21"/>
      <c r="Z62" s="21"/>
      <c r="AA62" s="21"/>
      <c r="AB62" s="21"/>
      <c r="AC62" s="21"/>
      <c r="GB62" s="61">
        <v>93</v>
      </c>
      <c r="GU62" s="17">
        <v>46</v>
      </c>
      <c r="GV62" s="28" t="s">
        <v>67</v>
      </c>
      <c r="HG62" s="29">
        <v>43880</v>
      </c>
      <c r="HH62" s="30" t="str">
        <f t="shared" si="20"/>
        <v>19-Feb</v>
      </c>
      <c r="HI62" s="30" t="s">
        <v>115</v>
      </c>
      <c r="HJ62" s="16" t="s">
        <v>131</v>
      </c>
      <c r="HK62" s="16" t="str">
        <f t="shared" si="21"/>
        <v>Pisces - Water</v>
      </c>
    </row>
    <row r="63" spans="1:219">
      <c r="A63" s="284"/>
      <c r="B63" s="74"/>
      <c r="C63" s="249"/>
      <c r="D63" s="249"/>
      <c r="E63" s="249"/>
      <c r="F63" s="249"/>
      <c r="G63" s="249"/>
      <c r="H63" s="246"/>
      <c r="I63" s="249"/>
      <c r="J63" s="249"/>
      <c r="K63" s="249"/>
      <c r="L63" s="249"/>
      <c r="M63" s="74"/>
      <c r="N63" s="74"/>
      <c r="O63" s="74"/>
      <c r="P63" s="74"/>
      <c r="Q63" s="74"/>
      <c r="R63" s="74"/>
      <c r="S63" s="74"/>
      <c r="T63" s="74"/>
      <c r="GB63" s="61">
        <v>96</v>
      </c>
      <c r="GU63" s="17">
        <v>47</v>
      </c>
      <c r="GV63" s="28" t="s">
        <v>67</v>
      </c>
      <c r="HG63" s="29">
        <v>43881</v>
      </c>
      <c r="HH63" s="30" t="str">
        <f t="shared" si="20"/>
        <v>20-Feb</v>
      </c>
      <c r="HI63" s="30" t="s">
        <v>115</v>
      </c>
      <c r="HJ63" s="16" t="s">
        <v>131</v>
      </c>
      <c r="HK63" s="16" t="str">
        <f t="shared" si="21"/>
        <v>Pisces - Water</v>
      </c>
    </row>
    <row r="64" spans="1:219">
      <c r="A64" s="74"/>
      <c r="B64" s="74"/>
      <c r="C64" s="74"/>
      <c r="D64" s="74"/>
      <c r="E64" s="74"/>
      <c r="F64" s="74"/>
      <c r="G64" s="74"/>
      <c r="H64" s="74"/>
      <c r="I64" s="74"/>
      <c r="J64" s="74"/>
      <c r="K64" s="74"/>
      <c r="L64" s="74"/>
      <c r="M64" s="74"/>
      <c r="N64" s="74"/>
      <c r="O64" s="74"/>
      <c r="P64" s="74"/>
      <c r="Q64" s="74"/>
      <c r="R64" s="74"/>
      <c r="S64" s="74"/>
      <c r="T64" s="74"/>
      <c r="GB64" s="61">
        <v>100</v>
      </c>
      <c r="GU64" s="17">
        <v>48</v>
      </c>
      <c r="GV64" s="28" t="s">
        <v>23</v>
      </c>
      <c r="HG64" s="29">
        <v>43882</v>
      </c>
      <c r="HH64" s="30" t="str">
        <f t="shared" si="20"/>
        <v>21-Feb</v>
      </c>
      <c r="HI64" s="30" t="s">
        <v>115</v>
      </c>
      <c r="HJ64" s="16" t="s">
        <v>131</v>
      </c>
      <c r="HK64" s="16" t="str">
        <f t="shared" si="21"/>
        <v>Pisces - Water</v>
      </c>
    </row>
    <row r="65" spans="1:219">
      <c r="A65" s="74"/>
      <c r="B65" s="74"/>
      <c r="C65" s="74"/>
      <c r="D65" s="74"/>
      <c r="E65" s="74"/>
      <c r="F65" s="74"/>
      <c r="G65" s="74"/>
      <c r="H65" s="74"/>
      <c r="I65" s="74"/>
      <c r="J65" s="74"/>
      <c r="K65" s="74"/>
      <c r="L65" s="74"/>
      <c r="M65" s="74"/>
      <c r="N65" s="74"/>
      <c r="O65" s="74"/>
      <c r="P65" s="74"/>
      <c r="Q65" s="74"/>
      <c r="R65" s="74"/>
      <c r="S65" s="74"/>
      <c r="T65" s="74"/>
      <c r="GU65" s="17">
        <v>49</v>
      </c>
      <c r="GV65" s="28" t="s">
        <v>23</v>
      </c>
      <c r="HG65" s="29">
        <v>43883</v>
      </c>
      <c r="HH65" s="30" t="str">
        <f t="shared" si="20"/>
        <v>22-Feb</v>
      </c>
      <c r="HI65" s="30" t="s">
        <v>115</v>
      </c>
      <c r="HJ65" s="16" t="s">
        <v>131</v>
      </c>
      <c r="HK65" s="16" t="str">
        <f t="shared" si="21"/>
        <v>Pisces - Water</v>
      </c>
    </row>
    <row r="66" spans="1:219">
      <c r="A66" s="284"/>
      <c r="B66" s="249"/>
      <c r="C66" s="246"/>
      <c r="D66" s="246"/>
      <c r="E66" s="290"/>
      <c r="F66" s="290"/>
      <c r="G66" s="249"/>
      <c r="H66" s="249"/>
      <c r="I66" s="249"/>
      <c r="J66" s="249"/>
      <c r="K66" s="249"/>
      <c r="L66" s="249"/>
      <c r="M66" s="211"/>
      <c r="N66" s="74"/>
      <c r="O66" s="246"/>
      <c r="P66" s="74"/>
      <c r="Q66" s="74"/>
      <c r="R66" s="74"/>
      <c r="S66" s="74"/>
      <c r="T66" s="74"/>
      <c r="GU66" s="17">
        <v>50</v>
      </c>
      <c r="GV66" s="28" t="s">
        <v>67</v>
      </c>
      <c r="HG66" s="29">
        <v>43884</v>
      </c>
      <c r="HH66" s="30" t="str">
        <f t="shared" si="20"/>
        <v>23-Feb</v>
      </c>
      <c r="HI66" s="30" t="s">
        <v>115</v>
      </c>
      <c r="HJ66" s="16" t="s">
        <v>131</v>
      </c>
      <c r="HK66" s="16" t="str">
        <f t="shared" si="21"/>
        <v>Pisces - Water</v>
      </c>
    </row>
    <row r="67" spans="1:219">
      <c r="A67" s="284"/>
      <c r="B67" s="211"/>
      <c r="C67" s="246"/>
      <c r="D67" s="246"/>
      <c r="E67" s="74"/>
      <c r="F67" s="74"/>
      <c r="G67" s="74"/>
      <c r="H67" s="74"/>
      <c r="I67" s="74"/>
      <c r="J67" s="74"/>
      <c r="K67" s="74"/>
      <c r="L67" s="74"/>
      <c r="M67" s="211"/>
      <c r="N67" s="74"/>
      <c r="O67" s="246"/>
      <c r="P67" s="74"/>
      <c r="Q67" s="74"/>
      <c r="R67" s="74"/>
      <c r="S67" s="74"/>
      <c r="T67" s="74"/>
      <c r="GU67" s="17">
        <v>51</v>
      </c>
      <c r="GV67" s="28" t="s">
        <v>67</v>
      </c>
      <c r="HG67" s="29">
        <v>43885</v>
      </c>
      <c r="HH67" s="30" t="str">
        <f t="shared" si="20"/>
        <v>24-Feb</v>
      </c>
      <c r="HI67" s="30" t="s">
        <v>115</v>
      </c>
      <c r="HJ67" s="16" t="s">
        <v>131</v>
      </c>
      <c r="HK67" s="16" t="str">
        <f t="shared" si="21"/>
        <v>Pisces - Water</v>
      </c>
    </row>
    <row r="68" spans="1:219">
      <c r="A68" s="74"/>
      <c r="B68" s="74"/>
      <c r="C68" s="249"/>
      <c r="D68" s="249"/>
      <c r="E68" s="249"/>
      <c r="F68" s="74"/>
      <c r="G68" s="74"/>
      <c r="H68" s="74"/>
      <c r="I68" s="74"/>
      <c r="J68" s="74"/>
      <c r="K68" s="74"/>
      <c r="L68" s="74"/>
      <c r="M68" s="74"/>
      <c r="N68" s="74"/>
      <c r="O68" s="74"/>
      <c r="P68" s="74"/>
      <c r="Q68" s="74"/>
      <c r="R68" s="74"/>
      <c r="S68" s="74"/>
      <c r="T68" s="74"/>
      <c r="U68" s="54"/>
      <c r="V68" s="54"/>
      <c r="W68" s="54"/>
      <c r="Y68" s="54"/>
      <c r="GU68" s="17">
        <v>52</v>
      </c>
      <c r="GV68" s="28" t="s">
        <v>67</v>
      </c>
      <c r="HG68" s="29">
        <v>43886</v>
      </c>
      <c r="HH68" s="30" t="str">
        <f t="shared" si="20"/>
        <v>25-Feb</v>
      </c>
      <c r="HI68" s="30" t="s">
        <v>115</v>
      </c>
      <c r="HJ68" s="16" t="s">
        <v>131</v>
      </c>
      <c r="HK68" s="16" t="str">
        <f t="shared" si="21"/>
        <v>Pisces - Water</v>
      </c>
    </row>
    <row r="69" spans="1:219">
      <c r="A69" s="284"/>
      <c r="B69" s="211"/>
      <c r="C69" s="246"/>
      <c r="D69" s="246"/>
      <c r="E69" s="249"/>
      <c r="F69" s="249"/>
      <c r="G69" s="249"/>
      <c r="H69" s="249"/>
      <c r="I69" s="249"/>
      <c r="J69" s="249"/>
      <c r="K69" s="249"/>
      <c r="L69" s="249"/>
      <c r="M69" s="249"/>
      <c r="N69" s="249"/>
      <c r="O69" s="249"/>
      <c r="P69" s="249"/>
      <c r="Q69" s="249"/>
      <c r="R69" s="212"/>
      <c r="S69" s="249"/>
      <c r="T69" s="74"/>
      <c r="U69" s="54"/>
      <c r="V69" s="54"/>
      <c r="W69" s="54"/>
      <c r="Y69" s="54"/>
      <c r="HG69" s="29">
        <v>43887</v>
      </c>
      <c r="HH69" s="30" t="str">
        <f t="shared" si="20"/>
        <v>26-Feb</v>
      </c>
      <c r="HI69" s="30" t="s">
        <v>115</v>
      </c>
      <c r="HJ69" s="16" t="s">
        <v>131</v>
      </c>
      <c r="HK69" s="16" t="str">
        <f t="shared" si="21"/>
        <v>Pisces - Water</v>
      </c>
    </row>
    <row r="70" spans="1:219">
      <c r="A70" s="284"/>
      <c r="B70" s="211"/>
      <c r="C70" s="246"/>
      <c r="D70" s="246"/>
      <c r="E70" s="249"/>
      <c r="F70" s="249"/>
      <c r="G70" s="249"/>
      <c r="H70" s="249"/>
      <c r="I70" s="249"/>
      <c r="J70" s="249"/>
      <c r="K70" s="249"/>
      <c r="L70" s="249"/>
      <c r="M70" s="249"/>
      <c r="N70" s="249"/>
      <c r="O70" s="249"/>
      <c r="P70" s="249"/>
      <c r="Q70" s="249"/>
      <c r="R70" s="249"/>
      <c r="S70" s="249"/>
      <c r="T70" s="74"/>
      <c r="U70" s="54"/>
      <c r="V70" s="54"/>
      <c r="W70" s="54"/>
      <c r="Y70" s="54"/>
      <c r="GU70" s="16" t="s">
        <v>89</v>
      </c>
      <c r="GV70" s="91" t="s">
        <v>16</v>
      </c>
      <c r="HG70" s="29">
        <v>43888</v>
      </c>
      <c r="HH70" s="30" t="str">
        <f t="shared" si="20"/>
        <v>27-Feb</v>
      </c>
      <c r="HI70" s="30" t="s">
        <v>115</v>
      </c>
      <c r="HJ70" s="16" t="s">
        <v>131</v>
      </c>
      <c r="HK70" s="16" t="str">
        <f t="shared" si="21"/>
        <v>Pisces - Water</v>
      </c>
    </row>
    <row r="71" spans="1:219">
      <c r="A71" s="74"/>
      <c r="B71" s="74"/>
      <c r="C71" s="74"/>
      <c r="D71" s="74"/>
      <c r="E71" s="74"/>
      <c r="F71" s="74"/>
      <c r="G71" s="74"/>
      <c r="H71" s="74"/>
      <c r="I71" s="74"/>
      <c r="J71" s="74"/>
      <c r="K71" s="74"/>
      <c r="L71" s="74"/>
      <c r="M71" s="74"/>
      <c r="N71" s="74"/>
      <c r="O71" s="74"/>
      <c r="P71" s="74"/>
      <c r="Q71" s="74"/>
      <c r="R71" s="74"/>
      <c r="S71" s="74"/>
      <c r="T71" s="74"/>
      <c r="U71" s="54"/>
      <c r="V71" s="54"/>
      <c r="W71" s="54"/>
      <c r="Y71" s="54"/>
      <c r="GU71" s="16">
        <v>1</v>
      </c>
      <c r="GV71" s="28" t="s">
        <v>67</v>
      </c>
      <c r="HG71" s="29">
        <v>43889</v>
      </c>
      <c r="HH71" s="30" t="str">
        <f t="shared" si="20"/>
        <v>28-Feb</v>
      </c>
      <c r="HI71" s="30" t="s">
        <v>115</v>
      </c>
      <c r="HJ71" s="16" t="s">
        <v>131</v>
      </c>
      <c r="HK71" s="16" t="str">
        <f t="shared" si="21"/>
        <v>Pisces - Water</v>
      </c>
    </row>
    <row r="72" spans="1:219">
      <c r="A72" s="74"/>
      <c r="B72" s="74"/>
      <c r="C72" s="74"/>
      <c r="D72" s="74"/>
      <c r="E72" s="74"/>
      <c r="F72" s="74"/>
      <c r="G72" s="74"/>
      <c r="H72" s="74"/>
      <c r="I72" s="74"/>
      <c r="J72" s="74"/>
      <c r="K72" s="74"/>
      <c r="L72" s="74"/>
      <c r="M72" s="74"/>
      <c r="N72" s="74"/>
      <c r="O72" s="74"/>
      <c r="P72" s="74"/>
      <c r="Q72" s="74"/>
      <c r="R72" s="74"/>
      <c r="S72" s="74"/>
      <c r="T72" s="74"/>
      <c r="U72" s="54"/>
      <c r="V72" s="54"/>
      <c r="W72" s="54"/>
      <c r="Y72" s="54"/>
      <c r="GU72" s="16">
        <v>3</v>
      </c>
      <c r="GV72" s="28" t="s">
        <v>67</v>
      </c>
      <c r="HG72" s="29">
        <v>43890</v>
      </c>
      <c r="HH72" s="30" t="str">
        <f t="shared" si="20"/>
        <v>29-Feb</v>
      </c>
      <c r="HI72" s="30" t="s">
        <v>115</v>
      </c>
      <c r="HJ72" s="16" t="s">
        <v>131</v>
      </c>
      <c r="HK72" s="16" t="str">
        <f t="shared" si="21"/>
        <v>Pisces - Water</v>
      </c>
    </row>
    <row r="73" spans="1:219">
      <c r="A73" s="246"/>
      <c r="B73" s="249"/>
      <c r="C73" s="249"/>
      <c r="D73" s="249"/>
      <c r="E73" s="249"/>
      <c r="F73" s="249"/>
      <c r="G73" s="249"/>
      <c r="H73" s="249"/>
      <c r="I73" s="249"/>
      <c r="J73" s="249"/>
      <c r="K73" s="249"/>
      <c r="L73" s="249"/>
      <c r="M73" s="249"/>
      <c r="N73" s="74"/>
      <c r="O73" s="74"/>
      <c r="P73" s="74"/>
      <c r="Q73" s="74"/>
      <c r="R73" s="74"/>
      <c r="S73" s="74"/>
      <c r="T73" s="74"/>
      <c r="GU73" s="16">
        <v>5</v>
      </c>
      <c r="GV73" s="28" t="s">
        <v>67</v>
      </c>
      <c r="HG73" s="29">
        <v>43891</v>
      </c>
      <c r="HH73" s="30" t="str">
        <f t="shared" si="20"/>
        <v>01-Mar</v>
      </c>
      <c r="HI73" s="30" t="s">
        <v>115</v>
      </c>
      <c r="HJ73" s="16" t="s">
        <v>131</v>
      </c>
      <c r="HK73" s="16" t="str">
        <f t="shared" si="21"/>
        <v>Pisces - Water</v>
      </c>
    </row>
    <row r="74" spans="1:219">
      <c r="A74" s="249"/>
      <c r="B74" s="74"/>
      <c r="C74" s="249"/>
      <c r="D74" s="249"/>
      <c r="E74" s="249"/>
      <c r="F74" s="249"/>
      <c r="G74" s="249"/>
      <c r="H74" s="249"/>
      <c r="I74" s="249"/>
      <c r="J74" s="249"/>
      <c r="K74" s="249"/>
      <c r="L74" s="249"/>
      <c r="M74" s="211"/>
      <c r="N74" s="246"/>
      <c r="O74" s="246"/>
      <c r="P74" s="74"/>
      <c r="Q74" s="74"/>
      <c r="R74" s="74"/>
      <c r="S74" s="74"/>
      <c r="T74" s="74"/>
      <c r="GU74" s="16">
        <v>6</v>
      </c>
      <c r="GV74" s="28" t="s">
        <v>67</v>
      </c>
      <c r="HG74" s="29">
        <v>43892</v>
      </c>
      <c r="HH74" s="30" t="str">
        <f t="shared" si="20"/>
        <v>02-Mar</v>
      </c>
      <c r="HI74" s="30" t="s">
        <v>115</v>
      </c>
      <c r="HJ74" s="16" t="s">
        <v>131</v>
      </c>
      <c r="HK74" s="16" t="str">
        <f t="shared" si="21"/>
        <v>Pisces - Water</v>
      </c>
    </row>
    <row r="75" spans="1:219">
      <c r="A75" s="249"/>
      <c r="B75" s="74"/>
      <c r="C75" s="249"/>
      <c r="D75" s="249"/>
      <c r="E75" s="249"/>
      <c r="F75" s="249"/>
      <c r="G75" s="249"/>
      <c r="H75" s="249"/>
      <c r="I75" s="249"/>
      <c r="J75" s="249"/>
      <c r="K75" s="249"/>
      <c r="L75" s="249"/>
      <c r="M75" s="74"/>
      <c r="N75" s="74"/>
      <c r="O75" s="74"/>
      <c r="P75" s="74"/>
      <c r="Q75" s="74"/>
      <c r="R75" s="74"/>
      <c r="S75" s="74"/>
      <c r="T75" s="74"/>
      <c r="GU75" s="16">
        <v>2</v>
      </c>
      <c r="GV75" s="46" t="s">
        <v>33</v>
      </c>
      <c r="HG75" s="29">
        <v>43893</v>
      </c>
      <c r="HH75" s="30" t="str">
        <f t="shared" si="20"/>
        <v>03-Mar</v>
      </c>
      <c r="HI75" s="30" t="s">
        <v>115</v>
      </c>
      <c r="HJ75" s="16" t="s">
        <v>131</v>
      </c>
      <c r="HK75" s="16" t="str">
        <f t="shared" si="21"/>
        <v>Pisces - Water</v>
      </c>
    </row>
    <row r="76" spans="1:219">
      <c r="A76" s="246"/>
      <c r="B76" s="249"/>
      <c r="C76" s="249"/>
      <c r="D76" s="249"/>
      <c r="E76" s="249"/>
      <c r="F76" s="249"/>
      <c r="G76" s="249"/>
      <c r="H76" s="249"/>
      <c r="I76" s="249"/>
      <c r="J76" s="249"/>
      <c r="K76" s="249"/>
      <c r="L76" s="249"/>
      <c r="M76" s="249"/>
      <c r="N76" s="74"/>
      <c r="O76" s="74"/>
      <c r="P76" s="74"/>
      <c r="Q76" s="74"/>
      <c r="R76" s="74"/>
      <c r="S76" s="74"/>
      <c r="T76" s="74"/>
      <c r="GU76" s="16">
        <v>7</v>
      </c>
      <c r="GV76" s="46" t="s">
        <v>33</v>
      </c>
      <c r="HG76" s="29">
        <v>43894</v>
      </c>
      <c r="HH76" s="30" t="str">
        <f t="shared" si="20"/>
        <v>04-Mar</v>
      </c>
      <c r="HI76" s="30" t="s">
        <v>115</v>
      </c>
      <c r="HJ76" s="16" t="s">
        <v>131</v>
      </c>
      <c r="HK76" s="16" t="str">
        <f t="shared" si="21"/>
        <v>Pisces - Water</v>
      </c>
    </row>
    <row r="77" spans="1:219">
      <c r="A77" s="249"/>
      <c r="B77" s="74"/>
      <c r="C77" s="249"/>
      <c r="D77" s="249"/>
      <c r="E77" s="249"/>
      <c r="F77" s="249"/>
      <c r="G77" s="249"/>
      <c r="H77" s="249"/>
      <c r="I77" s="249"/>
      <c r="J77" s="249"/>
      <c r="K77" s="249"/>
      <c r="L77" s="249"/>
      <c r="M77" s="211"/>
      <c r="N77" s="246"/>
      <c r="O77" s="246"/>
      <c r="P77" s="74"/>
      <c r="Q77" s="74"/>
      <c r="R77" s="74"/>
      <c r="S77" s="74"/>
      <c r="T77" s="74"/>
      <c r="GU77" s="16">
        <v>4</v>
      </c>
      <c r="GV77" s="28" t="s">
        <v>23</v>
      </c>
      <c r="HG77" s="29">
        <v>43895</v>
      </c>
      <c r="HH77" s="30" t="str">
        <f t="shared" si="20"/>
        <v>05-Mar</v>
      </c>
      <c r="HI77" s="30" t="s">
        <v>115</v>
      </c>
      <c r="HJ77" s="16" t="s">
        <v>131</v>
      </c>
      <c r="HK77" s="16" t="str">
        <f t="shared" ref="HK77:HK140" si="30">HI77&amp;" - "&amp;HJ77</f>
        <v>Pisces - Water</v>
      </c>
    </row>
    <row r="78" spans="1:219">
      <c r="A78" s="249"/>
      <c r="B78" s="74"/>
      <c r="C78" s="249"/>
      <c r="D78" s="249"/>
      <c r="E78" s="249"/>
      <c r="F78" s="249"/>
      <c r="G78" s="249"/>
      <c r="H78" s="249"/>
      <c r="I78" s="249"/>
      <c r="J78" s="249"/>
      <c r="K78" s="249"/>
      <c r="L78" s="249"/>
      <c r="M78" s="211"/>
      <c r="N78" s="211"/>
      <c r="O78" s="211"/>
      <c r="P78" s="74"/>
      <c r="Q78" s="74"/>
      <c r="R78" s="74"/>
      <c r="S78" s="74"/>
      <c r="T78" s="74"/>
      <c r="GU78" s="16">
        <v>8</v>
      </c>
      <c r="GV78" s="28" t="s">
        <v>23</v>
      </c>
      <c r="HG78" s="29">
        <v>43896</v>
      </c>
      <c r="HH78" s="30" t="str">
        <f t="shared" ref="HH78:HH141" si="31">TEXT(HG78,"DD-MMM")</f>
        <v>06-Mar</v>
      </c>
      <c r="HI78" s="30" t="s">
        <v>115</v>
      </c>
      <c r="HJ78" s="16" t="s">
        <v>131</v>
      </c>
      <c r="HK78" s="16" t="str">
        <f t="shared" si="30"/>
        <v>Pisces - Water</v>
      </c>
    </row>
    <row r="79" spans="1:219">
      <c r="A79" s="249"/>
      <c r="B79" s="74"/>
      <c r="C79" s="20"/>
      <c r="D79" s="20"/>
      <c r="E79" s="20"/>
      <c r="F79" s="20"/>
      <c r="G79" s="249"/>
      <c r="H79" s="249"/>
      <c r="I79" s="20"/>
      <c r="J79" s="20"/>
      <c r="K79" s="20"/>
      <c r="L79" s="20"/>
      <c r="M79" s="211"/>
      <c r="N79" s="211"/>
      <c r="O79" s="211"/>
      <c r="P79" s="74"/>
      <c r="Q79" s="74"/>
      <c r="R79" s="74"/>
      <c r="S79" s="74"/>
      <c r="T79" s="74"/>
      <c r="GU79" s="16">
        <v>9</v>
      </c>
      <c r="GV79" s="46" t="s">
        <v>33</v>
      </c>
      <c r="HG79" s="29">
        <v>43897</v>
      </c>
      <c r="HH79" s="30" t="str">
        <f t="shared" si="31"/>
        <v>07-Mar</v>
      </c>
      <c r="HI79" s="30" t="s">
        <v>115</v>
      </c>
      <c r="HJ79" s="16" t="s">
        <v>131</v>
      </c>
      <c r="HK79" s="16" t="str">
        <f t="shared" si="30"/>
        <v>Pisces - Water</v>
      </c>
    </row>
    <row r="80" spans="1:219">
      <c r="A80" s="246"/>
      <c r="B80" s="249"/>
      <c r="C80" s="249"/>
      <c r="D80" s="249"/>
      <c r="E80" s="249"/>
      <c r="F80" s="249"/>
      <c r="G80" s="249"/>
      <c r="H80" s="249"/>
      <c r="I80" s="249"/>
      <c r="J80" s="249"/>
      <c r="K80" s="249"/>
      <c r="L80" s="249"/>
      <c r="M80" s="249"/>
      <c r="N80" s="74"/>
      <c r="O80" s="74"/>
      <c r="P80" s="74"/>
      <c r="Q80" s="74"/>
      <c r="R80" s="74"/>
      <c r="S80" s="74"/>
      <c r="T80" s="74"/>
      <c r="HG80" s="29">
        <v>43898</v>
      </c>
      <c r="HH80" s="30" t="str">
        <f t="shared" si="31"/>
        <v>08-Mar</v>
      </c>
      <c r="HI80" s="30" t="s">
        <v>115</v>
      </c>
      <c r="HJ80" s="16" t="s">
        <v>131</v>
      </c>
      <c r="HK80" s="16" t="str">
        <f t="shared" si="30"/>
        <v>Pisces - Water</v>
      </c>
    </row>
    <row r="81" spans="1:219">
      <c r="A81" s="249"/>
      <c r="B81" s="74"/>
      <c r="C81" s="249"/>
      <c r="D81" s="249"/>
      <c r="E81" s="249"/>
      <c r="F81" s="249"/>
      <c r="G81" s="249"/>
      <c r="H81" s="249"/>
      <c r="I81" s="249"/>
      <c r="J81" s="249"/>
      <c r="K81" s="249"/>
      <c r="L81" s="249"/>
      <c r="M81" s="211"/>
      <c r="N81" s="246"/>
      <c r="O81" s="246"/>
      <c r="P81" s="74"/>
      <c r="Q81" s="74"/>
      <c r="R81" s="74"/>
      <c r="S81" s="74"/>
      <c r="T81" s="74"/>
      <c r="HG81" s="29">
        <v>43899</v>
      </c>
      <c r="HH81" s="30" t="str">
        <f t="shared" si="31"/>
        <v>09-Mar</v>
      </c>
      <c r="HI81" s="30" t="s">
        <v>115</v>
      </c>
      <c r="HJ81" s="16" t="s">
        <v>131</v>
      </c>
      <c r="HK81" s="16" t="str">
        <f t="shared" si="30"/>
        <v>Pisces - Water</v>
      </c>
    </row>
    <row r="82" spans="1:219">
      <c r="A82" s="74"/>
      <c r="B82" s="74"/>
      <c r="C82" s="74"/>
      <c r="D82" s="74"/>
      <c r="E82" s="74"/>
      <c r="F82" s="74"/>
      <c r="G82" s="74"/>
      <c r="H82" s="74"/>
      <c r="I82" s="74"/>
      <c r="J82" s="74"/>
      <c r="K82" s="74"/>
      <c r="L82" s="74"/>
      <c r="M82" s="74"/>
      <c r="N82" s="74"/>
      <c r="O82" s="74"/>
      <c r="P82" s="74"/>
      <c r="Q82" s="74"/>
      <c r="R82" s="74"/>
      <c r="S82" s="74"/>
      <c r="T82" s="74"/>
      <c r="HG82" s="29">
        <v>43900</v>
      </c>
      <c r="HH82" s="30" t="str">
        <f t="shared" si="31"/>
        <v>10-Mar</v>
      </c>
      <c r="HI82" s="30" t="s">
        <v>115</v>
      </c>
      <c r="HJ82" s="16" t="s">
        <v>131</v>
      </c>
      <c r="HK82" s="16" t="str">
        <f t="shared" si="30"/>
        <v>Pisces - Water</v>
      </c>
    </row>
    <row r="83" spans="1:219">
      <c r="HG83" s="29">
        <v>43901</v>
      </c>
      <c r="HH83" s="30" t="str">
        <f t="shared" si="31"/>
        <v>11-Mar</v>
      </c>
      <c r="HI83" s="30" t="s">
        <v>115</v>
      </c>
      <c r="HJ83" s="16" t="s">
        <v>131</v>
      </c>
      <c r="HK83" s="16" t="str">
        <f t="shared" si="30"/>
        <v>Pisces - Water</v>
      </c>
    </row>
    <row r="84" spans="1:219">
      <c r="A84" s="202"/>
      <c r="B84" s="20"/>
      <c r="C84" s="20"/>
      <c r="D84" s="20"/>
      <c r="E84" s="20"/>
      <c r="F84" s="20"/>
      <c r="G84" s="249"/>
      <c r="H84" s="14"/>
      <c r="I84" s="14"/>
      <c r="J84" s="14"/>
      <c r="K84" s="14"/>
      <c r="L84" s="14"/>
      <c r="M84" s="14"/>
      <c r="N84" s="14"/>
      <c r="O84" s="14"/>
      <c r="P84" s="14"/>
      <c r="Q84" s="14"/>
      <c r="HG84" s="29">
        <v>43902</v>
      </c>
      <c r="HH84" s="30" t="str">
        <f t="shared" si="31"/>
        <v>12-Mar</v>
      </c>
      <c r="HI84" s="30" t="s">
        <v>115</v>
      </c>
      <c r="HJ84" s="16" t="s">
        <v>131</v>
      </c>
      <c r="HK84" s="16" t="str">
        <f t="shared" si="30"/>
        <v>Pisces - Water</v>
      </c>
    </row>
    <row r="85" spans="1:219">
      <c r="A85" s="698" t="s">
        <v>93</v>
      </c>
      <c r="B85" s="698"/>
      <c r="C85" s="62"/>
      <c r="D85" s="62"/>
      <c r="E85" s="62"/>
      <c r="F85" s="62"/>
      <c r="G85" s="62"/>
      <c r="H85" s="62"/>
      <c r="I85" s="62"/>
      <c r="J85" s="62"/>
      <c r="K85" s="62"/>
      <c r="L85" s="62"/>
      <c r="M85" s="62"/>
      <c r="N85" s="62"/>
      <c r="O85" s="62"/>
      <c r="P85" s="62"/>
      <c r="Q85" s="62"/>
      <c r="R85" s="62"/>
      <c r="S85" s="62"/>
      <c r="T85" s="62"/>
      <c r="U85" s="27"/>
      <c r="V85" s="27"/>
      <c r="HG85" s="29">
        <v>43903</v>
      </c>
      <c r="HH85" s="30" t="str">
        <f t="shared" si="31"/>
        <v>13-Mar</v>
      </c>
      <c r="HI85" s="30" t="s">
        <v>115</v>
      </c>
      <c r="HJ85" s="16" t="s">
        <v>131</v>
      </c>
      <c r="HK85" s="16" t="str">
        <f t="shared" si="30"/>
        <v>Pisces - Water</v>
      </c>
    </row>
    <row r="86" spans="1:219">
      <c r="A86" s="49" t="s">
        <v>94</v>
      </c>
      <c r="B86" s="95" t="s">
        <v>186</v>
      </c>
      <c r="C86" s="33" t="str">
        <f>MID($B86,COLUMNS($B$13:B$13),1)</f>
        <v>A</v>
      </c>
      <c r="D86" s="33" t="str">
        <f>MID($B86,COLUMNS($B$13:C$13),1)</f>
        <v>n</v>
      </c>
      <c r="E86" s="33" t="str">
        <f>MID($B86,COLUMNS($B$13:D$13),1)</f>
        <v>g</v>
      </c>
      <c r="F86" s="33" t="str">
        <f>MID($B86,COLUMNS($B$13:E$13),1)</f>
        <v>e</v>
      </c>
      <c r="G86" s="33" t="str">
        <f>MID($B86,COLUMNS($B$13:F$13),1)</f>
        <v>l</v>
      </c>
      <c r="H86" s="33" t="str">
        <f>MID($B86,COLUMNS($B$13:G$13),1)</f>
        <v>i</v>
      </c>
      <c r="I86" s="33" t="str">
        <f>MID($B86,COLUMNS($B$13:H$13),1)</f>
        <v>c</v>
      </c>
      <c r="J86" s="33" t="str">
        <f>MID($B86,COLUMNS($B$13:I$13),1)</f>
        <v xml:space="preserve"> </v>
      </c>
      <c r="K86" s="33" t="str">
        <f>MID($B86,COLUMNS($B$13:J$13),1)</f>
        <v>w</v>
      </c>
      <c r="L86" s="33" t="str">
        <f>MID($B86,COLUMNS($B$13:K$13),1)</f>
        <v>h</v>
      </c>
      <c r="M86" s="33" t="str">
        <f>MID($B86,COLUMNS($B$13:L$13),1)</f>
        <v>i</v>
      </c>
      <c r="N86" s="33" t="str">
        <f>MID($B86,COLUMNS($B$13:M$13),1)</f>
        <v>t</v>
      </c>
      <c r="O86" s="33" t="str">
        <f>MID($B86,COLUMNS($B$13:N$13),1)</f>
        <v>e</v>
      </c>
      <c r="P86" s="33" t="str">
        <f>MID($B86,COLUMNS($B$13:O$13),1)</f>
        <v xml:space="preserve"> </v>
      </c>
      <c r="Q86" s="33" t="str">
        <f>MID($B86,COLUMNS($B$13:P$13),1)</f>
        <v>w</v>
      </c>
      <c r="R86" s="33" t="str">
        <f>MID($B86,COLUMNS($B$13:Q$13),1)</f>
        <v>i</v>
      </c>
      <c r="S86" s="33" t="str">
        <f>MID($B86,COLUMNS($B$13:R$13),1)</f>
        <v>n</v>
      </c>
      <c r="T86" s="33" t="str">
        <f>MID($B86,COLUMNS($B$13:S$13),1)</f>
        <v>g</v>
      </c>
      <c r="U86" s="33" t="str">
        <f>MID($B86,COLUMNS($B$13:T$13),1)</f>
        <v>s</v>
      </c>
      <c r="V86" s="33" t="str">
        <f>MID($B86,COLUMNS($B$13:U$13),1)</f>
        <v/>
      </c>
      <c r="W86" s="33" t="str">
        <f>MID($B86,COLUMNS($B$13:V$13),1)</f>
        <v/>
      </c>
      <c r="X86" s="33" t="str">
        <f>MID($B86,COLUMNS($B$13:W$13),1)</f>
        <v/>
      </c>
      <c r="Y86" s="33" t="str">
        <f>MID($B86,COLUMNS($B$13:X$13),1)</f>
        <v/>
      </c>
      <c r="Z86" s="33" t="str">
        <f>MID($B86,COLUMNS($B$13:Y$13),1)</f>
        <v/>
      </c>
      <c r="AA86" s="33" t="str">
        <f>MID($B86,COLUMNS($B$13:Z$13),1)</f>
        <v/>
      </c>
      <c r="AB86" s="33" t="str">
        <f>MID($B86,COLUMNS($B$13:AA$13),1)</f>
        <v/>
      </c>
      <c r="AC86" s="54"/>
      <c r="HG86" s="29">
        <v>43904</v>
      </c>
      <c r="HH86" s="30" t="str">
        <f t="shared" si="31"/>
        <v>14-Mar</v>
      </c>
      <c r="HI86" s="30" t="s">
        <v>115</v>
      </c>
      <c r="HJ86" s="16" t="s">
        <v>131</v>
      </c>
      <c r="HK86" s="16" t="str">
        <f t="shared" si="30"/>
        <v>Pisces - Water</v>
      </c>
    </row>
    <row r="87" spans="1:219">
      <c r="C87" s="42">
        <f t="shared" ref="C87:AB87" si="32">IFERROR(VLOOKUP(C86,$GR:$GS,2,0),0)</f>
        <v>1</v>
      </c>
      <c r="D87" s="42">
        <f t="shared" si="32"/>
        <v>5</v>
      </c>
      <c r="E87" s="42">
        <f t="shared" si="32"/>
        <v>3</v>
      </c>
      <c r="F87" s="42">
        <f t="shared" si="32"/>
        <v>5</v>
      </c>
      <c r="G87" s="42">
        <f t="shared" si="32"/>
        <v>3</v>
      </c>
      <c r="H87" s="42">
        <f t="shared" si="32"/>
        <v>1</v>
      </c>
      <c r="I87" s="42">
        <f t="shared" si="32"/>
        <v>3</v>
      </c>
      <c r="J87" s="42">
        <f t="shared" si="32"/>
        <v>0</v>
      </c>
      <c r="K87" s="42">
        <f t="shared" si="32"/>
        <v>6</v>
      </c>
      <c r="L87" s="42">
        <f t="shared" si="32"/>
        <v>5</v>
      </c>
      <c r="M87" s="42">
        <f t="shared" si="32"/>
        <v>1</v>
      </c>
      <c r="N87" s="42">
        <f t="shared" si="32"/>
        <v>4</v>
      </c>
      <c r="O87" s="42">
        <f t="shared" si="32"/>
        <v>5</v>
      </c>
      <c r="P87" s="42">
        <f t="shared" si="32"/>
        <v>0</v>
      </c>
      <c r="Q87" s="42">
        <f t="shared" si="32"/>
        <v>6</v>
      </c>
      <c r="R87" s="42">
        <f t="shared" si="32"/>
        <v>1</v>
      </c>
      <c r="S87" s="42">
        <f t="shared" si="32"/>
        <v>5</v>
      </c>
      <c r="T87" s="42">
        <f t="shared" si="32"/>
        <v>3</v>
      </c>
      <c r="U87" s="42">
        <f t="shared" si="32"/>
        <v>3</v>
      </c>
      <c r="V87" s="42">
        <f t="shared" si="32"/>
        <v>0</v>
      </c>
      <c r="W87" s="42">
        <f t="shared" si="32"/>
        <v>0</v>
      </c>
      <c r="X87" s="42">
        <f t="shared" si="32"/>
        <v>0</v>
      </c>
      <c r="Y87" s="42">
        <f t="shared" si="32"/>
        <v>0</v>
      </c>
      <c r="Z87" s="42">
        <f t="shared" si="32"/>
        <v>0</v>
      </c>
      <c r="AA87" s="42">
        <f t="shared" si="32"/>
        <v>0</v>
      </c>
      <c r="AB87" s="42">
        <f t="shared" si="32"/>
        <v>0</v>
      </c>
      <c r="AC87" s="96">
        <f>SUM(C87:AB87)</f>
        <v>60</v>
      </c>
      <c r="AD87" s="247">
        <f>MOD(AC87-1,9)+1</f>
        <v>6</v>
      </c>
      <c r="HG87" s="29">
        <v>43905</v>
      </c>
      <c r="HH87" s="30" t="str">
        <f t="shared" si="31"/>
        <v>15-Mar</v>
      </c>
      <c r="HI87" s="30" t="s">
        <v>115</v>
      </c>
      <c r="HJ87" s="16" t="s">
        <v>131</v>
      </c>
      <c r="HK87" s="16" t="str">
        <f t="shared" si="30"/>
        <v>Pisces - Water</v>
      </c>
    </row>
    <row r="88" spans="1:219">
      <c r="AC88" s="54"/>
      <c r="HG88" s="29">
        <v>43906</v>
      </c>
      <c r="HH88" s="30" t="str">
        <f t="shared" si="31"/>
        <v>16-Mar</v>
      </c>
      <c r="HI88" s="30" t="s">
        <v>115</v>
      </c>
      <c r="HJ88" s="16" t="s">
        <v>131</v>
      </c>
      <c r="HK88" s="16" t="str">
        <f t="shared" si="30"/>
        <v>Pisces - Water</v>
      </c>
    </row>
    <row r="89" spans="1:219">
      <c r="AC89" s="49" t="s">
        <v>18</v>
      </c>
      <c r="AD89" s="49">
        <f>AA14</f>
        <v>7</v>
      </c>
      <c r="AE89" s="49" t="str">
        <f>IF(AD89=AD87,"Very Good","Not Good")</f>
        <v>Not Good</v>
      </c>
      <c r="HG89" s="29">
        <v>43907</v>
      </c>
      <c r="HH89" s="30" t="str">
        <f t="shared" si="31"/>
        <v>17-Mar</v>
      </c>
      <c r="HI89" s="30" t="s">
        <v>115</v>
      </c>
      <c r="HJ89" s="16" t="s">
        <v>131</v>
      </c>
      <c r="HK89" s="16" t="str">
        <f t="shared" si="30"/>
        <v>Pisces - Water</v>
      </c>
    </row>
    <row r="90" spans="1:219">
      <c r="AC90" s="49" t="s">
        <v>25</v>
      </c>
      <c r="AD90" s="49">
        <f ca="1">AA15</f>
        <v>8</v>
      </c>
      <c r="AE90" s="49" t="str">
        <f ca="1">IF(AD90=AD87,"Very Good","Not Good")</f>
        <v>Not Good</v>
      </c>
      <c r="HG90" s="29">
        <v>43908</v>
      </c>
      <c r="HH90" s="30" t="str">
        <f t="shared" si="31"/>
        <v>18-Mar</v>
      </c>
      <c r="HI90" s="30" t="s">
        <v>115</v>
      </c>
      <c r="HJ90" s="16" t="s">
        <v>131</v>
      </c>
      <c r="HK90" s="16" t="str">
        <f t="shared" si="30"/>
        <v>Pisces - Water</v>
      </c>
    </row>
    <row r="91" spans="1:219">
      <c r="AC91" s="54"/>
      <c r="HG91" s="29">
        <v>43909</v>
      </c>
      <c r="HH91" s="30" t="str">
        <f t="shared" si="31"/>
        <v>19-Mar</v>
      </c>
      <c r="HI91" s="30" t="s">
        <v>115</v>
      </c>
      <c r="HJ91" s="16" t="s">
        <v>131</v>
      </c>
      <c r="HK91" s="16" t="str">
        <f t="shared" si="30"/>
        <v>Pisces - Water</v>
      </c>
    </row>
    <row r="92" spans="1:219">
      <c r="A92" s="698" t="s">
        <v>95</v>
      </c>
      <c r="B92" s="698"/>
      <c r="C92" s="62"/>
      <c r="D92" s="62"/>
      <c r="E92" s="62"/>
      <c r="F92" s="62"/>
      <c r="G92" s="62"/>
      <c r="H92" s="62"/>
      <c r="I92" s="62"/>
      <c r="J92" s="62"/>
      <c r="K92" s="62"/>
      <c r="L92" s="62"/>
      <c r="M92" s="62"/>
      <c r="N92" s="62"/>
      <c r="O92" s="62"/>
      <c r="P92" s="62"/>
      <c r="Q92" s="62"/>
      <c r="R92" s="62"/>
      <c r="S92" s="62"/>
      <c r="T92" s="62"/>
      <c r="AC92" s="97"/>
      <c r="AD92" s="27"/>
      <c r="HG92" s="29">
        <v>43910</v>
      </c>
      <c r="HH92" s="30" t="str">
        <f t="shared" si="31"/>
        <v>20-Mar</v>
      </c>
      <c r="HI92" s="30" t="s">
        <v>115</v>
      </c>
      <c r="HJ92" s="16" t="s">
        <v>131</v>
      </c>
      <c r="HK92" s="16" t="str">
        <f t="shared" si="30"/>
        <v>Pisces - Water</v>
      </c>
    </row>
    <row r="93" spans="1:219">
      <c r="A93" s="49" t="s">
        <v>94</v>
      </c>
      <c r="B93" s="95" t="s">
        <v>186</v>
      </c>
      <c r="C93" s="33" t="str">
        <f>MID($B93,COLUMNS($B$13:B$13),1)</f>
        <v>A</v>
      </c>
      <c r="D93" s="33" t="str">
        <f>MID($B93,COLUMNS($B$13:C$13),1)</f>
        <v>n</v>
      </c>
      <c r="E93" s="33" t="str">
        <f>MID($B93,COLUMNS($B$13:D$13),1)</f>
        <v>g</v>
      </c>
      <c r="F93" s="33" t="str">
        <f>MID($B93,COLUMNS($B$13:E$13),1)</f>
        <v>e</v>
      </c>
      <c r="G93" s="33" t="str">
        <f>MID($B93,COLUMNS($B$13:F$13),1)</f>
        <v>l</v>
      </c>
      <c r="H93" s="33" t="str">
        <f>MID($B93,COLUMNS($B$13:G$13),1)</f>
        <v>i</v>
      </c>
      <c r="I93" s="33" t="str">
        <f>MID($B93,COLUMNS($B$13:H$13),1)</f>
        <v>c</v>
      </c>
      <c r="J93" s="33" t="str">
        <f>MID($B93,COLUMNS($B$13:I$13),1)</f>
        <v xml:space="preserve"> </v>
      </c>
      <c r="K93" s="33" t="str">
        <f>MID($B93,COLUMNS($B$13:J$13),1)</f>
        <v>w</v>
      </c>
      <c r="L93" s="33" t="str">
        <f>MID($B93,COLUMNS($B$13:K$13),1)</f>
        <v>h</v>
      </c>
      <c r="M93" s="33" t="str">
        <f>MID($B93,COLUMNS($B$13:L$13),1)</f>
        <v>i</v>
      </c>
      <c r="N93" s="33" t="str">
        <f>MID($B93,COLUMNS($B$13:M$13),1)</f>
        <v>t</v>
      </c>
      <c r="O93" s="33" t="str">
        <f>MID($B93,COLUMNS($B$13:N$13),1)</f>
        <v>e</v>
      </c>
      <c r="P93" s="33" t="str">
        <f>MID($B93,COLUMNS($B$13:O$13),1)</f>
        <v xml:space="preserve"> </v>
      </c>
      <c r="Q93" s="33" t="str">
        <f>MID($B93,COLUMNS($B$13:P$13),1)</f>
        <v>w</v>
      </c>
      <c r="R93" s="33" t="str">
        <f>MID($B93,COLUMNS($B$13:Q$13),1)</f>
        <v>i</v>
      </c>
      <c r="S93" s="33" t="str">
        <f>MID($B93,COLUMNS($B$13:R$13),1)</f>
        <v>n</v>
      </c>
      <c r="T93" s="33" t="str">
        <f>MID($B93,COLUMNS($B$13:S$13),1)</f>
        <v>g</v>
      </c>
      <c r="U93" s="33" t="str">
        <f>MID($B93,COLUMNS($B$13:T$13),1)</f>
        <v>s</v>
      </c>
      <c r="V93" s="33" t="str">
        <f>MID($B93,COLUMNS($B$13:U$13),1)</f>
        <v/>
      </c>
      <c r="W93" s="33" t="str">
        <f>MID($B93,COLUMNS($B$13:V$13),1)</f>
        <v/>
      </c>
      <c r="X93" s="33" t="str">
        <f>MID($B93,COLUMNS($B$13:W$13),1)</f>
        <v/>
      </c>
      <c r="Y93" s="33" t="str">
        <f>MID($B93,COLUMNS($B$13:X$13),1)</f>
        <v/>
      </c>
      <c r="Z93" s="33" t="str">
        <f>MID($B93,COLUMNS($B$13:Y$13),1)</f>
        <v/>
      </c>
      <c r="AA93" s="33" t="str">
        <f>MID($B93,COLUMNS($B$13:Z$13),1)</f>
        <v/>
      </c>
      <c r="AB93" s="33" t="str">
        <f>MID($B93,COLUMNS($B$13:AA$13),1)</f>
        <v/>
      </c>
      <c r="AC93" s="98"/>
      <c r="AD93" s="42"/>
      <c r="HG93" s="29">
        <v>43911</v>
      </c>
      <c r="HH93" s="30" t="str">
        <f t="shared" si="31"/>
        <v>21-Mar</v>
      </c>
      <c r="HI93" s="30" t="s">
        <v>116</v>
      </c>
      <c r="HJ93" s="16" t="s">
        <v>129</v>
      </c>
      <c r="HK93" s="16" t="str">
        <f t="shared" si="30"/>
        <v>Aries - Fire</v>
      </c>
    </row>
    <row r="94" spans="1:219">
      <c r="C94" s="42">
        <f t="shared" ref="C94:AB94" si="33">IFERROR(VLOOKUP(C93,$GR:$GS,2,0),0)</f>
        <v>1</v>
      </c>
      <c r="D94" s="42">
        <f t="shared" si="33"/>
        <v>5</v>
      </c>
      <c r="E94" s="42">
        <f t="shared" si="33"/>
        <v>3</v>
      </c>
      <c r="F94" s="42">
        <f t="shared" si="33"/>
        <v>5</v>
      </c>
      <c r="G94" s="42">
        <f t="shared" si="33"/>
        <v>3</v>
      </c>
      <c r="H94" s="42">
        <f t="shared" si="33"/>
        <v>1</v>
      </c>
      <c r="I94" s="42">
        <f t="shared" si="33"/>
        <v>3</v>
      </c>
      <c r="J94" s="42">
        <f t="shared" si="33"/>
        <v>0</v>
      </c>
      <c r="K94" s="42">
        <f t="shared" si="33"/>
        <v>6</v>
      </c>
      <c r="L94" s="42">
        <f t="shared" si="33"/>
        <v>5</v>
      </c>
      <c r="M94" s="42">
        <f t="shared" si="33"/>
        <v>1</v>
      </c>
      <c r="N94" s="42">
        <f t="shared" si="33"/>
        <v>4</v>
      </c>
      <c r="O94" s="42">
        <f t="shared" si="33"/>
        <v>5</v>
      </c>
      <c r="P94" s="42">
        <f t="shared" si="33"/>
        <v>0</v>
      </c>
      <c r="Q94" s="42">
        <f t="shared" si="33"/>
        <v>6</v>
      </c>
      <c r="R94" s="42">
        <f t="shared" si="33"/>
        <v>1</v>
      </c>
      <c r="S94" s="42">
        <f t="shared" si="33"/>
        <v>5</v>
      </c>
      <c r="T94" s="42">
        <f t="shared" si="33"/>
        <v>3</v>
      </c>
      <c r="U94" s="42">
        <f t="shared" si="33"/>
        <v>3</v>
      </c>
      <c r="V94" s="42">
        <f t="shared" si="33"/>
        <v>0</v>
      </c>
      <c r="W94" s="42">
        <f t="shared" si="33"/>
        <v>0</v>
      </c>
      <c r="X94" s="42">
        <f t="shared" si="33"/>
        <v>0</v>
      </c>
      <c r="Y94" s="42">
        <f t="shared" si="33"/>
        <v>0</v>
      </c>
      <c r="Z94" s="42">
        <f t="shared" si="33"/>
        <v>0</v>
      </c>
      <c r="AA94" s="42">
        <f t="shared" si="33"/>
        <v>0</v>
      </c>
      <c r="AB94" s="42">
        <f t="shared" si="33"/>
        <v>0</v>
      </c>
      <c r="AC94" s="96">
        <f>SUM(C94:AB94)</f>
        <v>60</v>
      </c>
      <c r="AD94" s="247">
        <f>MOD(AC94-1,9)+1</f>
        <v>6</v>
      </c>
      <c r="HG94" s="29">
        <v>43912</v>
      </c>
      <c r="HH94" s="30" t="str">
        <f t="shared" si="31"/>
        <v>22-Mar</v>
      </c>
      <c r="HI94" s="30" t="s">
        <v>116</v>
      </c>
      <c r="HJ94" s="16" t="s">
        <v>129</v>
      </c>
      <c r="HK94" s="16" t="str">
        <f t="shared" si="30"/>
        <v>Aries - Fire</v>
      </c>
    </row>
    <row r="95" spans="1:219">
      <c r="AC95" s="54"/>
      <c r="HG95" s="29">
        <v>43913</v>
      </c>
      <c r="HH95" s="30" t="str">
        <f t="shared" si="31"/>
        <v>23-Mar</v>
      </c>
      <c r="HI95" s="30" t="s">
        <v>116</v>
      </c>
      <c r="HJ95" s="16" t="s">
        <v>129</v>
      </c>
      <c r="HK95" s="16" t="str">
        <f t="shared" si="30"/>
        <v>Aries - Fire</v>
      </c>
    </row>
    <row r="96" spans="1:219">
      <c r="AC96" s="49" t="s">
        <v>18</v>
      </c>
      <c r="AD96" s="49">
        <f>AA21</f>
        <v>6</v>
      </c>
      <c r="AE96" s="49" t="str">
        <f>IF(AD96=AD94,"Very Good","Not Good")</f>
        <v>Very Good</v>
      </c>
      <c r="HG96" s="29">
        <v>43914</v>
      </c>
      <c r="HH96" s="30" t="str">
        <f t="shared" si="31"/>
        <v>24-Mar</v>
      </c>
      <c r="HI96" s="30" t="s">
        <v>116</v>
      </c>
      <c r="HJ96" s="16" t="s">
        <v>129</v>
      </c>
      <c r="HK96" s="16" t="str">
        <f t="shared" si="30"/>
        <v>Aries - Fire</v>
      </c>
    </row>
    <row r="97" spans="1:219">
      <c r="AC97" s="49" t="s">
        <v>25</v>
      </c>
      <c r="AD97" s="49">
        <f ca="1">AA22</f>
        <v>4</v>
      </c>
      <c r="AE97" s="49" t="str">
        <f ca="1">IF(AD97=AD94,"Very Good","Not Good")</f>
        <v>Not Good</v>
      </c>
      <c r="HG97" s="29">
        <v>43915</v>
      </c>
      <c r="HH97" s="30" t="str">
        <f t="shared" si="31"/>
        <v>25-Mar</v>
      </c>
      <c r="HI97" s="30" t="s">
        <v>116</v>
      </c>
      <c r="HJ97" s="16" t="s">
        <v>129</v>
      </c>
      <c r="HK97" s="16" t="str">
        <f t="shared" si="30"/>
        <v>Aries - Fire</v>
      </c>
    </row>
    <row r="98" spans="1:219">
      <c r="HG98" s="29">
        <v>43916</v>
      </c>
      <c r="HH98" s="30" t="str">
        <f t="shared" si="31"/>
        <v>26-Mar</v>
      </c>
      <c r="HI98" s="30" t="s">
        <v>116</v>
      </c>
      <c r="HJ98" s="16" t="s">
        <v>129</v>
      </c>
      <c r="HK98" s="16" t="str">
        <f t="shared" si="30"/>
        <v>Aries - Fire</v>
      </c>
    </row>
    <row r="99" spans="1:219">
      <c r="A99" s="14"/>
      <c r="B99" s="14"/>
      <c r="C99" s="249"/>
      <c r="D99" s="249"/>
      <c r="E99" s="249"/>
      <c r="F99" s="246"/>
      <c r="G99" s="249"/>
      <c r="H99" s="14"/>
      <c r="I99" s="14"/>
      <c r="J99" s="14"/>
      <c r="K99" s="14"/>
      <c r="L99" s="14"/>
      <c r="M99" s="14"/>
      <c r="N99" s="14"/>
      <c r="O99" s="14"/>
      <c r="P99" s="14"/>
      <c r="Q99" s="14"/>
      <c r="T99" s="14"/>
      <c r="U99" s="246"/>
      <c r="V99" s="14"/>
      <c r="HG99" s="29">
        <v>43917</v>
      </c>
      <c r="HH99" s="30" t="str">
        <f t="shared" si="31"/>
        <v>27-Mar</v>
      </c>
      <c r="HI99" s="30" t="s">
        <v>116</v>
      </c>
      <c r="HJ99" s="16" t="s">
        <v>129</v>
      </c>
      <c r="HK99" s="16" t="str">
        <f t="shared" si="30"/>
        <v>Aries - Fire</v>
      </c>
    </row>
    <row r="100" spans="1:219">
      <c r="A100" s="14"/>
      <c r="B100" s="14"/>
      <c r="C100" s="249"/>
      <c r="D100" s="249"/>
      <c r="E100" s="249"/>
      <c r="F100" s="246"/>
      <c r="G100" s="249"/>
      <c r="H100" s="14"/>
      <c r="I100" s="14"/>
      <c r="J100" s="14"/>
      <c r="K100" s="14"/>
      <c r="L100" s="14"/>
      <c r="M100" s="14"/>
      <c r="N100" s="14"/>
      <c r="O100" s="14"/>
      <c r="P100" s="14"/>
      <c r="Q100" s="14"/>
      <c r="T100" s="14"/>
      <c r="U100" s="246"/>
      <c r="V100" s="14"/>
      <c r="HG100" s="29">
        <v>43918</v>
      </c>
      <c r="HH100" s="30" t="str">
        <f t="shared" si="31"/>
        <v>28-Mar</v>
      </c>
      <c r="HI100" s="30" t="s">
        <v>116</v>
      </c>
      <c r="HJ100" s="16" t="s">
        <v>129</v>
      </c>
      <c r="HK100" s="16" t="str">
        <f t="shared" si="30"/>
        <v>Aries - Fire</v>
      </c>
    </row>
    <row r="101" spans="1:219">
      <c r="A101" s="14"/>
      <c r="B101" s="14"/>
      <c r="C101" s="249"/>
      <c r="D101" s="249"/>
      <c r="E101" s="249"/>
      <c r="F101" s="246"/>
      <c r="G101" s="249"/>
      <c r="H101" s="14"/>
      <c r="I101" s="14"/>
      <c r="J101" s="14"/>
      <c r="K101" s="14"/>
      <c r="L101" s="14"/>
      <c r="M101" s="14"/>
      <c r="N101" s="14"/>
      <c r="O101" s="14"/>
      <c r="P101" s="14"/>
      <c r="Q101" s="14"/>
      <c r="T101" s="14"/>
      <c r="U101" s="246"/>
      <c r="V101" s="14"/>
      <c r="HG101" s="29">
        <v>43919</v>
      </c>
      <c r="HH101" s="30" t="str">
        <f t="shared" si="31"/>
        <v>29-Mar</v>
      </c>
      <c r="HI101" s="30" t="s">
        <v>116</v>
      </c>
      <c r="HJ101" s="16" t="s">
        <v>129</v>
      </c>
      <c r="HK101" s="16" t="str">
        <f t="shared" si="30"/>
        <v>Aries - Fire</v>
      </c>
    </row>
    <row r="102" spans="1:219">
      <c r="A102" s="14"/>
      <c r="B102" s="14"/>
      <c r="C102" s="249"/>
      <c r="D102" s="249"/>
      <c r="E102" s="249"/>
      <c r="F102" s="246"/>
      <c r="G102" s="249"/>
      <c r="H102" s="14"/>
      <c r="I102" s="14"/>
      <c r="J102" s="14"/>
      <c r="K102" s="14"/>
      <c r="L102" s="14"/>
      <c r="M102" s="14"/>
      <c r="N102" s="14"/>
      <c r="O102" s="14"/>
      <c r="P102" s="14"/>
      <c r="Q102" s="14"/>
      <c r="T102" s="14"/>
      <c r="U102" s="246"/>
      <c r="V102" s="14"/>
      <c r="HG102" s="29">
        <v>43920</v>
      </c>
      <c r="HH102" s="30" t="str">
        <f t="shared" si="31"/>
        <v>30-Mar</v>
      </c>
      <c r="HI102" s="30" t="s">
        <v>116</v>
      </c>
      <c r="HJ102" s="16" t="s">
        <v>129</v>
      </c>
      <c r="HK102" s="16" t="str">
        <f t="shared" si="30"/>
        <v>Aries - Fire</v>
      </c>
    </row>
    <row r="103" spans="1:219">
      <c r="A103" s="14"/>
      <c r="B103" s="14"/>
      <c r="C103" s="249"/>
      <c r="D103" s="249"/>
      <c r="E103" s="249"/>
      <c r="F103" s="246"/>
      <c r="G103" s="249"/>
      <c r="H103" s="14"/>
      <c r="I103" s="14"/>
      <c r="J103" s="14"/>
      <c r="K103" s="14"/>
      <c r="L103" s="14"/>
      <c r="M103" s="14"/>
      <c r="N103" s="14"/>
      <c r="O103" s="14"/>
      <c r="P103" s="14"/>
      <c r="Q103" s="14"/>
      <c r="T103" s="14"/>
      <c r="U103" s="246"/>
      <c r="V103" s="14"/>
      <c r="HG103" s="29">
        <v>43921</v>
      </c>
      <c r="HH103" s="30" t="str">
        <f t="shared" si="31"/>
        <v>31-Mar</v>
      </c>
      <c r="HI103" s="30" t="s">
        <v>116</v>
      </c>
      <c r="HJ103" s="16" t="s">
        <v>129</v>
      </c>
      <c r="HK103" s="16" t="str">
        <f t="shared" si="30"/>
        <v>Aries - Fire</v>
      </c>
    </row>
    <row r="104" spans="1:219">
      <c r="A104" s="14"/>
      <c r="B104" s="14"/>
      <c r="C104" s="249"/>
      <c r="D104" s="249"/>
      <c r="E104" s="249"/>
      <c r="F104" s="246"/>
      <c r="G104" s="249"/>
      <c r="H104" s="14"/>
      <c r="I104" s="14"/>
      <c r="J104" s="14"/>
      <c r="K104" s="14"/>
      <c r="L104" s="14"/>
      <c r="M104" s="14"/>
      <c r="N104" s="14"/>
      <c r="O104" s="14"/>
      <c r="P104" s="14"/>
      <c r="Q104" s="14"/>
      <c r="T104" s="14"/>
      <c r="U104" s="246"/>
      <c r="V104" s="14"/>
      <c r="HG104" s="29">
        <v>43922</v>
      </c>
      <c r="HH104" s="30" t="str">
        <f t="shared" si="31"/>
        <v>01-Apr</v>
      </c>
      <c r="HI104" s="30" t="s">
        <v>116</v>
      </c>
      <c r="HJ104" s="16" t="s">
        <v>129</v>
      </c>
      <c r="HK104" s="16" t="str">
        <f t="shared" si="30"/>
        <v>Aries - Fire</v>
      </c>
    </row>
    <row r="105" spans="1:219">
      <c r="A105" s="14"/>
      <c r="B105" s="14"/>
      <c r="C105" s="249"/>
      <c r="D105" s="249"/>
      <c r="E105" s="249"/>
      <c r="F105" s="246"/>
      <c r="G105" s="249"/>
      <c r="H105" s="14"/>
      <c r="I105" s="14"/>
      <c r="J105" s="14"/>
      <c r="K105" s="14"/>
      <c r="L105" s="14"/>
      <c r="M105" s="14"/>
      <c r="N105" s="14"/>
      <c r="O105" s="14"/>
      <c r="P105" s="14"/>
      <c r="Q105" s="14"/>
      <c r="T105" s="14"/>
      <c r="U105" s="246"/>
      <c r="V105" s="14"/>
      <c r="HG105" s="29">
        <v>43923</v>
      </c>
      <c r="HH105" s="30" t="str">
        <f t="shared" si="31"/>
        <v>02-Apr</v>
      </c>
      <c r="HI105" s="30" t="s">
        <v>116</v>
      </c>
      <c r="HJ105" s="16" t="s">
        <v>129</v>
      </c>
      <c r="HK105" s="16" t="str">
        <f t="shared" si="30"/>
        <v>Aries - Fire</v>
      </c>
    </row>
    <row r="106" spans="1:219">
      <c r="A106" s="14"/>
      <c r="B106" s="14"/>
      <c r="C106" s="249"/>
      <c r="D106" s="249"/>
      <c r="E106" s="249"/>
      <c r="F106" s="246"/>
      <c r="G106" s="249"/>
      <c r="H106" s="14"/>
      <c r="I106" s="14"/>
      <c r="J106" s="14"/>
      <c r="K106" s="14"/>
      <c r="L106" s="14"/>
      <c r="M106" s="14"/>
      <c r="N106" s="14"/>
      <c r="O106" s="14"/>
      <c r="P106" s="14"/>
      <c r="Q106" s="14"/>
      <c r="T106" s="14"/>
      <c r="U106" s="246"/>
      <c r="V106" s="14"/>
      <c r="HG106" s="29">
        <v>43924</v>
      </c>
      <c r="HH106" s="30" t="str">
        <f t="shared" si="31"/>
        <v>03-Apr</v>
      </c>
      <c r="HI106" s="30" t="s">
        <v>116</v>
      </c>
      <c r="HJ106" s="16" t="s">
        <v>129</v>
      </c>
      <c r="HK106" s="16" t="str">
        <f t="shared" si="30"/>
        <v>Aries - Fire</v>
      </c>
    </row>
    <row r="107" spans="1:219">
      <c r="A107" s="14"/>
      <c r="B107" s="14"/>
      <c r="C107" s="249"/>
      <c r="D107" s="249"/>
      <c r="E107" s="249"/>
      <c r="F107" s="246"/>
      <c r="G107" s="249"/>
      <c r="H107" s="14"/>
      <c r="I107" s="14"/>
      <c r="J107" s="14"/>
      <c r="K107" s="14"/>
      <c r="L107" s="14"/>
      <c r="M107" s="14"/>
      <c r="N107" s="14"/>
      <c r="O107" s="14"/>
      <c r="P107" s="14"/>
      <c r="Q107" s="14"/>
      <c r="T107" s="14"/>
      <c r="U107" s="246"/>
      <c r="V107" s="14"/>
      <c r="HG107" s="29">
        <v>43925</v>
      </c>
      <c r="HH107" s="30" t="str">
        <f t="shared" si="31"/>
        <v>04-Apr</v>
      </c>
      <c r="HI107" s="30" t="s">
        <v>116</v>
      </c>
      <c r="HJ107" s="16" t="s">
        <v>129</v>
      </c>
      <c r="HK107" s="16" t="str">
        <f t="shared" si="30"/>
        <v>Aries - Fire</v>
      </c>
    </row>
    <row r="108" spans="1:219">
      <c r="A108" s="14"/>
      <c r="B108" s="14"/>
      <c r="C108" s="249"/>
      <c r="D108" s="249"/>
      <c r="E108" s="249"/>
      <c r="F108" s="246"/>
      <c r="G108" s="249"/>
      <c r="H108" s="14"/>
      <c r="I108" s="14"/>
      <c r="J108" s="14"/>
      <c r="K108" s="14"/>
      <c r="L108" s="14"/>
      <c r="M108" s="14"/>
      <c r="N108" s="14"/>
      <c r="O108" s="14"/>
      <c r="P108" s="14"/>
      <c r="Q108" s="14"/>
      <c r="T108" s="14"/>
      <c r="U108" s="246"/>
      <c r="V108" s="14"/>
      <c r="HG108" s="29">
        <v>43926</v>
      </c>
      <c r="HH108" s="30" t="str">
        <f t="shared" si="31"/>
        <v>05-Apr</v>
      </c>
      <c r="HI108" s="30" t="s">
        <v>116</v>
      </c>
      <c r="HJ108" s="16" t="s">
        <v>129</v>
      </c>
      <c r="HK108" s="16" t="str">
        <f t="shared" si="30"/>
        <v>Aries - Fire</v>
      </c>
    </row>
    <row r="109" spans="1:219">
      <c r="A109" s="14"/>
      <c r="B109" s="14"/>
      <c r="C109" s="249"/>
      <c r="D109" s="249"/>
      <c r="E109" s="249"/>
      <c r="F109" s="246"/>
      <c r="G109" s="249"/>
      <c r="H109" s="14"/>
      <c r="I109" s="14"/>
      <c r="J109" s="14"/>
      <c r="K109" s="14"/>
      <c r="L109" s="14"/>
      <c r="M109" s="14"/>
      <c r="N109" s="14"/>
      <c r="O109" s="14"/>
      <c r="P109" s="14"/>
      <c r="Q109" s="14"/>
      <c r="T109" s="14"/>
      <c r="U109" s="246"/>
      <c r="V109" s="14"/>
      <c r="HG109" s="29">
        <v>43927</v>
      </c>
      <c r="HH109" s="30" t="str">
        <f t="shared" si="31"/>
        <v>06-Apr</v>
      </c>
      <c r="HI109" s="30" t="s">
        <v>116</v>
      </c>
      <c r="HJ109" s="16" t="s">
        <v>129</v>
      </c>
      <c r="HK109" s="16" t="str">
        <f t="shared" si="30"/>
        <v>Aries - Fire</v>
      </c>
    </row>
    <row r="110" spans="1:219">
      <c r="A110" s="14"/>
      <c r="B110" s="14"/>
      <c r="C110" s="249"/>
      <c r="D110" s="249"/>
      <c r="E110" s="249"/>
      <c r="F110" s="246"/>
      <c r="G110" s="249"/>
      <c r="H110" s="14"/>
      <c r="I110" s="14"/>
      <c r="J110" s="14"/>
      <c r="K110" s="14"/>
      <c r="L110" s="14"/>
      <c r="M110" s="14"/>
      <c r="N110" s="14"/>
      <c r="O110" s="14"/>
      <c r="P110" s="14"/>
      <c r="Q110" s="14"/>
      <c r="T110" s="14"/>
      <c r="U110" s="246"/>
      <c r="V110" s="14"/>
      <c r="HG110" s="29">
        <v>43928</v>
      </c>
      <c r="HH110" s="30" t="str">
        <f t="shared" si="31"/>
        <v>07-Apr</v>
      </c>
      <c r="HI110" s="30" t="s">
        <v>116</v>
      </c>
      <c r="HJ110" s="16" t="s">
        <v>129</v>
      </c>
      <c r="HK110" s="16" t="str">
        <f t="shared" si="30"/>
        <v>Aries - Fire</v>
      </c>
    </row>
    <row r="111" spans="1:219">
      <c r="A111" s="14"/>
      <c r="B111" s="14"/>
      <c r="C111" s="249"/>
      <c r="D111" s="249"/>
      <c r="E111" s="249"/>
      <c r="F111" s="246"/>
      <c r="G111" s="249"/>
      <c r="H111" s="14"/>
      <c r="I111" s="14"/>
      <c r="J111" s="14"/>
      <c r="K111" s="14"/>
      <c r="L111" s="14"/>
      <c r="M111" s="14"/>
      <c r="N111" s="14"/>
      <c r="O111" s="14"/>
      <c r="P111" s="14"/>
      <c r="Q111" s="14"/>
      <c r="T111" s="14"/>
      <c r="U111" s="246"/>
      <c r="V111" s="14"/>
      <c r="HG111" s="29">
        <v>43929</v>
      </c>
      <c r="HH111" s="30" t="str">
        <f t="shared" si="31"/>
        <v>08-Apr</v>
      </c>
      <c r="HI111" s="30" t="s">
        <v>116</v>
      </c>
      <c r="HJ111" s="16" t="s">
        <v>129</v>
      </c>
      <c r="HK111" s="16" t="str">
        <f t="shared" si="30"/>
        <v>Aries - Fire</v>
      </c>
    </row>
    <row r="112" spans="1:219">
      <c r="A112" s="14"/>
      <c r="B112" s="14"/>
      <c r="C112" s="249"/>
      <c r="D112" s="249"/>
      <c r="E112" s="249"/>
      <c r="F112" s="246"/>
      <c r="G112" s="249"/>
      <c r="H112" s="14"/>
      <c r="I112" s="14"/>
      <c r="J112" s="14"/>
      <c r="K112" s="14"/>
      <c r="L112" s="14"/>
      <c r="M112" s="14"/>
      <c r="N112" s="14"/>
      <c r="O112" s="14"/>
      <c r="P112" s="14"/>
      <c r="Q112" s="14"/>
      <c r="T112" s="14"/>
      <c r="U112" s="246"/>
      <c r="V112" s="14"/>
      <c r="HG112" s="29">
        <v>43930</v>
      </c>
      <c r="HH112" s="30" t="str">
        <f t="shared" si="31"/>
        <v>09-Apr</v>
      </c>
      <c r="HI112" s="30" t="s">
        <v>116</v>
      </c>
      <c r="HJ112" s="16" t="s">
        <v>129</v>
      </c>
      <c r="HK112" s="16" t="str">
        <f t="shared" si="30"/>
        <v>Aries - Fire</v>
      </c>
    </row>
    <row r="113" spans="1:219">
      <c r="A113" s="14"/>
      <c r="B113" s="14"/>
      <c r="C113" s="249"/>
      <c r="D113" s="249"/>
      <c r="E113" s="249"/>
      <c r="F113" s="246"/>
      <c r="G113" s="249"/>
      <c r="H113" s="14"/>
      <c r="I113" s="14"/>
      <c r="J113" s="14"/>
      <c r="K113" s="14"/>
      <c r="L113" s="14"/>
      <c r="M113" s="14"/>
      <c r="N113" s="14"/>
      <c r="O113" s="14"/>
      <c r="P113" s="14"/>
      <c r="Q113" s="14"/>
      <c r="T113" s="14"/>
      <c r="U113" s="246"/>
      <c r="V113" s="14"/>
      <c r="HG113" s="29">
        <v>43931</v>
      </c>
      <c r="HH113" s="30" t="str">
        <f t="shared" si="31"/>
        <v>10-Apr</v>
      </c>
      <c r="HI113" s="30" t="s">
        <v>116</v>
      </c>
      <c r="HJ113" s="16" t="s">
        <v>129</v>
      </c>
      <c r="HK113" s="16" t="str">
        <f t="shared" si="30"/>
        <v>Aries - Fire</v>
      </c>
    </row>
    <row r="114" spans="1:219">
      <c r="A114" s="14"/>
      <c r="B114" s="14"/>
      <c r="C114" s="249"/>
      <c r="D114" s="249"/>
      <c r="E114" s="249"/>
      <c r="F114" s="246"/>
      <c r="G114" s="249"/>
      <c r="H114" s="14"/>
      <c r="I114" s="14"/>
      <c r="J114" s="14"/>
      <c r="K114" s="14"/>
      <c r="L114" s="14"/>
      <c r="M114" s="14"/>
      <c r="N114" s="14"/>
      <c r="O114" s="14"/>
      <c r="P114" s="14"/>
      <c r="Q114" s="14"/>
      <c r="T114" s="14"/>
      <c r="U114" s="246"/>
      <c r="V114" s="14"/>
      <c r="HG114" s="29">
        <v>43932</v>
      </c>
      <c r="HH114" s="30" t="str">
        <f t="shared" si="31"/>
        <v>11-Apr</v>
      </c>
      <c r="HI114" s="30" t="s">
        <v>116</v>
      </c>
      <c r="HJ114" s="16" t="s">
        <v>129</v>
      </c>
      <c r="HK114" s="16" t="str">
        <f t="shared" si="30"/>
        <v>Aries - Fire</v>
      </c>
    </row>
    <row r="115" spans="1:219">
      <c r="A115" s="14"/>
      <c r="B115" s="14"/>
      <c r="C115" s="249"/>
      <c r="D115" s="249"/>
      <c r="E115" s="249"/>
      <c r="F115" s="246"/>
      <c r="G115" s="249"/>
      <c r="H115" s="14"/>
      <c r="I115" s="14"/>
      <c r="J115" s="14"/>
      <c r="K115" s="14"/>
      <c r="L115" s="14"/>
      <c r="M115" s="14"/>
      <c r="N115" s="14"/>
      <c r="O115" s="14"/>
      <c r="P115" s="14"/>
      <c r="Q115" s="14"/>
      <c r="T115" s="14"/>
      <c r="U115" s="246"/>
      <c r="V115" s="14"/>
      <c r="HG115" s="29">
        <v>43933</v>
      </c>
      <c r="HH115" s="30" t="str">
        <f t="shared" si="31"/>
        <v>12-Apr</v>
      </c>
      <c r="HI115" s="30" t="s">
        <v>116</v>
      </c>
      <c r="HJ115" s="16" t="s">
        <v>129</v>
      </c>
      <c r="HK115" s="16" t="str">
        <f t="shared" si="30"/>
        <v>Aries - Fire</v>
      </c>
    </row>
    <row r="116" spans="1:219">
      <c r="HG116" s="29">
        <v>43934</v>
      </c>
      <c r="HH116" s="30" t="str">
        <f t="shared" si="31"/>
        <v>13-Apr</v>
      </c>
      <c r="HI116" s="30" t="s">
        <v>116</v>
      </c>
      <c r="HJ116" s="16" t="s">
        <v>129</v>
      </c>
      <c r="HK116" s="16" t="str">
        <f t="shared" si="30"/>
        <v>Aries - Fire</v>
      </c>
    </row>
    <row r="117" spans="1:219">
      <c r="HG117" s="29">
        <v>43935</v>
      </c>
      <c r="HH117" s="30" t="str">
        <f t="shared" si="31"/>
        <v>14-Apr</v>
      </c>
      <c r="HI117" s="30" t="s">
        <v>116</v>
      </c>
      <c r="HJ117" s="16" t="s">
        <v>129</v>
      </c>
      <c r="HK117" s="16" t="str">
        <f t="shared" si="30"/>
        <v>Aries - Fire</v>
      </c>
    </row>
    <row r="118" spans="1:219">
      <c r="HG118" s="29">
        <v>43936</v>
      </c>
      <c r="HH118" s="30" t="str">
        <f t="shared" si="31"/>
        <v>15-Apr</v>
      </c>
      <c r="HI118" s="30" t="s">
        <v>116</v>
      </c>
      <c r="HJ118" s="16" t="s">
        <v>129</v>
      </c>
      <c r="HK118" s="16" t="str">
        <f t="shared" si="30"/>
        <v>Aries - Fire</v>
      </c>
    </row>
    <row r="119" spans="1:219">
      <c r="HG119" s="29">
        <v>43937</v>
      </c>
      <c r="HH119" s="30" t="str">
        <f t="shared" si="31"/>
        <v>16-Apr</v>
      </c>
      <c r="HI119" s="30" t="s">
        <v>116</v>
      </c>
      <c r="HJ119" s="16" t="s">
        <v>129</v>
      </c>
      <c r="HK119" s="16" t="str">
        <f t="shared" si="30"/>
        <v>Aries - Fire</v>
      </c>
    </row>
    <row r="120" spans="1:219">
      <c r="HG120" s="29">
        <v>43938</v>
      </c>
      <c r="HH120" s="30" t="str">
        <f t="shared" si="31"/>
        <v>17-Apr</v>
      </c>
      <c r="HI120" s="30" t="s">
        <v>116</v>
      </c>
      <c r="HJ120" s="16" t="s">
        <v>129</v>
      </c>
      <c r="HK120" s="16" t="str">
        <f t="shared" si="30"/>
        <v>Aries - Fire</v>
      </c>
    </row>
    <row r="121" spans="1:219">
      <c r="HG121" s="29">
        <v>43939</v>
      </c>
      <c r="HH121" s="30" t="str">
        <f t="shared" si="31"/>
        <v>18-Apr</v>
      </c>
      <c r="HI121" s="30" t="s">
        <v>116</v>
      </c>
      <c r="HJ121" s="16" t="s">
        <v>129</v>
      </c>
      <c r="HK121" s="16" t="str">
        <f t="shared" si="30"/>
        <v>Aries - Fire</v>
      </c>
    </row>
    <row r="122" spans="1:219">
      <c r="HG122" s="29">
        <v>43940</v>
      </c>
      <c r="HH122" s="30" t="str">
        <f t="shared" si="31"/>
        <v>19-Apr</v>
      </c>
      <c r="HI122" s="30" t="s">
        <v>116</v>
      </c>
      <c r="HJ122" s="16" t="s">
        <v>129</v>
      </c>
      <c r="HK122" s="16" t="str">
        <f t="shared" si="30"/>
        <v>Aries - Fire</v>
      </c>
    </row>
    <row r="123" spans="1:219">
      <c r="HG123" s="29">
        <v>43941</v>
      </c>
      <c r="HH123" s="30" t="str">
        <f t="shared" si="31"/>
        <v>20-Apr</v>
      </c>
      <c r="HI123" s="30" t="s">
        <v>117</v>
      </c>
      <c r="HJ123" s="16" t="s">
        <v>130</v>
      </c>
      <c r="HK123" s="16" t="str">
        <f t="shared" si="30"/>
        <v>Taurus - Earth</v>
      </c>
    </row>
    <row r="124" spans="1:219">
      <c r="HG124" s="29">
        <v>43942</v>
      </c>
      <c r="HH124" s="30" t="str">
        <f t="shared" si="31"/>
        <v>21-Apr</v>
      </c>
      <c r="HI124" s="30" t="s">
        <v>117</v>
      </c>
      <c r="HJ124" s="16" t="s">
        <v>130</v>
      </c>
      <c r="HK124" s="16" t="str">
        <f t="shared" si="30"/>
        <v>Taurus - Earth</v>
      </c>
    </row>
    <row r="125" spans="1:219">
      <c r="HG125" s="29">
        <v>43943</v>
      </c>
      <c r="HH125" s="30" t="str">
        <f t="shared" si="31"/>
        <v>22-Apr</v>
      </c>
      <c r="HI125" s="30" t="s">
        <v>117</v>
      </c>
      <c r="HJ125" s="16" t="s">
        <v>130</v>
      </c>
      <c r="HK125" s="16" t="str">
        <f t="shared" si="30"/>
        <v>Taurus - Earth</v>
      </c>
    </row>
    <row r="126" spans="1:219">
      <c r="HG126" s="29">
        <v>43944</v>
      </c>
      <c r="HH126" s="30" t="str">
        <f t="shared" si="31"/>
        <v>23-Apr</v>
      </c>
      <c r="HI126" s="30" t="s">
        <v>117</v>
      </c>
      <c r="HJ126" s="16" t="s">
        <v>130</v>
      </c>
      <c r="HK126" s="16" t="str">
        <f t="shared" si="30"/>
        <v>Taurus - Earth</v>
      </c>
    </row>
    <row r="127" spans="1:219">
      <c r="HG127" s="29">
        <v>43945</v>
      </c>
      <c r="HH127" s="30" t="str">
        <f t="shared" si="31"/>
        <v>24-Apr</v>
      </c>
      <c r="HI127" s="30" t="s">
        <v>117</v>
      </c>
      <c r="HJ127" s="16" t="s">
        <v>130</v>
      </c>
      <c r="HK127" s="16" t="str">
        <f t="shared" si="30"/>
        <v>Taurus - Earth</v>
      </c>
    </row>
    <row r="128" spans="1:219">
      <c r="HG128" s="29">
        <v>43946</v>
      </c>
      <c r="HH128" s="30" t="str">
        <f t="shared" si="31"/>
        <v>25-Apr</v>
      </c>
      <c r="HI128" s="30" t="s">
        <v>117</v>
      </c>
      <c r="HJ128" s="16" t="s">
        <v>130</v>
      </c>
      <c r="HK128" s="16" t="str">
        <f t="shared" si="30"/>
        <v>Taurus - Earth</v>
      </c>
    </row>
    <row r="129" spans="215:219">
      <c r="HG129" s="29">
        <v>43947</v>
      </c>
      <c r="HH129" s="30" t="str">
        <f t="shared" si="31"/>
        <v>26-Apr</v>
      </c>
      <c r="HI129" s="30" t="s">
        <v>117</v>
      </c>
      <c r="HJ129" s="16" t="s">
        <v>130</v>
      </c>
      <c r="HK129" s="16" t="str">
        <f t="shared" si="30"/>
        <v>Taurus - Earth</v>
      </c>
    </row>
    <row r="130" spans="215:219">
      <c r="HG130" s="29">
        <v>43948</v>
      </c>
      <c r="HH130" s="30" t="str">
        <f t="shared" si="31"/>
        <v>27-Apr</v>
      </c>
      <c r="HI130" s="30" t="s">
        <v>117</v>
      </c>
      <c r="HJ130" s="16" t="s">
        <v>130</v>
      </c>
      <c r="HK130" s="16" t="str">
        <f t="shared" si="30"/>
        <v>Taurus - Earth</v>
      </c>
    </row>
    <row r="131" spans="215:219">
      <c r="HG131" s="29">
        <v>43949</v>
      </c>
      <c r="HH131" s="30" t="str">
        <f t="shared" si="31"/>
        <v>28-Apr</v>
      </c>
      <c r="HI131" s="30" t="s">
        <v>117</v>
      </c>
      <c r="HJ131" s="16" t="s">
        <v>130</v>
      </c>
      <c r="HK131" s="16" t="str">
        <f t="shared" si="30"/>
        <v>Taurus - Earth</v>
      </c>
    </row>
    <row r="132" spans="215:219">
      <c r="HG132" s="29">
        <v>43950</v>
      </c>
      <c r="HH132" s="30" t="str">
        <f t="shared" si="31"/>
        <v>29-Apr</v>
      </c>
      <c r="HI132" s="30" t="s">
        <v>117</v>
      </c>
      <c r="HJ132" s="16" t="s">
        <v>130</v>
      </c>
      <c r="HK132" s="16" t="str">
        <f t="shared" si="30"/>
        <v>Taurus - Earth</v>
      </c>
    </row>
    <row r="133" spans="215:219">
      <c r="HG133" s="29">
        <v>43951</v>
      </c>
      <c r="HH133" s="30" t="str">
        <f t="shared" si="31"/>
        <v>30-Apr</v>
      </c>
      <c r="HI133" s="30" t="s">
        <v>117</v>
      </c>
      <c r="HJ133" s="16" t="s">
        <v>130</v>
      </c>
      <c r="HK133" s="16" t="str">
        <f t="shared" si="30"/>
        <v>Taurus - Earth</v>
      </c>
    </row>
    <row r="134" spans="215:219">
      <c r="HG134" s="29">
        <v>43952</v>
      </c>
      <c r="HH134" s="30" t="str">
        <f t="shared" si="31"/>
        <v>01-May</v>
      </c>
      <c r="HI134" s="30" t="s">
        <v>117</v>
      </c>
      <c r="HJ134" s="16" t="s">
        <v>130</v>
      </c>
      <c r="HK134" s="16" t="str">
        <f t="shared" si="30"/>
        <v>Taurus - Earth</v>
      </c>
    </row>
    <row r="135" spans="215:219">
      <c r="HG135" s="29">
        <v>43953</v>
      </c>
      <c r="HH135" s="30" t="str">
        <f t="shared" si="31"/>
        <v>02-May</v>
      </c>
      <c r="HI135" s="30" t="s">
        <v>117</v>
      </c>
      <c r="HJ135" s="16" t="s">
        <v>130</v>
      </c>
      <c r="HK135" s="16" t="str">
        <f t="shared" si="30"/>
        <v>Taurus - Earth</v>
      </c>
    </row>
    <row r="136" spans="215:219">
      <c r="HG136" s="29">
        <v>43954</v>
      </c>
      <c r="HH136" s="30" t="str">
        <f t="shared" si="31"/>
        <v>03-May</v>
      </c>
      <c r="HI136" s="30" t="s">
        <v>117</v>
      </c>
      <c r="HJ136" s="16" t="s">
        <v>130</v>
      </c>
      <c r="HK136" s="16" t="str">
        <f t="shared" si="30"/>
        <v>Taurus - Earth</v>
      </c>
    </row>
    <row r="137" spans="215:219">
      <c r="HG137" s="29">
        <v>43955</v>
      </c>
      <c r="HH137" s="30" t="str">
        <f t="shared" si="31"/>
        <v>04-May</v>
      </c>
      <c r="HI137" s="30" t="s">
        <v>117</v>
      </c>
      <c r="HJ137" s="16" t="s">
        <v>130</v>
      </c>
      <c r="HK137" s="16" t="str">
        <f t="shared" si="30"/>
        <v>Taurus - Earth</v>
      </c>
    </row>
    <row r="138" spans="215:219">
      <c r="HG138" s="29">
        <v>43956</v>
      </c>
      <c r="HH138" s="30" t="str">
        <f t="shared" si="31"/>
        <v>05-May</v>
      </c>
      <c r="HI138" s="30" t="s">
        <v>117</v>
      </c>
      <c r="HJ138" s="16" t="s">
        <v>130</v>
      </c>
      <c r="HK138" s="16" t="str">
        <f t="shared" si="30"/>
        <v>Taurus - Earth</v>
      </c>
    </row>
    <row r="139" spans="215:219">
      <c r="HG139" s="29">
        <v>43957</v>
      </c>
      <c r="HH139" s="30" t="str">
        <f t="shared" si="31"/>
        <v>06-May</v>
      </c>
      <c r="HI139" s="30" t="s">
        <v>117</v>
      </c>
      <c r="HJ139" s="16" t="s">
        <v>130</v>
      </c>
      <c r="HK139" s="16" t="str">
        <f t="shared" si="30"/>
        <v>Taurus - Earth</v>
      </c>
    </row>
    <row r="140" spans="215:219">
      <c r="HG140" s="29">
        <v>43958</v>
      </c>
      <c r="HH140" s="30" t="str">
        <f t="shared" si="31"/>
        <v>07-May</v>
      </c>
      <c r="HI140" s="30" t="s">
        <v>117</v>
      </c>
      <c r="HJ140" s="16" t="s">
        <v>130</v>
      </c>
      <c r="HK140" s="16" t="str">
        <f t="shared" si="30"/>
        <v>Taurus - Earth</v>
      </c>
    </row>
    <row r="141" spans="215:219">
      <c r="HG141" s="29">
        <v>43959</v>
      </c>
      <c r="HH141" s="30" t="str">
        <f t="shared" si="31"/>
        <v>08-May</v>
      </c>
      <c r="HI141" s="30" t="s">
        <v>117</v>
      </c>
      <c r="HJ141" s="16" t="s">
        <v>130</v>
      </c>
      <c r="HK141" s="16" t="str">
        <f t="shared" ref="HK141:HK204" si="34">HI141&amp;" - "&amp;HJ141</f>
        <v>Taurus - Earth</v>
      </c>
    </row>
    <row r="142" spans="215:219">
      <c r="HG142" s="29">
        <v>43960</v>
      </c>
      <c r="HH142" s="30" t="str">
        <f t="shared" ref="HH142:HH205" si="35">TEXT(HG142,"DD-MMM")</f>
        <v>09-May</v>
      </c>
      <c r="HI142" s="30" t="s">
        <v>117</v>
      </c>
      <c r="HJ142" s="16" t="s">
        <v>130</v>
      </c>
      <c r="HK142" s="16" t="str">
        <f t="shared" si="34"/>
        <v>Taurus - Earth</v>
      </c>
    </row>
    <row r="143" spans="215:219">
      <c r="HG143" s="29">
        <v>43961</v>
      </c>
      <c r="HH143" s="30" t="str">
        <f t="shared" si="35"/>
        <v>10-May</v>
      </c>
      <c r="HI143" s="30" t="s">
        <v>117</v>
      </c>
      <c r="HJ143" s="16" t="s">
        <v>130</v>
      </c>
      <c r="HK143" s="16" t="str">
        <f t="shared" si="34"/>
        <v>Taurus - Earth</v>
      </c>
    </row>
    <row r="144" spans="215:219">
      <c r="HG144" s="29">
        <v>43962</v>
      </c>
      <c r="HH144" s="30" t="str">
        <f t="shared" si="35"/>
        <v>11-May</v>
      </c>
      <c r="HI144" s="30" t="s">
        <v>117</v>
      </c>
      <c r="HJ144" s="16" t="s">
        <v>130</v>
      </c>
      <c r="HK144" s="16" t="str">
        <f t="shared" si="34"/>
        <v>Taurus - Earth</v>
      </c>
    </row>
    <row r="145" spans="215:219">
      <c r="HG145" s="29">
        <v>43963</v>
      </c>
      <c r="HH145" s="30" t="str">
        <f t="shared" si="35"/>
        <v>12-May</v>
      </c>
      <c r="HI145" s="30" t="s">
        <v>117</v>
      </c>
      <c r="HJ145" s="16" t="s">
        <v>130</v>
      </c>
      <c r="HK145" s="16" t="str">
        <f t="shared" si="34"/>
        <v>Taurus - Earth</v>
      </c>
    </row>
    <row r="146" spans="215:219">
      <c r="HG146" s="29">
        <v>43964</v>
      </c>
      <c r="HH146" s="30" t="str">
        <f t="shared" si="35"/>
        <v>13-May</v>
      </c>
      <c r="HI146" s="30" t="s">
        <v>117</v>
      </c>
      <c r="HJ146" s="16" t="s">
        <v>130</v>
      </c>
      <c r="HK146" s="16" t="str">
        <f t="shared" si="34"/>
        <v>Taurus - Earth</v>
      </c>
    </row>
    <row r="147" spans="215:219">
      <c r="HG147" s="29">
        <v>43965</v>
      </c>
      <c r="HH147" s="30" t="str">
        <f t="shared" si="35"/>
        <v>14-May</v>
      </c>
      <c r="HI147" s="30" t="s">
        <v>117</v>
      </c>
      <c r="HJ147" s="16" t="s">
        <v>130</v>
      </c>
      <c r="HK147" s="16" t="str">
        <f t="shared" si="34"/>
        <v>Taurus - Earth</v>
      </c>
    </row>
    <row r="148" spans="215:219">
      <c r="HG148" s="29">
        <v>43966</v>
      </c>
      <c r="HH148" s="30" t="str">
        <f t="shared" si="35"/>
        <v>15-May</v>
      </c>
      <c r="HI148" s="30" t="s">
        <v>117</v>
      </c>
      <c r="HJ148" s="16" t="s">
        <v>130</v>
      </c>
      <c r="HK148" s="16" t="str">
        <f t="shared" si="34"/>
        <v>Taurus - Earth</v>
      </c>
    </row>
    <row r="149" spans="215:219">
      <c r="HG149" s="29">
        <v>43967</v>
      </c>
      <c r="HH149" s="30" t="str">
        <f t="shared" si="35"/>
        <v>16-May</v>
      </c>
      <c r="HI149" s="30" t="s">
        <v>117</v>
      </c>
      <c r="HJ149" s="16" t="s">
        <v>130</v>
      </c>
      <c r="HK149" s="16" t="str">
        <f t="shared" si="34"/>
        <v>Taurus - Earth</v>
      </c>
    </row>
    <row r="150" spans="215:219">
      <c r="HG150" s="29">
        <v>43968</v>
      </c>
      <c r="HH150" s="30" t="str">
        <f t="shared" si="35"/>
        <v>17-May</v>
      </c>
      <c r="HI150" s="30" t="s">
        <v>117</v>
      </c>
      <c r="HJ150" s="16" t="s">
        <v>130</v>
      </c>
      <c r="HK150" s="16" t="str">
        <f t="shared" si="34"/>
        <v>Taurus - Earth</v>
      </c>
    </row>
    <row r="151" spans="215:219">
      <c r="HG151" s="29">
        <v>43969</v>
      </c>
      <c r="HH151" s="30" t="str">
        <f t="shared" si="35"/>
        <v>18-May</v>
      </c>
      <c r="HI151" s="30" t="s">
        <v>117</v>
      </c>
      <c r="HJ151" s="16" t="s">
        <v>130</v>
      </c>
      <c r="HK151" s="16" t="str">
        <f t="shared" si="34"/>
        <v>Taurus - Earth</v>
      </c>
    </row>
    <row r="152" spans="215:219">
      <c r="HG152" s="29">
        <v>43970</v>
      </c>
      <c r="HH152" s="30" t="str">
        <f t="shared" si="35"/>
        <v>19-May</v>
      </c>
      <c r="HI152" s="30" t="s">
        <v>117</v>
      </c>
      <c r="HJ152" s="16" t="s">
        <v>130</v>
      </c>
      <c r="HK152" s="16" t="str">
        <f t="shared" si="34"/>
        <v>Taurus - Earth</v>
      </c>
    </row>
    <row r="153" spans="215:219">
      <c r="HG153" s="29">
        <v>43971</v>
      </c>
      <c r="HH153" s="30" t="str">
        <f t="shared" si="35"/>
        <v>20-May</v>
      </c>
      <c r="HI153" s="30" t="s">
        <v>117</v>
      </c>
      <c r="HJ153" s="16" t="s">
        <v>130</v>
      </c>
      <c r="HK153" s="16" t="str">
        <f t="shared" si="34"/>
        <v>Taurus - Earth</v>
      </c>
    </row>
    <row r="154" spans="215:219">
      <c r="HG154" s="29">
        <v>43972</v>
      </c>
      <c r="HH154" s="30" t="str">
        <f t="shared" si="35"/>
        <v>21-May</v>
      </c>
      <c r="HI154" s="30" t="s">
        <v>118</v>
      </c>
      <c r="HJ154" s="16" t="s">
        <v>132</v>
      </c>
      <c r="HK154" s="16" t="str">
        <f t="shared" si="34"/>
        <v>Gemini - Air</v>
      </c>
    </row>
    <row r="155" spans="215:219">
      <c r="HG155" s="29">
        <v>43973</v>
      </c>
      <c r="HH155" s="30" t="str">
        <f t="shared" si="35"/>
        <v>22-May</v>
      </c>
      <c r="HI155" s="30" t="s">
        <v>118</v>
      </c>
      <c r="HJ155" s="16" t="s">
        <v>132</v>
      </c>
      <c r="HK155" s="16" t="str">
        <f t="shared" si="34"/>
        <v>Gemini - Air</v>
      </c>
    </row>
    <row r="156" spans="215:219">
      <c r="HG156" s="29">
        <v>43974</v>
      </c>
      <c r="HH156" s="30" t="str">
        <f t="shared" si="35"/>
        <v>23-May</v>
      </c>
      <c r="HI156" s="30" t="s">
        <v>118</v>
      </c>
      <c r="HJ156" s="16" t="s">
        <v>132</v>
      </c>
      <c r="HK156" s="16" t="str">
        <f t="shared" si="34"/>
        <v>Gemini - Air</v>
      </c>
    </row>
    <row r="157" spans="215:219">
      <c r="HG157" s="29">
        <v>43975</v>
      </c>
      <c r="HH157" s="30" t="str">
        <f t="shared" si="35"/>
        <v>24-May</v>
      </c>
      <c r="HI157" s="30" t="s">
        <v>118</v>
      </c>
      <c r="HJ157" s="16" t="s">
        <v>132</v>
      </c>
      <c r="HK157" s="16" t="str">
        <f t="shared" si="34"/>
        <v>Gemini - Air</v>
      </c>
    </row>
    <row r="158" spans="215:219">
      <c r="HG158" s="29">
        <v>43976</v>
      </c>
      <c r="HH158" s="30" t="str">
        <f t="shared" si="35"/>
        <v>25-May</v>
      </c>
      <c r="HI158" s="30" t="s">
        <v>118</v>
      </c>
      <c r="HJ158" s="16" t="s">
        <v>132</v>
      </c>
      <c r="HK158" s="16" t="str">
        <f t="shared" si="34"/>
        <v>Gemini - Air</v>
      </c>
    </row>
    <row r="159" spans="215:219">
      <c r="HG159" s="29">
        <v>43977</v>
      </c>
      <c r="HH159" s="30" t="str">
        <f t="shared" si="35"/>
        <v>26-May</v>
      </c>
      <c r="HI159" s="30" t="s">
        <v>118</v>
      </c>
      <c r="HJ159" s="16" t="s">
        <v>132</v>
      </c>
      <c r="HK159" s="16" t="str">
        <f t="shared" si="34"/>
        <v>Gemini - Air</v>
      </c>
    </row>
    <row r="160" spans="215:219">
      <c r="HG160" s="29">
        <v>43978</v>
      </c>
      <c r="HH160" s="30" t="str">
        <f t="shared" si="35"/>
        <v>27-May</v>
      </c>
      <c r="HI160" s="30" t="s">
        <v>118</v>
      </c>
      <c r="HJ160" s="16" t="s">
        <v>132</v>
      </c>
      <c r="HK160" s="16" t="str">
        <f t="shared" si="34"/>
        <v>Gemini - Air</v>
      </c>
    </row>
    <row r="161" spans="215:219">
      <c r="HG161" s="29">
        <v>43979</v>
      </c>
      <c r="HH161" s="30" t="str">
        <f t="shared" si="35"/>
        <v>28-May</v>
      </c>
      <c r="HI161" s="30" t="s">
        <v>118</v>
      </c>
      <c r="HJ161" s="16" t="s">
        <v>132</v>
      </c>
      <c r="HK161" s="16" t="str">
        <f t="shared" si="34"/>
        <v>Gemini - Air</v>
      </c>
    </row>
    <row r="162" spans="215:219">
      <c r="HG162" s="29">
        <v>43980</v>
      </c>
      <c r="HH162" s="30" t="str">
        <f t="shared" si="35"/>
        <v>29-May</v>
      </c>
      <c r="HI162" s="30" t="s">
        <v>118</v>
      </c>
      <c r="HJ162" s="16" t="s">
        <v>132</v>
      </c>
      <c r="HK162" s="16" t="str">
        <f t="shared" si="34"/>
        <v>Gemini - Air</v>
      </c>
    </row>
    <row r="163" spans="215:219">
      <c r="HG163" s="29">
        <v>43981</v>
      </c>
      <c r="HH163" s="30" t="str">
        <f t="shared" si="35"/>
        <v>30-May</v>
      </c>
      <c r="HI163" s="30" t="s">
        <v>118</v>
      </c>
      <c r="HJ163" s="16" t="s">
        <v>132</v>
      </c>
      <c r="HK163" s="16" t="str">
        <f t="shared" si="34"/>
        <v>Gemini - Air</v>
      </c>
    </row>
    <row r="164" spans="215:219">
      <c r="HG164" s="29">
        <v>43982</v>
      </c>
      <c r="HH164" s="30" t="str">
        <f t="shared" si="35"/>
        <v>31-May</v>
      </c>
      <c r="HI164" s="30" t="s">
        <v>118</v>
      </c>
      <c r="HJ164" s="16" t="s">
        <v>132</v>
      </c>
      <c r="HK164" s="16" t="str">
        <f t="shared" si="34"/>
        <v>Gemini - Air</v>
      </c>
    </row>
    <row r="165" spans="215:219">
      <c r="HG165" s="29">
        <v>43983</v>
      </c>
      <c r="HH165" s="30" t="str">
        <f t="shared" si="35"/>
        <v>01-Jun</v>
      </c>
      <c r="HI165" s="30" t="s">
        <v>118</v>
      </c>
      <c r="HJ165" s="16" t="s">
        <v>132</v>
      </c>
      <c r="HK165" s="16" t="str">
        <f t="shared" si="34"/>
        <v>Gemini - Air</v>
      </c>
    </row>
    <row r="166" spans="215:219">
      <c r="HG166" s="29">
        <v>43984</v>
      </c>
      <c r="HH166" s="30" t="str">
        <f t="shared" si="35"/>
        <v>02-Jun</v>
      </c>
      <c r="HI166" s="30" t="s">
        <v>118</v>
      </c>
      <c r="HJ166" s="16" t="s">
        <v>132</v>
      </c>
      <c r="HK166" s="16" t="str">
        <f t="shared" si="34"/>
        <v>Gemini - Air</v>
      </c>
    </row>
    <row r="167" spans="215:219">
      <c r="HG167" s="29">
        <v>43985</v>
      </c>
      <c r="HH167" s="30" t="str">
        <f t="shared" si="35"/>
        <v>03-Jun</v>
      </c>
      <c r="HI167" s="30" t="s">
        <v>118</v>
      </c>
      <c r="HJ167" s="16" t="s">
        <v>132</v>
      </c>
      <c r="HK167" s="16" t="str">
        <f t="shared" si="34"/>
        <v>Gemini - Air</v>
      </c>
    </row>
    <row r="168" spans="215:219">
      <c r="HG168" s="29">
        <v>43986</v>
      </c>
      <c r="HH168" s="30" t="str">
        <f t="shared" si="35"/>
        <v>04-Jun</v>
      </c>
      <c r="HI168" s="30" t="s">
        <v>118</v>
      </c>
      <c r="HJ168" s="16" t="s">
        <v>132</v>
      </c>
      <c r="HK168" s="16" t="str">
        <f t="shared" si="34"/>
        <v>Gemini - Air</v>
      </c>
    </row>
    <row r="169" spans="215:219">
      <c r="HG169" s="29">
        <v>43987</v>
      </c>
      <c r="HH169" s="30" t="str">
        <f t="shared" si="35"/>
        <v>05-Jun</v>
      </c>
      <c r="HI169" s="30" t="s">
        <v>118</v>
      </c>
      <c r="HJ169" s="16" t="s">
        <v>132</v>
      </c>
      <c r="HK169" s="16" t="str">
        <f t="shared" si="34"/>
        <v>Gemini - Air</v>
      </c>
    </row>
    <row r="170" spans="215:219">
      <c r="HG170" s="29">
        <v>43988</v>
      </c>
      <c r="HH170" s="30" t="str">
        <f t="shared" si="35"/>
        <v>06-Jun</v>
      </c>
      <c r="HI170" s="30" t="s">
        <v>118</v>
      </c>
      <c r="HJ170" s="16" t="s">
        <v>132</v>
      </c>
      <c r="HK170" s="16" t="str">
        <f t="shared" si="34"/>
        <v>Gemini - Air</v>
      </c>
    </row>
    <row r="171" spans="215:219">
      <c r="HG171" s="29">
        <v>43989</v>
      </c>
      <c r="HH171" s="30" t="str">
        <f t="shared" si="35"/>
        <v>07-Jun</v>
      </c>
      <c r="HI171" s="30" t="s">
        <v>118</v>
      </c>
      <c r="HJ171" s="16" t="s">
        <v>132</v>
      </c>
      <c r="HK171" s="16" t="str">
        <f t="shared" si="34"/>
        <v>Gemini - Air</v>
      </c>
    </row>
    <row r="172" spans="215:219">
      <c r="HG172" s="29">
        <v>43990</v>
      </c>
      <c r="HH172" s="30" t="str">
        <f t="shared" si="35"/>
        <v>08-Jun</v>
      </c>
      <c r="HI172" s="30" t="s">
        <v>118</v>
      </c>
      <c r="HJ172" s="16" t="s">
        <v>132</v>
      </c>
      <c r="HK172" s="16" t="str">
        <f t="shared" si="34"/>
        <v>Gemini - Air</v>
      </c>
    </row>
    <row r="173" spans="215:219">
      <c r="HG173" s="29">
        <v>43991</v>
      </c>
      <c r="HH173" s="30" t="str">
        <f t="shared" si="35"/>
        <v>09-Jun</v>
      </c>
      <c r="HI173" s="30" t="s">
        <v>118</v>
      </c>
      <c r="HJ173" s="16" t="s">
        <v>132</v>
      </c>
      <c r="HK173" s="16" t="str">
        <f t="shared" si="34"/>
        <v>Gemini - Air</v>
      </c>
    </row>
    <row r="174" spans="215:219">
      <c r="HG174" s="29">
        <v>43992</v>
      </c>
      <c r="HH174" s="30" t="str">
        <f t="shared" si="35"/>
        <v>10-Jun</v>
      </c>
      <c r="HI174" s="30" t="s">
        <v>118</v>
      </c>
      <c r="HJ174" s="16" t="s">
        <v>132</v>
      </c>
      <c r="HK174" s="16" t="str">
        <f t="shared" si="34"/>
        <v>Gemini - Air</v>
      </c>
    </row>
    <row r="175" spans="215:219">
      <c r="HG175" s="29">
        <v>43993</v>
      </c>
      <c r="HH175" s="30" t="str">
        <f t="shared" si="35"/>
        <v>11-Jun</v>
      </c>
      <c r="HI175" s="30" t="s">
        <v>118</v>
      </c>
      <c r="HJ175" s="16" t="s">
        <v>132</v>
      </c>
      <c r="HK175" s="16" t="str">
        <f t="shared" si="34"/>
        <v>Gemini - Air</v>
      </c>
    </row>
    <row r="176" spans="215:219">
      <c r="HG176" s="29">
        <v>43994</v>
      </c>
      <c r="HH176" s="30" t="str">
        <f t="shared" si="35"/>
        <v>12-Jun</v>
      </c>
      <c r="HI176" s="30" t="s">
        <v>118</v>
      </c>
      <c r="HJ176" s="16" t="s">
        <v>132</v>
      </c>
      <c r="HK176" s="16" t="str">
        <f t="shared" si="34"/>
        <v>Gemini - Air</v>
      </c>
    </row>
    <row r="177" spans="215:219">
      <c r="HG177" s="29">
        <v>43995</v>
      </c>
      <c r="HH177" s="30" t="str">
        <f t="shared" si="35"/>
        <v>13-Jun</v>
      </c>
      <c r="HI177" s="30" t="s">
        <v>118</v>
      </c>
      <c r="HJ177" s="16" t="s">
        <v>132</v>
      </c>
      <c r="HK177" s="16" t="str">
        <f t="shared" si="34"/>
        <v>Gemini - Air</v>
      </c>
    </row>
    <row r="178" spans="215:219">
      <c r="HG178" s="29">
        <v>43996</v>
      </c>
      <c r="HH178" s="30" t="str">
        <f t="shared" si="35"/>
        <v>14-Jun</v>
      </c>
      <c r="HI178" s="30" t="s">
        <v>118</v>
      </c>
      <c r="HJ178" s="16" t="s">
        <v>132</v>
      </c>
      <c r="HK178" s="16" t="str">
        <f t="shared" si="34"/>
        <v>Gemini - Air</v>
      </c>
    </row>
    <row r="179" spans="215:219">
      <c r="HG179" s="29">
        <v>43997</v>
      </c>
      <c r="HH179" s="30" t="str">
        <f t="shared" si="35"/>
        <v>15-Jun</v>
      </c>
      <c r="HI179" s="30" t="s">
        <v>118</v>
      </c>
      <c r="HJ179" s="16" t="s">
        <v>132</v>
      </c>
      <c r="HK179" s="16" t="str">
        <f t="shared" si="34"/>
        <v>Gemini - Air</v>
      </c>
    </row>
    <row r="180" spans="215:219">
      <c r="HG180" s="29">
        <v>43998</v>
      </c>
      <c r="HH180" s="30" t="str">
        <f t="shared" si="35"/>
        <v>16-Jun</v>
      </c>
      <c r="HI180" s="30" t="s">
        <v>118</v>
      </c>
      <c r="HJ180" s="16" t="s">
        <v>132</v>
      </c>
      <c r="HK180" s="16" t="str">
        <f t="shared" si="34"/>
        <v>Gemini - Air</v>
      </c>
    </row>
    <row r="181" spans="215:219">
      <c r="HG181" s="29">
        <v>43999</v>
      </c>
      <c r="HH181" s="30" t="str">
        <f t="shared" si="35"/>
        <v>17-Jun</v>
      </c>
      <c r="HI181" s="30" t="s">
        <v>118</v>
      </c>
      <c r="HJ181" s="16" t="s">
        <v>132</v>
      </c>
      <c r="HK181" s="16" t="str">
        <f t="shared" si="34"/>
        <v>Gemini - Air</v>
      </c>
    </row>
    <row r="182" spans="215:219">
      <c r="HG182" s="29">
        <v>44000</v>
      </c>
      <c r="HH182" s="30" t="str">
        <f t="shared" si="35"/>
        <v>18-Jun</v>
      </c>
      <c r="HI182" s="30" t="s">
        <v>118</v>
      </c>
      <c r="HJ182" s="16" t="s">
        <v>132</v>
      </c>
      <c r="HK182" s="16" t="str">
        <f t="shared" si="34"/>
        <v>Gemini - Air</v>
      </c>
    </row>
    <row r="183" spans="215:219">
      <c r="HG183" s="29">
        <v>44001</v>
      </c>
      <c r="HH183" s="30" t="str">
        <f t="shared" si="35"/>
        <v>19-Jun</v>
      </c>
      <c r="HI183" s="30" t="s">
        <v>118</v>
      </c>
      <c r="HJ183" s="16" t="s">
        <v>132</v>
      </c>
      <c r="HK183" s="16" t="str">
        <f t="shared" si="34"/>
        <v>Gemini - Air</v>
      </c>
    </row>
    <row r="184" spans="215:219">
      <c r="HG184" s="29">
        <v>44002</v>
      </c>
      <c r="HH184" s="30" t="str">
        <f t="shared" si="35"/>
        <v>20-Jun</v>
      </c>
      <c r="HI184" s="30" t="s">
        <v>118</v>
      </c>
      <c r="HJ184" s="16" t="s">
        <v>132</v>
      </c>
      <c r="HK184" s="16" t="str">
        <f t="shared" si="34"/>
        <v>Gemini - Air</v>
      </c>
    </row>
    <row r="185" spans="215:219">
      <c r="HG185" s="29">
        <v>44003</v>
      </c>
      <c r="HH185" s="30" t="str">
        <f t="shared" si="35"/>
        <v>21-Jun</v>
      </c>
      <c r="HI185" s="30" t="s">
        <v>119</v>
      </c>
      <c r="HJ185" s="16" t="s">
        <v>131</v>
      </c>
      <c r="HK185" s="16" t="str">
        <f t="shared" si="34"/>
        <v>Cancer - Water</v>
      </c>
    </row>
    <row r="186" spans="215:219">
      <c r="HG186" s="29">
        <v>44004</v>
      </c>
      <c r="HH186" s="30" t="str">
        <f t="shared" si="35"/>
        <v>22-Jun</v>
      </c>
      <c r="HI186" s="30" t="s">
        <v>119</v>
      </c>
      <c r="HJ186" s="16" t="s">
        <v>131</v>
      </c>
      <c r="HK186" s="16" t="str">
        <f t="shared" si="34"/>
        <v>Cancer - Water</v>
      </c>
    </row>
    <row r="187" spans="215:219">
      <c r="HG187" s="29">
        <v>44005</v>
      </c>
      <c r="HH187" s="30" t="str">
        <f t="shared" si="35"/>
        <v>23-Jun</v>
      </c>
      <c r="HI187" s="30" t="s">
        <v>119</v>
      </c>
      <c r="HJ187" s="16" t="s">
        <v>131</v>
      </c>
      <c r="HK187" s="16" t="str">
        <f t="shared" si="34"/>
        <v>Cancer - Water</v>
      </c>
    </row>
    <row r="188" spans="215:219">
      <c r="HG188" s="29">
        <v>44006</v>
      </c>
      <c r="HH188" s="30" t="str">
        <f t="shared" si="35"/>
        <v>24-Jun</v>
      </c>
      <c r="HI188" s="30" t="s">
        <v>119</v>
      </c>
      <c r="HJ188" s="16" t="s">
        <v>131</v>
      </c>
      <c r="HK188" s="16" t="str">
        <f t="shared" si="34"/>
        <v>Cancer - Water</v>
      </c>
    </row>
    <row r="189" spans="215:219">
      <c r="HG189" s="29">
        <v>44007</v>
      </c>
      <c r="HH189" s="30" t="str">
        <f t="shared" si="35"/>
        <v>25-Jun</v>
      </c>
      <c r="HI189" s="30" t="s">
        <v>119</v>
      </c>
      <c r="HJ189" s="16" t="s">
        <v>131</v>
      </c>
      <c r="HK189" s="16" t="str">
        <f t="shared" si="34"/>
        <v>Cancer - Water</v>
      </c>
    </row>
    <row r="190" spans="215:219">
      <c r="HG190" s="29">
        <v>44008</v>
      </c>
      <c r="HH190" s="30" t="str">
        <f t="shared" si="35"/>
        <v>26-Jun</v>
      </c>
      <c r="HI190" s="30" t="s">
        <v>119</v>
      </c>
      <c r="HJ190" s="16" t="s">
        <v>131</v>
      </c>
      <c r="HK190" s="16" t="str">
        <f t="shared" si="34"/>
        <v>Cancer - Water</v>
      </c>
    </row>
    <row r="191" spans="215:219">
      <c r="HG191" s="29">
        <v>44009</v>
      </c>
      <c r="HH191" s="30" t="str">
        <f t="shared" si="35"/>
        <v>27-Jun</v>
      </c>
      <c r="HI191" s="30" t="s">
        <v>119</v>
      </c>
      <c r="HJ191" s="16" t="s">
        <v>131</v>
      </c>
      <c r="HK191" s="16" t="str">
        <f t="shared" si="34"/>
        <v>Cancer - Water</v>
      </c>
    </row>
    <row r="192" spans="215:219">
      <c r="HG192" s="29">
        <v>44010</v>
      </c>
      <c r="HH192" s="30" t="str">
        <f t="shared" si="35"/>
        <v>28-Jun</v>
      </c>
      <c r="HI192" s="30" t="s">
        <v>119</v>
      </c>
      <c r="HJ192" s="16" t="s">
        <v>131</v>
      </c>
      <c r="HK192" s="16" t="str">
        <f t="shared" si="34"/>
        <v>Cancer - Water</v>
      </c>
    </row>
    <row r="193" spans="215:219">
      <c r="HG193" s="29">
        <v>44011</v>
      </c>
      <c r="HH193" s="30" t="str">
        <f t="shared" si="35"/>
        <v>29-Jun</v>
      </c>
      <c r="HI193" s="30" t="s">
        <v>119</v>
      </c>
      <c r="HJ193" s="16" t="s">
        <v>131</v>
      </c>
      <c r="HK193" s="16" t="str">
        <f t="shared" si="34"/>
        <v>Cancer - Water</v>
      </c>
    </row>
    <row r="194" spans="215:219">
      <c r="HG194" s="29">
        <v>44012</v>
      </c>
      <c r="HH194" s="30" t="str">
        <f t="shared" si="35"/>
        <v>30-Jun</v>
      </c>
      <c r="HI194" s="30" t="s">
        <v>119</v>
      </c>
      <c r="HJ194" s="16" t="s">
        <v>131</v>
      </c>
      <c r="HK194" s="16" t="str">
        <f t="shared" si="34"/>
        <v>Cancer - Water</v>
      </c>
    </row>
    <row r="195" spans="215:219">
      <c r="HG195" s="29">
        <v>44013</v>
      </c>
      <c r="HH195" s="30" t="str">
        <f t="shared" si="35"/>
        <v>01-Jul</v>
      </c>
      <c r="HI195" s="30" t="s">
        <v>119</v>
      </c>
      <c r="HJ195" s="16" t="s">
        <v>131</v>
      </c>
      <c r="HK195" s="16" t="str">
        <f t="shared" si="34"/>
        <v>Cancer - Water</v>
      </c>
    </row>
    <row r="196" spans="215:219">
      <c r="HG196" s="29">
        <v>44014</v>
      </c>
      <c r="HH196" s="30" t="str">
        <f t="shared" si="35"/>
        <v>02-Jul</v>
      </c>
      <c r="HI196" s="30" t="s">
        <v>119</v>
      </c>
      <c r="HJ196" s="16" t="s">
        <v>131</v>
      </c>
      <c r="HK196" s="16" t="str">
        <f t="shared" si="34"/>
        <v>Cancer - Water</v>
      </c>
    </row>
    <row r="197" spans="215:219">
      <c r="HG197" s="29">
        <v>44015</v>
      </c>
      <c r="HH197" s="30" t="str">
        <f t="shared" si="35"/>
        <v>03-Jul</v>
      </c>
      <c r="HI197" s="30" t="s">
        <v>119</v>
      </c>
      <c r="HJ197" s="16" t="s">
        <v>131</v>
      </c>
      <c r="HK197" s="16" t="str">
        <f t="shared" si="34"/>
        <v>Cancer - Water</v>
      </c>
    </row>
    <row r="198" spans="215:219">
      <c r="HG198" s="29">
        <v>44016</v>
      </c>
      <c r="HH198" s="30" t="str">
        <f t="shared" si="35"/>
        <v>04-Jul</v>
      </c>
      <c r="HI198" s="30" t="s">
        <v>119</v>
      </c>
      <c r="HJ198" s="16" t="s">
        <v>131</v>
      </c>
      <c r="HK198" s="16" t="str">
        <f t="shared" si="34"/>
        <v>Cancer - Water</v>
      </c>
    </row>
    <row r="199" spans="215:219">
      <c r="HG199" s="29">
        <v>44017</v>
      </c>
      <c r="HH199" s="30" t="str">
        <f t="shared" si="35"/>
        <v>05-Jul</v>
      </c>
      <c r="HI199" s="30" t="s">
        <v>119</v>
      </c>
      <c r="HJ199" s="16" t="s">
        <v>131</v>
      </c>
      <c r="HK199" s="16" t="str">
        <f t="shared" si="34"/>
        <v>Cancer - Water</v>
      </c>
    </row>
    <row r="200" spans="215:219">
      <c r="HG200" s="29">
        <v>44018</v>
      </c>
      <c r="HH200" s="30" t="str">
        <f t="shared" si="35"/>
        <v>06-Jul</v>
      </c>
      <c r="HI200" s="30" t="s">
        <v>119</v>
      </c>
      <c r="HJ200" s="16" t="s">
        <v>131</v>
      </c>
      <c r="HK200" s="16" t="str">
        <f t="shared" si="34"/>
        <v>Cancer - Water</v>
      </c>
    </row>
    <row r="201" spans="215:219">
      <c r="HG201" s="29">
        <v>44019</v>
      </c>
      <c r="HH201" s="30" t="str">
        <f t="shared" si="35"/>
        <v>07-Jul</v>
      </c>
      <c r="HI201" s="30" t="s">
        <v>119</v>
      </c>
      <c r="HJ201" s="16" t="s">
        <v>131</v>
      </c>
      <c r="HK201" s="16" t="str">
        <f t="shared" si="34"/>
        <v>Cancer - Water</v>
      </c>
    </row>
    <row r="202" spans="215:219">
      <c r="HG202" s="29">
        <v>44020</v>
      </c>
      <c r="HH202" s="30" t="str">
        <f t="shared" si="35"/>
        <v>08-Jul</v>
      </c>
      <c r="HI202" s="30" t="s">
        <v>119</v>
      </c>
      <c r="HJ202" s="16" t="s">
        <v>131</v>
      </c>
      <c r="HK202" s="16" t="str">
        <f t="shared" si="34"/>
        <v>Cancer - Water</v>
      </c>
    </row>
    <row r="203" spans="215:219">
      <c r="HG203" s="29">
        <v>44021</v>
      </c>
      <c r="HH203" s="30" t="str">
        <f t="shared" si="35"/>
        <v>09-Jul</v>
      </c>
      <c r="HI203" s="30" t="s">
        <v>119</v>
      </c>
      <c r="HJ203" s="16" t="s">
        <v>131</v>
      </c>
      <c r="HK203" s="16" t="str">
        <f t="shared" si="34"/>
        <v>Cancer - Water</v>
      </c>
    </row>
    <row r="204" spans="215:219">
      <c r="HG204" s="29">
        <v>44022</v>
      </c>
      <c r="HH204" s="30" t="str">
        <f t="shared" si="35"/>
        <v>10-Jul</v>
      </c>
      <c r="HI204" s="30" t="s">
        <v>119</v>
      </c>
      <c r="HJ204" s="16" t="s">
        <v>131</v>
      </c>
      <c r="HK204" s="16" t="str">
        <f t="shared" si="34"/>
        <v>Cancer - Water</v>
      </c>
    </row>
    <row r="205" spans="215:219">
      <c r="HG205" s="29">
        <v>44023</v>
      </c>
      <c r="HH205" s="30" t="str">
        <f t="shared" si="35"/>
        <v>11-Jul</v>
      </c>
      <c r="HI205" s="30" t="s">
        <v>119</v>
      </c>
      <c r="HJ205" s="16" t="s">
        <v>131</v>
      </c>
      <c r="HK205" s="16" t="str">
        <f t="shared" ref="HK205:HK268" si="36">HI205&amp;" - "&amp;HJ205</f>
        <v>Cancer - Water</v>
      </c>
    </row>
    <row r="206" spans="215:219">
      <c r="HG206" s="29">
        <v>44024</v>
      </c>
      <c r="HH206" s="30" t="str">
        <f t="shared" ref="HH206:HH269" si="37">TEXT(HG206,"DD-MMM")</f>
        <v>12-Jul</v>
      </c>
      <c r="HI206" s="30" t="s">
        <v>119</v>
      </c>
      <c r="HJ206" s="16" t="s">
        <v>131</v>
      </c>
      <c r="HK206" s="16" t="str">
        <f t="shared" si="36"/>
        <v>Cancer - Water</v>
      </c>
    </row>
    <row r="207" spans="215:219">
      <c r="HG207" s="29">
        <v>44025</v>
      </c>
      <c r="HH207" s="30" t="str">
        <f t="shared" si="37"/>
        <v>13-Jul</v>
      </c>
      <c r="HI207" s="30" t="s">
        <v>119</v>
      </c>
      <c r="HJ207" s="16" t="s">
        <v>131</v>
      </c>
      <c r="HK207" s="16" t="str">
        <f t="shared" si="36"/>
        <v>Cancer - Water</v>
      </c>
    </row>
    <row r="208" spans="215:219">
      <c r="HG208" s="29">
        <v>44026</v>
      </c>
      <c r="HH208" s="30" t="str">
        <f t="shared" si="37"/>
        <v>14-Jul</v>
      </c>
      <c r="HI208" s="30" t="s">
        <v>119</v>
      </c>
      <c r="HJ208" s="16" t="s">
        <v>131</v>
      </c>
      <c r="HK208" s="16" t="str">
        <f t="shared" si="36"/>
        <v>Cancer - Water</v>
      </c>
    </row>
    <row r="209" spans="215:219">
      <c r="HG209" s="29">
        <v>44027</v>
      </c>
      <c r="HH209" s="30" t="str">
        <f t="shared" si="37"/>
        <v>15-Jul</v>
      </c>
      <c r="HI209" s="30" t="s">
        <v>119</v>
      </c>
      <c r="HJ209" s="16" t="s">
        <v>131</v>
      </c>
      <c r="HK209" s="16" t="str">
        <f t="shared" si="36"/>
        <v>Cancer - Water</v>
      </c>
    </row>
    <row r="210" spans="215:219">
      <c r="HG210" s="29">
        <v>44028</v>
      </c>
      <c r="HH210" s="30" t="str">
        <f t="shared" si="37"/>
        <v>16-Jul</v>
      </c>
      <c r="HI210" s="30" t="s">
        <v>119</v>
      </c>
      <c r="HJ210" s="16" t="s">
        <v>131</v>
      </c>
      <c r="HK210" s="16" t="str">
        <f t="shared" si="36"/>
        <v>Cancer - Water</v>
      </c>
    </row>
    <row r="211" spans="215:219">
      <c r="HG211" s="29">
        <v>44029</v>
      </c>
      <c r="HH211" s="30" t="str">
        <f t="shared" si="37"/>
        <v>17-Jul</v>
      </c>
      <c r="HI211" s="30" t="s">
        <v>119</v>
      </c>
      <c r="HJ211" s="16" t="s">
        <v>131</v>
      </c>
      <c r="HK211" s="16" t="str">
        <f t="shared" si="36"/>
        <v>Cancer - Water</v>
      </c>
    </row>
    <row r="212" spans="215:219">
      <c r="HG212" s="29">
        <v>44030</v>
      </c>
      <c r="HH212" s="30" t="str">
        <f t="shared" si="37"/>
        <v>18-Jul</v>
      </c>
      <c r="HI212" s="30" t="s">
        <v>119</v>
      </c>
      <c r="HJ212" s="16" t="s">
        <v>131</v>
      </c>
      <c r="HK212" s="16" t="str">
        <f t="shared" si="36"/>
        <v>Cancer - Water</v>
      </c>
    </row>
    <row r="213" spans="215:219">
      <c r="HG213" s="29">
        <v>44031</v>
      </c>
      <c r="HH213" s="30" t="str">
        <f t="shared" si="37"/>
        <v>19-Jul</v>
      </c>
      <c r="HI213" s="30" t="s">
        <v>119</v>
      </c>
      <c r="HJ213" s="16" t="s">
        <v>131</v>
      </c>
      <c r="HK213" s="16" t="str">
        <f t="shared" si="36"/>
        <v>Cancer - Water</v>
      </c>
    </row>
    <row r="214" spans="215:219">
      <c r="HG214" s="29">
        <v>44032</v>
      </c>
      <c r="HH214" s="30" t="str">
        <f t="shared" si="37"/>
        <v>20-Jul</v>
      </c>
      <c r="HI214" s="30" t="s">
        <v>119</v>
      </c>
      <c r="HJ214" s="16" t="s">
        <v>131</v>
      </c>
      <c r="HK214" s="16" t="str">
        <f t="shared" si="36"/>
        <v>Cancer - Water</v>
      </c>
    </row>
    <row r="215" spans="215:219">
      <c r="HG215" s="29">
        <v>44033</v>
      </c>
      <c r="HH215" s="30" t="str">
        <f t="shared" si="37"/>
        <v>21-Jul</v>
      </c>
      <c r="HI215" s="30" t="s">
        <v>119</v>
      </c>
      <c r="HJ215" s="16" t="s">
        <v>131</v>
      </c>
      <c r="HK215" s="16" t="str">
        <f t="shared" si="36"/>
        <v>Cancer - Water</v>
      </c>
    </row>
    <row r="216" spans="215:219">
      <c r="HG216" s="29">
        <v>44034</v>
      </c>
      <c r="HH216" s="30" t="str">
        <f t="shared" si="37"/>
        <v>22-Jul</v>
      </c>
      <c r="HI216" s="30" t="s">
        <v>119</v>
      </c>
      <c r="HJ216" s="16" t="s">
        <v>131</v>
      </c>
      <c r="HK216" s="16" t="str">
        <f t="shared" si="36"/>
        <v>Cancer - Water</v>
      </c>
    </row>
    <row r="217" spans="215:219">
      <c r="HG217" s="29">
        <v>44035</v>
      </c>
      <c r="HH217" s="30" t="str">
        <f t="shared" si="37"/>
        <v>23-Jul</v>
      </c>
      <c r="HI217" s="30" t="s">
        <v>120</v>
      </c>
      <c r="HJ217" s="16" t="s">
        <v>129</v>
      </c>
      <c r="HK217" s="16" t="str">
        <f t="shared" si="36"/>
        <v>Leo - Fire</v>
      </c>
    </row>
    <row r="218" spans="215:219">
      <c r="HG218" s="29">
        <v>44036</v>
      </c>
      <c r="HH218" s="30" t="str">
        <f t="shared" si="37"/>
        <v>24-Jul</v>
      </c>
      <c r="HI218" s="30" t="s">
        <v>120</v>
      </c>
      <c r="HJ218" s="16" t="s">
        <v>129</v>
      </c>
      <c r="HK218" s="16" t="str">
        <f t="shared" si="36"/>
        <v>Leo - Fire</v>
      </c>
    </row>
    <row r="219" spans="215:219">
      <c r="HG219" s="29">
        <v>44037</v>
      </c>
      <c r="HH219" s="30" t="str">
        <f t="shared" si="37"/>
        <v>25-Jul</v>
      </c>
      <c r="HI219" s="30" t="s">
        <v>120</v>
      </c>
      <c r="HJ219" s="16" t="s">
        <v>129</v>
      </c>
      <c r="HK219" s="16" t="str">
        <f t="shared" si="36"/>
        <v>Leo - Fire</v>
      </c>
    </row>
    <row r="220" spans="215:219">
      <c r="HG220" s="29">
        <v>44038</v>
      </c>
      <c r="HH220" s="30" t="str">
        <f t="shared" si="37"/>
        <v>26-Jul</v>
      </c>
      <c r="HI220" s="30" t="s">
        <v>120</v>
      </c>
      <c r="HJ220" s="16" t="s">
        <v>129</v>
      </c>
      <c r="HK220" s="16" t="str">
        <f t="shared" si="36"/>
        <v>Leo - Fire</v>
      </c>
    </row>
    <row r="221" spans="215:219">
      <c r="HG221" s="29">
        <v>44039</v>
      </c>
      <c r="HH221" s="30" t="str">
        <f t="shared" si="37"/>
        <v>27-Jul</v>
      </c>
      <c r="HI221" s="30" t="s">
        <v>120</v>
      </c>
      <c r="HJ221" s="16" t="s">
        <v>129</v>
      </c>
      <c r="HK221" s="16" t="str">
        <f t="shared" si="36"/>
        <v>Leo - Fire</v>
      </c>
    </row>
    <row r="222" spans="215:219">
      <c r="HG222" s="29">
        <v>44040</v>
      </c>
      <c r="HH222" s="30" t="str">
        <f t="shared" si="37"/>
        <v>28-Jul</v>
      </c>
      <c r="HI222" s="30" t="s">
        <v>120</v>
      </c>
      <c r="HJ222" s="16" t="s">
        <v>129</v>
      </c>
      <c r="HK222" s="16" t="str">
        <f t="shared" si="36"/>
        <v>Leo - Fire</v>
      </c>
    </row>
    <row r="223" spans="215:219">
      <c r="HG223" s="29">
        <v>44041</v>
      </c>
      <c r="HH223" s="30" t="str">
        <f t="shared" si="37"/>
        <v>29-Jul</v>
      </c>
      <c r="HI223" s="30" t="s">
        <v>120</v>
      </c>
      <c r="HJ223" s="16" t="s">
        <v>129</v>
      </c>
      <c r="HK223" s="16" t="str">
        <f t="shared" si="36"/>
        <v>Leo - Fire</v>
      </c>
    </row>
    <row r="224" spans="215:219">
      <c r="HG224" s="29">
        <v>44042</v>
      </c>
      <c r="HH224" s="30" t="str">
        <f t="shared" si="37"/>
        <v>30-Jul</v>
      </c>
      <c r="HI224" s="30" t="s">
        <v>120</v>
      </c>
      <c r="HJ224" s="16" t="s">
        <v>129</v>
      </c>
      <c r="HK224" s="16" t="str">
        <f t="shared" si="36"/>
        <v>Leo - Fire</v>
      </c>
    </row>
    <row r="225" spans="215:219">
      <c r="HG225" s="29">
        <v>44043</v>
      </c>
      <c r="HH225" s="30" t="str">
        <f t="shared" si="37"/>
        <v>31-Jul</v>
      </c>
      <c r="HI225" s="30" t="s">
        <v>120</v>
      </c>
      <c r="HJ225" s="16" t="s">
        <v>129</v>
      </c>
      <c r="HK225" s="16" t="str">
        <f t="shared" si="36"/>
        <v>Leo - Fire</v>
      </c>
    </row>
    <row r="226" spans="215:219">
      <c r="HG226" s="29">
        <v>44044</v>
      </c>
      <c r="HH226" s="30" t="str">
        <f t="shared" si="37"/>
        <v>01-Aug</v>
      </c>
      <c r="HI226" s="30" t="s">
        <v>120</v>
      </c>
      <c r="HJ226" s="16" t="s">
        <v>129</v>
      </c>
      <c r="HK226" s="16" t="str">
        <f t="shared" si="36"/>
        <v>Leo - Fire</v>
      </c>
    </row>
    <row r="227" spans="215:219">
      <c r="HG227" s="29">
        <v>44045</v>
      </c>
      <c r="HH227" s="30" t="str">
        <f t="shared" si="37"/>
        <v>02-Aug</v>
      </c>
      <c r="HI227" s="30" t="s">
        <v>120</v>
      </c>
      <c r="HJ227" s="16" t="s">
        <v>129</v>
      </c>
      <c r="HK227" s="16" t="str">
        <f t="shared" si="36"/>
        <v>Leo - Fire</v>
      </c>
    </row>
    <row r="228" spans="215:219">
      <c r="HG228" s="29">
        <v>44046</v>
      </c>
      <c r="HH228" s="30" t="str">
        <f t="shared" si="37"/>
        <v>03-Aug</v>
      </c>
      <c r="HI228" s="30" t="s">
        <v>120</v>
      </c>
      <c r="HJ228" s="16" t="s">
        <v>129</v>
      </c>
      <c r="HK228" s="16" t="str">
        <f t="shared" si="36"/>
        <v>Leo - Fire</v>
      </c>
    </row>
    <row r="229" spans="215:219">
      <c r="HG229" s="29">
        <v>44047</v>
      </c>
      <c r="HH229" s="30" t="str">
        <f t="shared" si="37"/>
        <v>04-Aug</v>
      </c>
      <c r="HI229" s="30" t="s">
        <v>120</v>
      </c>
      <c r="HJ229" s="16" t="s">
        <v>129</v>
      </c>
      <c r="HK229" s="16" t="str">
        <f t="shared" si="36"/>
        <v>Leo - Fire</v>
      </c>
    </row>
    <row r="230" spans="215:219">
      <c r="HG230" s="29">
        <v>44048</v>
      </c>
      <c r="HH230" s="30" t="str">
        <f t="shared" si="37"/>
        <v>05-Aug</v>
      </c>
      <c r="HI230" s="30" t="s">
        <v>120</v>
      </c>
      <c r="HJ230" s="16" t="s">
        <v>129</v>
      </c>
      <c r="HK230" s="16" t="str">
        <f t="shared" si="36"/>
        <v>Leo - Fire</v>
      </c>
    </row>
    <row r="231" spans="215:219">
      <c r="HG231" s="29">
        <v>44049</v>
      </c>
      <c r="HH231" s="30" t="str">
        <f t="shared" si="37"/>
        <v>06-Aug</v>
      </c>
      <c r="HI231" s="30" t="s">
        <v>120</v>
      </c>
      <c r="HJ231" s="16" t="s">
        <v>129</v>
      </c>
      <c r="HK231" s="16" t="str">
        <f t="shared" si="36"/>
        <v>Leo - Fire</v>
      </c>
    </row>
    <row r="232" spans="215:219">
      <c r="HG232" s="29">
        <v>44050</v>
      </c>
      <c r="HH232" s="30" t="str">
        <f t="shared" si="37"/>
        <v>07-Aug</v>
      </c>
      <c r="HI232" s="30" t="s">
        <v>120</v>
      </c>
      <c r="HJ232" s="16" t="s">
        <v>129</v>
      </c>
      <c r="HK232" s="16" t="str">
        <f t="shared" si="36"/>
        <v>Leo - Fire</v>
      </c>
    </row>
    <row r="233" spans="215:219">
      <c r="HG233" s="29">
        <v>44051</v>
      </c>
      <c r="HH233" s="30" t="str">
        <f t="shared" si="37"/>
        <v>08-Aug</v>
      </c>
      <c r="HI233" s="30" t="s">
        <v>120</v>
      </c>
      <c r="HJ233" s="16" t="s">
        <v>129</v>
      </c>
      <c r="HK233" s="16" t="str">
        <f t="shared" si="36"/>
        <v>Leo - Fire</v>
      </c>
    </row>
    <row r="234" spans="215:219">
      <c r="HG234" s="29">
        <v>44052</v>
      </c>
      <c r="HH234" s="30" t="str">
        <f t="shared" si="37"/>
        <v>09-Aug</v>
      </c>
      <c r="HI234" s="30" t="s">
        <v>120</v>
      </c>
      <c r="HJ234" s="16" t="s">
        <v>129</v>
      </c>
      <c r="HK234" s="16" t="str">
        <f t="shared" si="36"/>
        <v>Leo - Fire</v>
      </c>
    </row>
    <row r="235" spans="215:219">
      <c r="HG235" s="29">
        <v>44053</v>
      </c>
      <c r="HH235" s="30" t="str">
        <f t="shared" si="37"/>
        <v>10-Aug</v>
      </c>
      <c r="HI235" s="30" t="s">
        <v>120</v>
      </c>
      <c r="HJ235" s="16" t="s">
        <v>129</v>
      </c>
      <c r="HK235" s="16" t="str">
        <f t="shared" si="36"/>
        <v>Leo - Fire</v>
      </c>
    </row>
    <row r="236" spans="215:219">
      <c r="HG236" s="29">
        <v>44054</v>
      </c>
      <c r="HH236" s="30" t="str">
        <f t="shared" si="37"/>
        <v>11-Aug</v>
      </c>
      <c r="HI236" s="30" t="s">
        <v>120</v>
      </c>
      <c r="HJ236" s="16" t="s">
        <v>129</v>
      </c>
      <c r="HK236" s="16" t="str">
        <f t="shared" si="36"/>
        <v>Leo - Fire</v>
      </c>
    </row>
    <row r="237" spans="215:219">
      <c r="HG237" s="29">
        <v>44055</v>
      </c>
      <c r="HH237" s="30" t="str">
        <f t="shared" si="37"/>
        <v>12-Aug</v>
      </c>
      <c r="HI237" s="30" t="s">
        <v>120</v>
      </c>
      <c r="HJ237" s="16" t="s">
        <v>129</v>
      </c>
      <c r="HK237" s="16" t="str">
        <f t="shared" si="36"/>
        <v>Leo - Fire</v>
      </c>
    </row>
    <row r="238" spans="215:219">
      <c r="HG238" s="29">
        <v>44056</v>
      </c>
      <c r="HH238" s="30" t="str">
        <f t="shared" si="37"/>
        <v>13-Aug</v>
      </c>
      <c r="HI238" s="30" t="s">
        <v>120</v>
      </c>
      <c r="HJ238" s="16" t="s">
        <v>129</v>
      </c>
      <c r="HK238" s="16" t="str">
        <f t="shared" si="36"/>
        <v>Leo - Fire</v>
      </c>
    </row>
    <row r="239" spans="215:219">
      <c r="HG239" s="29">
        <v>44057</v>
      </c>
      <c r="HH239" s="30" t="str">
        <f t="shared" si="37"/>
        <v>14-Aug</v>
      </c>
      <c r="HI239" s="30" t="s">
        <v>120</v>
      </c>
      <c r="HJ239" s="16" t="s">
        <v>129</v>
      </c>
      <c r="HK239" s="16" t="str">
        <f t="shared" si="36"/>
        <v>Leo - Fire</v>
      </c>
    </row>
    <row r="240" spans="215:219">
      <c r="HG240" s="29">
        <v>44058</v>
      </c>
      <c r="HH240" s="30" t="str">
        <f t="shared" si="37"/>
        <v>15-Aug</v>
      </c>
      <c r="HI240" s="30" t="s">
        <v>120</v>
      </c>
      <c r="HJ240" s="16" t="s">
        <v>129</v>
      </c>
      <c r="HK240" s="16" t="str">
        <f t="shared" si="36"/>
        <v>Leo - Fire</v>
      </c>
    </row>
    <row r="241" spans="215:219">
      <c r="HG241" s="29">
        <v>44059</v>
      </c>
      <c r="HH241" s="30" t="str">
        <f t="shared" si="37"/>
        <v>16-Aug</v>
      </c>
      <c r="HI241" s="30" t="s">
        <v>120</v>
      </c>
      <c r="HJ241" s="16" t="s">
        <v>129</v>
      </c>
      <c r="HK241" s="16" t="str">
        <f t="shared" si="36"/>
        <v>Leo - Fire</v>
      </c>
    </row>
    <row r="242" spans="215:219">
      <c r="HG242" s="29">
        <v>44060</v>
      </c>
      <c r="HH242" s="30" t="str">
        <f t="shared" si="37"/>
        <v>17-Aug</v>
      </c>
      <c r="HI242" s="30" t="s">
        <v>120</v>
      </c>
      <c r="HJ242" s="16" t="s">
        <v>129</v>
      </c>
      <c r="HK242" s="16" t="str">
        <f t="shared" si="36"/>
        <v>Leo - Fire</v>
      </c>
    </row>
    <row r="243" spans="215:219">
      <c r="HG243" s="29">
        <v>44061</v>
      </c>
      <c r="HH243" s="30" t="str">
        <f t="shared" si="37"/>
        <v>18-Aug</v>
      </c>
      <c r="HI243" s="30" t="s">
        <v>120</v>
      </c>
      <c r="HJ243" s="16" t="s">
        <v>129</v>
      </c>
      <c r="HK243" s="16" t="str">
        <f t="shared" si="36"/>
        <v>Leo - Fire</v>
      </c>
    </row>
    <row r="244" spans="215:219">
      <c r="HG244" s="29">
        <v>44062</v>
      </c>
      <c r="HH244" s="30" t="str">
        <f t="shared" si="37"/>
        <v>19-Aug</v>
      </c>
      <c r="HI244" s="30" t="s">
        <v>120</v>
      </c>
      <c r="HJ244" s="16" t="s">
        <v>129</v>
      </c>
      <c r="HK244" s="16" t="str">
        <f t="shared" si="36"/>
        <v>Leo - Fire</v>
      </c>
    </row>
    <row r="245" spans="215:219">
      <c r="HG245" s="29">
        <v>44063</v>
      </c>
      <c r="HH245" s="30" t="str">
        <f t="shared" si="37"/>
        <v>20-Aug</v>
      </c>
      <c r="HI245" s="30" t="s">
        <v>120</v>
      </c>
      <c r="HJ245" s="16" t="s">
        <v>129</v>
      </c>
      <c r="HK245" s="16" t="str">
        <f t="shared" si="36"/>
        <v>Leo - Fire</v>
      </c>
    </row>
    <row r="246" spans="215:219">
      <c r="HG246" s="29">
        <v>44064</v>
      </c>
      <c r="HH246" s="30" t="str">
        <f t="shared" si="37"/>
        <v>21-Aug</v>
      </c>
      <c r="HI246" s="30" t="s">
        <v>120</v>
      </c>
      <c r="HJ246" s="16" t="s">
        <v>129</v>
      </c>
      <c r="HK246" s="16" t="str">
        <f t="shared" si="36"/>
        <v>Leo - Fire</v>
      </c>
    </row>
    <row r="247" spans="215:219">
      <c r="HG247" s="29">
        <v>44065</v>
      </c>
      <c r="HH247" s="30" t="str">
        <f t="shared" si="37"/>
        <v>22-Aug</v>
      </c>
      <c r="HI247" s="30" t="s">
        <v>120</v>
      </c>
      <c r="HJ247" s="16" t="s">
        <v>129</v>
      </c>
      <c r="HK247" s="16" t="str">
        <f t="shared" si="36"/>
        <v>Leo - Fire</v>
      </c>
    </row>
    <row r="248" spans="215:219">
      <c r="HG248" s="29">
        <v>44066</v>
      </c>
      <c r="HH248" s="30" t="str">
        <f t="shared" si="37"/>
        <v>23-Aug</v>
      </c>
      <c r="HI248" s="30" t="s">
        <v>121</v>
      </c>
      <c r="HJ248" s="16" t="s">
        <v>130</v>
      </c>
      <c r="HK248" s="16" t="str">
        <f t="shared" si="36"/>
        <v>Virgo - Earth</v>
      </c>
    </row>
    <row r="249" spans="215:219">
      <c r="HG249" s="29">
        <v>44067</v>
      </c>
      <c r="HH249" s="30" t="str">
        <f t="shared" si="37"/>
        <v>24-Aug</v>
      </c>
      <c r="HI249" s="30" t="s">
        <v>121</v>
      </c>
      <c r="HJ249" s="16" t="s">
        <v>130</v>
      </c>
      <c r="HK249" s="16" t="str">
        <f t="shared" si="36"/>
        <v>Virgo - Earth</v>
      </c>
    </row>
    <row r="250" spans="215:219">
      <c r="HG250" s="29">
        <v>44068</v>
      </c>
      <c r="HH250" s="30" t="str">
        <f t="shared" si="37"/>
        <v>25-Aug</v>
      </c>
      <c r="HI250" s="30" t="s">
        <v>121</v>
      </c>
      <c r="HJ250" s="16" t="s">
        <v>130</v>
      </c>
      <c r="HK250" s="16" t="str">
        <f t="shared" si="36"/>
        <v>Virgo - Earth</v>
      </c>
    </row>
    <row r="251" spans="215:219">
      <c r="HG251" s="29">
        <v>44069</v>
      </c>
      <c r="HH251" s="30" t="str">
        <f t="shared" si="37"/>
        <v>26-Aug</v>
      </c>
      <c r="HI251" s="30" t="s">
        <v>121</v>
      </c>
      <c r="HJ251" s="16" t="s">
        <v>130</v>
      </c>
      <c r="HK251" s="16" t="str">
        <f t="shared" si="36"/>
        <v>Virgo - Earth</v>
      </c>
    </row>
    <row r="252" spans="215:219">
      <c r="HG252" s="29">
        <v>44070</v>
      </c>
      <c r="HH252" s="30" t="str">
        <f t="shared" si="37"/>
        <v>27-Aug</v>
      </c>
      <c r="HI252" s="30" t="s">
        <v>121</v>
      </c>
      <c r="HJ252" s="16" t="s">
        <v>130</v>
      </c>
      <c r="HK252" s="16" t="str">
        <f t="shared" si="36"/>
        <v>Virgo - Earth</v>
      </c>
    </row>
    <row r="253" spans="215:219">
      <c r="HG253" s="29">
        <v>44071</v>
      </c>
      <c r="HH253" s="30" t="str">
        <f t="shared" si="37"/>
        <v>28-Aug</v>
      </c>
      <c r="HI253" s="30" t="s">
        <v>121</v>
      </c>
      <c r="HJ253" s="16" t="s">
        <v>130</v>
      </c>
      <c r="HK253" s="16" t="str">
        <f t="shared" si="36"/>
        <v>Virgo - Earth</v>
      </c>
    </row>
    <row r="254" spans="215:219">
      <c r="HG254" s="29">
        <v>44072</v>
      </c>
      <c r="HH254" s="30" t="str">
        <f t="shared" si="37"/>
        <v>29-Aug</v>
      </c>
      <c r="HI254" s="30" t="s">
        <v>121</v>
      </c>
      <c r="HJ254" s="16" t="s">
        <v>130</v>
      </c>
      <c r="HK254" s="16" t="str">
        <f t="shared" si="36"/>
        <v>Virgo - Earth</v>
      </c>
    </row>
    <row r="255" spans="215:219">
      <c r="HG255" s="29">
        <v>44073</v>
      </c>
      <c r="HH255" s="30" t="str">
        <f t="shared" si="37"/>
        <v>30-Aug</v>
      </c>
      <c r="HI255" s="30" t="s">
        <v>121</v>
      </c>
      <c r="HJ255" s="16" t="s">
        <v>130</v>
      </c>
      <c r="HK255" s="16" t="str">
        <f t="shared" si="36"/>
        <v>Virgo - Earth</v>
      </c>
    </row>
    <row r="256" spans="215:219">
      <c r="HG256" s="29">
        <v>44074</v>
      </c>
      <c r="HH256" s="30" t="str">
        <f t="shared" si="37"/>
        <v>31-Aug</v>
      </c>
      <c r="HI256" s="30" t="s">
        <v>121</v>
      </c>
      <c r="HJ256" s="16" t="s">
        <v>130</v>
      </c>
      <c r="HK256" s="16" t="str">
        <f t="shared" si="36"/>
        <v>Virgo - Earth</v>
      </c>
    </row>
    <row r="257" spans="215:219">
      <c r="HG257" s="29">
        <v>44075</v>
      </c>
      <c r="HH257" s="30" t="str">
        <f t="shared" si="37"/>
        <v>01-Sep</v>
      </c>
      <c r="HI257" s="30" t="s">
        <v>121</v>
      </c>
      <c r="HJ257" s="16" t="s">
        <v>130</v>
      </c>
      <c r="HK257" s="16" t="str">
        <f t="shared" si="36"/>
        <v>Virgo - Earth</v>
      </c>
    </row>
    <row r="258" spans="215:219">
      <c r="HG258" s="29">
        <v>44076</v>
      </c>
      <c r="HH258" s="30" t="str">
        <f t="shared" si="37"/>
        <v>02-Sep</v>
      </c>
      <c r="HI258" s="30" t="s">
        <v>121</v>
      </c>
      <c r="HJ258" s="16" t="s">
        <v>130</v>
      </c>
      <c r="HK258" s="16" t="str">
        <f t="shared" si="36"/>
        <v>Virgo - Earth</v>
      </c>
    </row>
    <row r="259" spans="215:219">
      <c r="HG259" s="29">
        <v>44077</v>
      </c>
      <c r="HH259" s="30" t="str">
        <f t="shared" si="37"/>
        <v>03-Sep</v>
      </c>
      <c r="HI259" s="30" t="s">
        <v>121</v>
      </c>
      <c r="HJ259" s="16" t="s">
        <v>130</v>
      </c>
      <c r="HK259" s="16" t="str">
        <f t="shared" si="36"/>
        <v>Virgo - Earth</v>
      </c>
    </row>
    <row r="260" spans="215:219">
      <c r="HG260" s="29">
        <v>44078</v>
      </c>
      <c r="HH260" s="30" t="str">
        <f t="shared" si="37"/>
        <v>04-Sep</v>
      </c>
      <c r="HI260" s="30" t="s">
        <v>121</v>
      </c>
      <c r="HJ260" s="16" t="s">
        <v>130</v>
      </c>
      <c r="HK260" s="16" t="str">
        <f t="shared" si="36"/>
        <v>Virgo - Earth</v>
      </c>
    </row>
    <row r="261" spans="215:219">
      <c r="HG261" s="29">
        <v>44079</v>
      </c>
      <c r="HH261" s="30" t="str">
        <f t="shared" si="37"/>
        <v>05-Sep</v>
      </c>
      <c r="HI261" s="30" t="s">
        <v>121</v>
      </c>
      <c r="HJ261" s="16" t="s">
        <v>130</v>
      </c>
      <c r="HK261" s="16" t="str">
        <f t="shared" si="36"/>
        <v>Virgo - Earth</v>
      </c>
    </row>
    <row r="262" spans="215:219">
      <c r="HG262" s="29">
        <v>44080</v>
      </c>
      <c r="HH262" s="30" t="str">
        <f t="shared" si="37"/>
        <v>06-Sep</v>
      </c>
      <c r="HI262" s="30" t="s">
        <v>121</v>
      </c>
      <c r="HJ262" s="16" t="s">
        <v>130</v>
      </c>
      <c r="HK262" s="16" t="str">
        <f t="shared" si="36"/>
        <v>Virgo - Earth</v>
      </c>
    </row>
    <row r="263" spans="215:219">
      <c r="HG263" s="29">
        <v>44081</v>
      </c>
      <c r="HH263" s="30" t="str">
        <f t="shared" si="37"/>
        <v>07-Sep</v>
      </c>
      <c r="HI263" s="30" t="s">
        <v>121</v>
      </c>
      <c r="HJ263" s="16" t="s">
        <v>130</v>
      </c>
      <c r="HK263" s="16" t="str">
        <f t="shared" si="36"/>
        <v>Virgo - Earth</v>
      </c>
    </row>
    <row r="264" spans="215:219">
      <c r="HG264" s="29">
        <v>44082</v>
      </c>
      <c r="HH264" s="30" t="str">
        <f t="shared" si="37"/>
        <v>08-Sep</v>
      </c>
      <c r="HI264" s="30" t="s">
        <v>121</v>
      </c>
      <c r="HJ264" s="16" t="s">
        <v>130</v>
      </c>
      <c r="HK264" s="16" t="str">
        <f t="shared" si="36"/>
        <v>Virgo - Earth</v>
      </c>
    </row>
    <row r="265" spans="215:219">
      <c r="HG265" s="29">
        <v>44083</v>
      </c>
      <c r="HH265" s="30" t="str">
        <f t="shared" si="37"/>
        <v>09-Sep</v>
      </c>
      <c r="HI265" s="30" t="s">
        <v>121</v>
      </c>
      <c r="HJ265" s="16" t="s">
        <v>130</v>
      </c>
      <c r="HK265" s="16" t="str">
        <f t="shared" si="36"/>
        <v>Virgo - Earth</v>
      </c>
    </row>
    <row r="266" spans="215:219">
      <c r="HG266" s="29">
        <v>44084</v>
      </c>
      <c r="HH266" s="30" t="str">
        <f t="shared" si="37"/>
        <v>10-Sep</v>
      </c>
      <c r="HI266" s="30" t="s">
        <v>121</v>
      </c>
      <c r="HJ266" s="16" t="s">
        <v>130</v>
      </c>
      <c r="HK266" s="16" t="str">
        <f t="shared" si="36"/>
        <v>Virgo - Earth</v>
      </c>
    </row>
    <row r="267" spans="215:219">
      <c r="HG267" s="29">
        <v>44085</v>
      </c>
      <c r="HH267" s="30" t="str">
        <f t="shared" si="37"/>
        <v>11-Sep</v>
      </c>
      <c r="HI267" s="30" t="s">
        <v>121</v>
      </c>
      <c r="HJ267" s="16" t="s">
        <v>130</v>
      </c>
      <c r="HK267" s="16" t="str">
        <f t="shared" si="36"/>
        <v>Virgo - Earth</v>
      </c>
    </row>
    <row r="268" spans="215:219">
      <c r="HG268" s="29">
        <v>44086</v>
      </c>
      <c r="HH268" s="30" t="str">
        <f t="shared" si="37"/>
        <v>12-Sep</v>
      </c>
      <c r="HI268" s="30" t="s">
        <v>121</v>
      </c>
      <c r="HJ268" s="16" t="s">
        <v>130</v>
      </c>
      <c r="HK268" s="16" t="str">
        <f t="shared" si="36"/>
        <v>Virgo - Earth</v>
      </c>
    </row>
    <row r="269" spans="215:219">
      <c r="HG269" s="29">
        <v>44087</v>
      </c>
      <c r="HH269" s="30" t="str">
        <f t="shared" si="37"/>
        <v>13-Sep</v>
      </c>
      <c r="HI269" s="30" t="s">
        <v>121</v>
      </c>
      <c r="HJ269" s="16" t="s">
        <v>130</v>
      </c>
      <c r="HK269" s="16" t="str">
        <f t="shared" ref="HK269:HK332" si="38">HI269&amp;" - "&amp;HJ269</f>
        <v>Virgo - Earth</v>
      </c>
    </row>
    <row r="270" spans="215:219">
      <c r="HG270" s="29">
        <v>44088</v>
      </c>
      <c r="HH270" s="30" t="str">
        <f t="shared" ref="HH270:HH333" si="39">TEXT(HG270,"DD-MMM")</f>
        <v>14-Sep</v>
      </c>
      <c r="HI270" s="30" t="s">
        <v>121</v>
      </c>
      <c r="HJ270" s="16" t="s">
        <v>130</v>
      </c>
      <c r="HK270" s="16" t="str">
        <f t="shared" si="38"/>
        <v>Virgo - Earth</v>
      </c>
    </row>
    <row r="271" spans="215:219">
      <c r="HG271" s="29">
        <v>44089</v>
      </c>
      <c r="HH271" s="30" t="str">
        <f t="shared" si="39"/>
        <v>15-Sep</v>
      </c>
      <c r="HI271" s="30" t="s">
        <v>121</v>
      </c>
      <c r="HJ271" s="16" t="s">
        <v>130</v>
      </c>
      <c r="HK271" s="16" t="str">
        <f t="shared" si="38"/>
        <v>Virgo - Earth</v>
      </c>
    </row>
    <row r="272" spans="215:219">
      <c r="HG272" s="29">
        <v>44090</v>
      </c>
      <c r="HH272" s="30" t="str">
        <f t="shared" si="39"/>
        <v>16-Sep</v>
      </c>
      <c r="HI272" s="30" t="s">
        <v>121</v>
      </c>
      <c r="HJ272" s="16" t="s">
        <v>130</v>
      </c>
      <c r="HK272" s="16" t="str">
        <f t="shared" si="38"/>
        <v>Virgo - Earth</v>
      </c>
    </row>
    <row r="273" spans="215:219">
      <c r="HG273" s="29">
        <v>44091</v>
      </c>
      <c r="HH273" s="30" t="str">
        <f t="shared" si="39"/>
        <v>17-Sep</v>
      </c>
      <c r="HI273" s="30" t="s">
        <v>121</v>
      </c>
      <c r="HJ273" s="16" t="s">
        <v>130</v>
      </c>
      <c r="HK273" s="16" t="str">
        <f t="shared" si="38"/>
        <v>Virgo - Earth</v>
      </c>
    </row>
    <row r="274" spans="215:219">
      <c r="HG274" s="29">
        <v>44092</v>
      </c>
      <c r="HH274" s="30" t="str">
        <f t="shared" si="39"/>
        <v>18-Sep</v>
      </c>
      <c r="HI274" s="30" t="s">
        <v>121</v>
      </c>
      <c r="HJ274" s="16" t="s">
        <v>130</v>
      </c>
      <c r="HK274" s="16" t="str">
        <f t="shared" si="38"/>
        <v>Virgo - Earth</v>
      </c>
    </row>
    <row r="275" spans="215:219">
      <c r="HG275" s="29">
        <v>44093</v>
      </c>
      <c r="HH275" s="30" t="str">
        <f t="shared" si="39"/>
        <v>19-Sep</v>
      </c>
      <c r="HI275" s="30" t="s">
        <v>121</v>
      </c>
      <c r="HJ275" s="16" t="s">
        <v>130</v>
      </c>
      <c r="HK275" s="16" t="str">
        <f t="shared" si="38"/>
        <v>Virgo - Earth</v>
      </c>
    </row>
    <row r="276" spans="215:219">
      <c r="HG276" s="29">
        <v>44094</v>
      </c>
      <c r="HH276" s="30" t="str">
        <f t="shared" si="39"/>
        <v>20-Sep</v>
      </c>
      <c r="HI276" s="30" t="s">
        <v>121</v>
      </c>
      <c r="HJ276" s="16" t="s">
        <v>130</v>
      </c>
      <c r="HK276" s="16" t="str">
        <f t="shared" si="38"/>
        <v>Virgo - Earth</v>
      </c>
    </row>
    <row r="277" spans="215:219">
      <c r="HG277" s="29">
        <v>44095</v>
      </c>
      <c r="HH277" s="30" t="str">
        <f t="shared" si="39"/>
        <v>21-Sep</v>
      </c>
      <c r="HI277" s="30" t="s">
        <v>121</v>
      </c>
      <c r="HJ277" s="16" t="s">
        <v>130</v>
      </c>
      <c r="HK277" s="16" t="str">
        <f t="shared" si="38"/>
        <v>Virgo - Earth</v>
      </c>
    </row>
    <row r="278" spans="215:219">
      <c r="HG278" s="29">
        <v>44096</v>
      </c>
      <c r="HH278" s="30" t="str">
        <f t="shared" si="39"/>
        <v>22-Sep</v>
      </c>
      <c r="HI278" s="30" t="s">
        <v>121</v>
      </c>
      <c r="HJ278" s="16" t="s">
        <v>130</v>
      </c>
      <c r="HK278" s="16" t="str">
        <f t="shared" si="38"/>
        <v>Virgo - Earth</v>
      </c>
    </row>
    <row r="279" spans="215:219">
      <c r="HG279" s="29">
        <v>44097</v>
      </c>
      <c r="HH279" s="30" t="str">
        <f t="shared" si="39"/>
        <v>23-Sep</v>
      </c>
      <c r="HI279" s="30" t="s">
        <v>122</v>
      </c>
      <c r="HJ279" s="16" t="s">
        <v>132</v>
      </c>
      <c r="HK279" s="16" t="str">
        <f t="shared" si="38"/>
        <v>Libra - Air</v>
      </c>
    </row>
    <row r="280" spans="215:219">
      <c r="HG280" s="29">
        <v>44098</v>
      </c>
      <c r="HH280" s="30" t="str">
        <f t="shared" si="39"/>
        <v>24-Sep</v>
      </c>
      <c r="HI280" s="30" t="s">
        <v>122</v>
      </c>
      <c r="HJ280" s="16" t="s">
        <v>132</v>
      </c>
      <c r="HK280" s="16" t="str">
        <f t="shared" si="38"/>
        <v>Libra - Air</v>
      </c>
    </row>
    <row r="281" spans="215:219">
      <c r="HG281" s="29">
        <v>44099</v>
      </c>
      <c r="HH281" s="30" t="str">
        <f t="shared" si="39"/>
        <v>25-Sep</v>
      </c>
      <c r="HI281" s="30" t="s">
        <v>122</v>
      </c>
      <c r="HJ281" s="16" t="s">
        <v>132</v>
      </c>
      <c r="HK281" s="16" t="str">
        <f t="shared" si="38"/>
        <v>Libra - Air</v>
      </c>
    </row>
    <row r="282" spans="215:219">
      <c r="HG282" s="29">
        <v>44100</v>
      </c>
      <c r="HH282" s="30" t="str">
        <f t="shared" si="39"/>
        <v>26-Sep</v>
      </c>
      <c r="HI282" s="30" t="s">
        <v>122</v>
      </c>
      <c r="HJ282" s="16" t="s">
        <v>132</v>
      </c>
      <c r="HK282" s="16" t="str">
        <f t="shared" si="38"/>
        <v>Libra - Air</v>
      </c>
    </row>
    <row r="283" spans="215:219">
      <c r="HG283" s="29">
        <v>44101</v>
      </c>
      <c r="HH283" s="30" t="str">
        <f t="shared" si="39"/>
        <v>27-Sep</v>
      </c>
      <c r="HI283" s="30" t="s">
        <v>122</v>
      </c>
      <c r="HJ283" s="16" t="s">
        <v>132</v>
      </c>
      <c r="HK283" s="16" t="str">
        <f t="shared" si="38"/>
        <v>Libra - Air</v>
      </c>
    </row>
    <row r="284" spans="215:219">
      <c r="HG284" s="29">
        <v>44102</v>
      </c>
      <c r="HH284" s="30" t="str">
        <f t="shared" si="39"/>
        <v>28-Sep</v>
      </c>
      <c r="HI284" s="30" t="s">
        <v>122</v>
      </c>
      <c r="HJ284" s="16" t="s">
        <v>132</v>
      </c>
      <c r="HK284" s="16" t="str">
        <f t="shared" si="38"/>
        <v>Libra - Air</v>
      </c>
    </row>
    <row r="285" spans="215:219">
      <c r="HG285" s="29">
        <v>44103</v>
      </c>
      <c r="HH285" s="30" t="str">
        <f t="shared" si="39"/>
        <v>29-Sep</v>
      </c>
      <c r="HI285" s="30" t="s">
        <v>122</v>
      </c>
      <c r="HJ285" s="16" t="s">
        <v>132</v>
      </c>
      <c r="HK285" s="16" t="str">
        <f t="shared" si="38"/>
        <v>Libra - Air</v>
      </c>
    </row>
    <row r="286" spans="215:219">
      <c r="HG286" s="29">
        <v>44104</v>
      </c>
      <c r="HH286" s="30" t="str">
        <f t="shared" si="39"/>
        <v>30-Sep</v>
      </c>
      <c r="HI286" s="30" t="s">
        <v>122</v>
      </c>
      <c r="HJ286" s="16" t="s">
        <v>132</v>
      </c>
      <c r="HK286" s="16" t="str">
        <f t="shared" si="38"/>
        <v>Libra - Air</v>
      </c>
    </row>
    <row r="287" spans="215:219">
      <c r="HG287" s="29">
        <v>44105</v>
      </c>
      <c r="HH287" s="30" t="str">
        <f t="shared" si="39"/>
        <v>01-Oct</v>
      </c>
      <c r="HI287" s="30" t="s">
        <v>122</v>
      </c>
      <c r="HJ287" s="16" t="s">
        <v>132</v>
      </c>
      <c r="HK287" s="16" t="str">
        <f t="shared" si="38"/>
        <v>Libra - Air</v>
      </c>
    </row>
    <row r="288" spans="215:219">
      <c r="HG288" s="29">
        <v>44106</v>
      </c>
      <c r="HH288" s="30" t="str">
        <f t="shared" si="39"/>
        <v>02-Oct</v>
      </c>
      <c r="HI288" s="30" t="s">
        <v>122</v>
      </c>
      <c r="HJ288" s="16" t="s">
        <v>132</v>
      </c>
      <c r="HK288" s="16" t="str">
        <f t="shared" si="38"/>
        <v>Libra - Air</v>
      </c>
    </row>
    <row r="289" spans="215:219">
      <c r="HG289" s="29">
        <v>44107</v>
      </c>
      <c r="HH289" s="30" t="str">
        <f t="shared" si="39"/>
        <v>03-Oct</v>
      </c>
      <c r="HI289" s="30" t="s">
        <v>122</v>
      </c>
      <c r="HJ289" s="16" t="s">
        <v>132</v>
      </c>
      <c r="HK289" s="16" t="str">
        <f t="shared" si="38"/>
        <v>Libra - Air</v>
      </c>
    </row>
    <row r="290" spans="215:219">
      <c r="HG290" s="29">
        <v>44108</v>
      </c>
      <c r="HH290" s="30" t="str">
        <f t="shared" si="39"/>
        <v>04-Oct</v>
      </c>
      <c r="HI290" s="30" t="s">
        <v>122</v>
      </c>
      <c r="HJ290" s="16" t="s">
        <v>132</v>
      </c>
      <c r="HK290" s="16" t="str">
        <f t="shared" si="38"/>
        <v>Libra - Air</v>
      </c>
    </row>
    <row r="291" spans="215:219">
      <c r="HG291" s="29">
        <v>44109</v>
      </c>
      <c r="HH291" s="30" t="str">
        <f t="shared" si="39"/>
        <v>05-Oct</v>
      </c>
      <c r="HI291" s="30" t="s">
        <v>122</v>
      </c>
      <c r="HJ291" s="16" t="s">
        <v>132</v>
      </c>
      <c r="HK291" s="16" t="str">
        <f t="shared" si="38"/>
        <v>Libra - Air</v>
      </c>
    </row>
    <row r="292" spans="215:219">
      <c r="HG292" s="29">
        <v>44110</v>
      </c>
      <c r="HH292" s="30" t="str">
        <f t="shared" si="39"/>
        <v>06-Oct</v>
      </c>
      <c r="HI292" s="30" t="s">
        <v>122</v>
      </c>
      <c r="HJ292" s="16" t="s">
        <v>132</v>
      </c>
      <c r="HK292" s="16" t="str">
        <f t="shared" si="38"/>
        <v>Libra - Air</v>
      </c>
    </row>
    <row r="293" spans="215:219">
      <c r="HG293" s="29">
        <v>44111</v>
      </c>
      <c r="HH293" s="30" t="str">
        <f t="shared" si="39"/>
        <v>07-Oct</v>
      </c>
      <c r="HI293" s="30" t="s">
        <v>122</v>
      </c>
      <c r="HJ293" s="16" t="s">
        <v>132</v>
      </c>
      <c r="HK293" s="16" t="str">
        <f t="shared" si="38"/>
        <v>Libra - Air</v>
      </c>
    </row>
    <row r="294" spans="215:219">
      <c r="HG294" s="29">
        <v>44112</v>
      </c>
      <c r="HH294" s="30" t="str">
        <f t="shared" si="39"/>
        <v>08-Oct</v>
      </c>
      <c r="HI294" s="30" t="s">
        <v>122</v>
      </c>
      <c r="HJ294" s="16" t="s">
        <v>132</v>
      </c>
      <c r="HK294" s="16" t="str">
        <f t="shared" si="38"/>
        <v>Libra - Air</v>
      </c>
    </row>
    <row r="295" spans="215:219">
      <c r="HG295" s="29">
        <v>44113</v>
      </c>
      <c r="HH295" s="30" t="str">
        <f t="shared" si="39"/>
        <v>09-Oct</v>
      </c>
      <c r="HI295" s="30" t="s">
        <v>122</v>
      </c>
      <c r="HJ295" s="16" t="s">
        <v>132</v>
      </c>
      <c r="HK295" s="16" t="str">
        <f t="shared" si="38"/>
        <v>Libra - Air</v>
      </c>
    </row>
    <row r="296" spans="215:219">
      <c r="HG296" s="29">
        <v>44114</v>
      </c>
      <c r="HH296" s="30" t="str">
        <f t="shared" si="39"/>
        <v>10-Oct</v>
      </c>
      <c r="HI296" s="30" t="s">
        <v>122</v>
      </c>
      <c r="HJ296" s="16" t="s">
        <v>132</v>
      </c>
      <c r="HK296" s="16" t="str">
        <f t="shared" si="38"/>
        <v>Libra - Air</v>
      </c>
    </row>
    <row r="297" spans="215:219">
      <c r="HG297" s="29">
        <v>44115</v>
      </c>
      <c r="HH297" s="30" t="str">
        <f t="shared" si="39"/>
        <v>11-Oct</v>
      </c>
      <c r="HI297" s="30" t="s">
        <v>122</v>
      </c>
      <c r="HJ297" s="16" t="s">
        <v>132</v>
      </c>
      <c r="HK297" s="16" t="str">
        <f t="shared" si="38"/>
        <v>Libra - Air</v>
      </c>
    </row>
    <row r="298" spans="215:219">
      <c r="HG298" s="29">
        <v>44116</v>
      </c>
      <c r="HH298" s="30" t="str">
        <f t="shared" si="39"/>
        <v>12-Oct</v>
      </c>
      <c r="HI298" s="30" t="s">
        <v>122</v>
      </c>
      <c r="HJ298" s="16" t="s">
        <v>132</v>
      </c>
      <c r="HK298" s="16" t="str">
        <f t="shared" si="38"/>
        <v>Libra - Air</v>
      </c>
    </row>
    <row r="299" spans="215:219">
      <c r="HG299" s="29">
        <v>44117</v>
      </c>
      <c r="HH299" s="30" t="str">
        <f t="shared" si="39"/>
        <v>13-Oct</v>
      </c>
      <c r="HI299" s="30" t="s">
        <v>122</v>
      </c>
      <c r="HJ299" s="16" t="s">
        <v>132</v>
      </c>
      <c r="HK299" s="16" t="str">
        <f t="shared" si="38"/>
        <v>Libra - Air</v>
      </c>
    </row>
    <row r="300" spans="215:219">
      <c r="HG300" s="29">
        <v>44118</v>
      </c>
      <c r="HH300" s="30" t="str">
        <f t="shared" si="39"/>
        <v>14-Oct</v>
      </c>
      <c r="HI300" s="30" t="s">
        <v>122</v>
      </c>
      <c r="HJ300" s="16" t="s">
        <v>132</v>
      </c>
      <c r="HK300" s="16" t="str">
        <f t="shared" si="38"/>
        <v>Libra - Air</v>
      </c>
    </row>
    <row r="301" spans="215:219">
      <c r="HG301" s="29">
        <v>44119</v>
      </c>
      <c r="HH301" s="30" t="str">
        <f t="shared" si="39"/>
        <v>15-Oct</v>
      </c>
      <c r="HI301" s="30" t="s">
        <v>122</v>
      </c>
      <c r="HJ301" s="16" t="s">
        <v>132</v>
      </c>
      <c r="HK301" s="16" t="str">
        <f t="shared" si="38"/>
        <v>Libra - Air</v>
      </c>
    </row>
    <row r="302" spans="215:219">
      <c r="HG302" s="29">
        <v>44120</v>
      </c>
      <c r="HH302" s="30" t="str">
        <f t="shared" si="39"/>
        <v>16-Oct</v>
      </c>
      <c r="HI302" s="30" t="s">
        <v>122</v>
      </c>
      <c r="HJ302" s="16" t="s">
        <v>132</v>
      </c>
      <c r="HK302" s="16" t="str">
        <f t="shared" si="38"/>
        <v>Libra - Air</v>
      </c>
    </row>
    <row r="303" spans="215:219">
      <c r="HG303" s="29">
        <v>44121</v>
      </c>
      <c r="HH303" s="30" t="str">
        <f t="shared" si="39"/>
        <v>17-Oct</v>
      </c>
      <c r="HI303" s="30" t="s">
        <v>122</v>
      </c>
      <c r="HJ303" s="16" t="s">
        <v>132</v>
      </c>
      <c r="HK303" s="16" t="str">
        <f t="shared" si="38"/>
        <v>Libra - Air</v>
      </c>
    </row>
    <row r="304" spans="215:219">
      <c r="HG304" s="29">
        <v>44122</v>
      </c>
      <c r="HH304" s="30" t="str">
        <f t="shared" si="39"/>
        <v>18-Oct</v>
      </c>
      <c r="HI304" s="30" t="s">
        <v>122</v>
      </c>
      <c r="HJ304" s="16" t="s">
        <v>132</v>
      </c>
      <c r="HK304" s="16" t="str">
        <f t="shared" si="38"/>
        <v>Libra - Air</v>
      </c>
    </row>
    <row r="305" spans="215:219">
      <c r="HG305" s="29">
        <v>44123</v>
      </c>
      <c r="HH305" s="30" t="str">
        <f t="shared" si="39"/>
        <v>19-Oct</v>
      </c>
      <c r="HI305" s="30" t="s">
        <v>122</v>
      </c>
      <c r="HJ305" s="16" t="s">
        <v>132</v>
      </c>
      <c r="HK305" s="16" t="str">
        <f t="shared" si="38"/>
        <v>Libra - Air</v>
      </c>
    </row>
    <row r="306" spans="215:219">
      <c r="HG306" s="29">
        <v>44124</v>
      </c>
      <c r="HH306" s="30" t="str">
        <f t="shared" si="39"/>
        <v>20-Oct</v>
      </c>
      <c r="HI306" s="30" t="s">
        <v>122</v>
      </c>
      <c r="HJ306" s="16" t="s">
        <v>132</v>
      </c>
      <c r="HK306" s="16" t="str">
        <f t="shared" si="38"/>
        <v>Libra - Air</v>
      </c>
    </row>
    <row r="307" spans="215:219">
      <c r="HG307" s="29">
        <v>44125</v>
      </c>
      <c r="HH307" s="30" t="str">
        <f t="shared" si="39"/>
        <v>21-Oct</v>
      </c>
      <c r="HI307" s="30" t="s">
        <v>122</v>
      </c>
      <c r="HJ307" s="16" t="s">
        <v>132</v>
      </c>
      <c r="HK307" s="16" t="str">
        <f t="shared" si="38"/>
        <v>Libra - Air</v>
      </c>
    </row>
    <row r="308" spans="215:219">
      <c r="HG308" s="29">
        <v>44126</v>
      </c>
      <c r="HH308" s="30" t="str">
        <f t="shared" si="39"/>
        <v>22-Oct</v>
      </c>
      <c r="HI308" s="30" t="s">
        <v>122</v>
      </c>
      <c r="HJ308" s="16" t="s">
        <v>132</v>
      </c>
      <c r="HK308" s="16" t="str">
        <f t="shared" si="38"/>
        <v>Libra - Air</v>
      </c>
    </row>
    <row r="309" spans="215:219">
      <c r="HG309" s="29">
        <v>44127</v>
      </c>
      <c r="HH309" s="30" t="str">
        <f t="shared" si="39"/>
        <v>23-Oct</v>
      </c>
      <c r="HI309" s="30" t="s">
        <v>123</v>
      </c>
      <c r="HJ309" s="16" t="s">
        <v>131</v>
      </c>
      <c r="HK309" s="16" t="str">
        <f t="shared" si="38"/>
        <v>Scorpio - Water</v>
      </c>
    </row>
    <row r="310" spans="215:219">
      <c r="HG310" s="29">
        <v>44128</v>
      </c>
      <c r="HH310" s="30" t="str">
        <f t="shared" si="39"/>
        <v>24-Oct</v>
      </c>
      <c r="HI310" s="30" t="s">
        <v>123</v>
      </c>
      <c r="HJ310" s="16" t="s">
        <v>131</v>
      </c>
      <c r="HK310" s="16" t="str">
        <f t="shared" si="38"/>
        <v>Scorpio - Water</v>
      </c>
    </row>
    <row r="311" spans="215:219">
      <c r="HG311" s="29">
        <v>44129</v>
      </c>
      <c r="HH311" s="30" t="str">
        <f t="shared" si="39"/>
        <v>25-Oct</v>
      </c>
      <c r="HI311" s="30" t="s">
        <v>123</v>
      </c>
      <c r="HJ311" s="16" t="s">
        <v>131</v>
      </c>
      <c r="HK311" s="16" t="str">
        <f t="shared" si="38"/>
        <v>Scorpio - Water</v>
      </c>
    </row>
    <row r="312" spans="215:219">
      <c r="HG312" s="29">
        <v>44130</v>
      </c>
      <c r="HH312" s="30" t="str">
        <f t="shared" si="39"/>
        <v>26-Oct</v>
      </c>
      <c r="HI312" s="30" t="s">
        <v>123</v>
      </c>
      <c r="HJ312" s="16" t="s">
        <v>131</v>
      </c>
      <c r="HK312" s="16" t="str">
        <f t="shared" si="38"/>
        <v>Scorpio - Water</v>
      </c>
    </row>
    <row r="313" spans="215:219">
      <c r="HG313" s="29">
        <v>44131</v>
      </c>
      <c r="HH313" s="30" t="str">
        <f t="shared" si="39"/>
        <v>27-Oct</v>
      </c>
      <c r="HI313" s="30" t="s">
        <v>123</v>
      </c>
      <c r="HJ313" s="16" t="s">
        <v>131</v>
      </c>
      <c r="HK313" s="16" t="str">
        <f t="shared" si="38"/>
        <v>Scorpio - Water</v>
      </c>
    </row>
    <row r="314" spans="215:219">
      <c r="HG314" s="29">
        <v>44132</v>
      </c>
      <c r="HH314" s="30" t="str">
        <f t="shared" si="39"/>
        <v>28-Oct</v>
      </c>
      <c r="HI314" s="30" t="s">
        <v>123</v>
      </c>
      <c r="HJ314" s="16" t="s">
        <v>131</v>
      </c>
      <c r="HK314" s="16" t="str">
        <f t="shared" si="38"/>
        <v>Scorpio - Water</v>
      </c>
    </row>
    <row r="315" spans="215:219">
      <c r="HG315" s="29">
        <v>44133</v>
      </c>
      <c r="HH315" s="30" t="str">
        <f t="shared" si="39"/>
        <v>29-Oct</v>
      </c>
      <c r="HI315" s="30" t="s">
        <v>123</v>
      </c>
      <c r="HJ315" s="16" t="s">
        <v>131</v>
      </c>
      <c r="HK315" s="16" t="str">
        <f t="shared" si="38"/>
        <v>Scorpio - Water</v>
      </c>
    </row>
    <row r="316" spans="215:219">
      <c r="HG316" s="29">
        <v>44134</v>
      </c>
      <c r="HH316" s="30" t="str">
        <f t="shared" si="39"/>
        <v>30-Oct</v>
      </c>
      <c r="HI316" s="30" t="s">
        <v>123</v>
      </c>
      <c r="HJ316" s="16" t="s">
        <v>131</v>
      </c>
      <c r="HK316" s="16" t="str">
        <f t="shared" si="38"/>
        <v>Scorpio - Water</v>
      </c>
    </row>
    <row r="317" spans="215:219">
      <c r="HG317" s="29">
        <v>44135</v>
      </c>
      <c r="HH317" s="30" t="str">
        <f t="shared" si="39"/>
        <v>31-Oct</v>
      </c>
      <c r="HI317" s="30" t="s">
        <v>123</v>
      </c>
      <c r="HJ317" s="16" t="s">
        <v>131</v>
      </c>
      <c r="HK317" s="16" t="str">
        <f t="shared" si="38"/>
        <v>Scorpio - Water</v>
      </c>
    </row>
    <row r="318" spans="215:219">
      <c r="HG318" s="29">
        <v>44136</v>
      </c>
      <c r="HH318" s="30" t="str">
        <f t="shared" si="39"/>
        <v>01-Nov</v>
      </c>
      <c r="HI318" s="30" t="s">
        <v>123</v>
      </c>
      <c r="HJ318" s="16" t="s">
        <v>131</v>
      </c>
      <c r="HK318" s="16" t="str">
        <f t="shared" si="38"/>
        <v>Scorpio - Water</v>
      </c>
    </row>
    <row r="319" spans="215:219">
      <c r="HG319" s="29">
        <v>44137</v>
      </c>
      <c r="HH319" s="30" t="str">
        <f t="shared" si="39"/>
        <v>02-Nov</v>
      </c>
      <c r="HI319" s="30" t="s">
        <v>123</v>
      </c>
      <c r="HJ319" s="16" t="s">
        <v>131</v>
      </c>
      <c r="HK319" s="16" t="str">
        <f t="shared" si="38"/>
        <v>Scorpio - Water</v>
      </c>
    </row>
    <row r="320" spans="215:219">
      <c r="HG320" s="29">
        <v>44138</v>
      </c>
      <c r="HH320" s="30" t="str">
        <f t="shared" si="39"/>
        <v>03-Nov</v>
      </c>
      <c r="HI320" s="30" t="s">
        <v>123</v>
      </c>
      <c r="HJ320" s="16" t="s">
        <v>131</v>
      </c>
      <c r="HK320" s="16" t="str">
        <f t="shared" si="38"/>
        <v>Scorpio - Water</v>
      </c>
    </row>
    <row r="321" spans="215:219">
      <c r="HG321" s="29">
        <v>44139</v>
      </c>
      <c r="HH321" s="30" t="str">
        <f t="shared" si="39"/>
        <v>04-Nov</v>
      </c>
      <c r="HI321" s="30" t="s">
        <v>123</v>
      </c>
      <c r="HJ321" s="16" t="s">
        <v>131</v>
      </c>
      <c r="HK321" s="16" t="str">
        <f t="shared" si="38"/>
        <v>Scorpio - Water</v>
      </c>
    </row>
    <row r="322" spans="215:219">
      <c r="HG322" s="29">
        <v>44140</v>
      </c>
      <c r="HH322" s="30" t="str">
        <f t="shared" si="39"/>
        <v>05-Nov</v>
      </c>
      <c r="HI322" s="30" t="s">
        <v>123</v>
      </c>
      <c r="HJ322" s="16" t="s">
        <v>131</v>
      </c>
      <c r="HK322" s="16" t="str">
        <f t="shared" si="38"/>
        <v>Scorpio - Water</v>
      </c>
    </row>
    <row r="323" spans="215:219">
      <c r="HG323" s="29">
        <v>44141</v>
      </c>
      <c r="HH323" s="30" t="str">
        <f t="shared" si="39"/>
        <v>06-Nov</v>
      </c>
      <c r="HI323" s="30" t="s">
        <v>123</v>
      </c>
      <c r="HJ323" s="16" t="s">
        <v>131</v>
      </c>
      <c r="HK323" s="16" t="str">
        <f t="shared" si="38"/>
        <v>Scorpio - Water</v>
      </c>
    </row>
    <row r="324" spans="215:219">
      <c r="HG324" s="29">
        <v>44142</v>
      </c>
      <c r="HH324" s="30" t="str">
        <f t="shared" si="39"/>
        <v>07-Nov</v>
      </c>
      <c r="HI324" s="30" t="s">
        <v>123</v>
      </c>
      <c r="HJ324" s="16" t="s">
        <v>131</v>
      </c>
      <c r="HK324" s="16" t="str">
        <f t="shared" si="38"/>
        <v>Scorpio - Water</v>
      </c>
    </row>
    <row r="325" spans="215:219">
      <c r="HG325" s="29">
        <v>44143</v>
      </c>
      <c r="HH325" s="30" t="str">
        <f t="shared" si="39"/>
        <v>08-Nov</v>
      </c>
      <c r="HI325" s="30" t="s">
        <v>123</v>
      </c>
      <c r="HJ325" s="16" t="s">
        <v>131</v>
      </c>
      <c r="HK325" s="16" t="str">
        <f t="shared" si="38"/>
        <v>Scorpio - Water</v>
      </c>
    </row>
    <row r="326" spans="215:219">
      <c r="HG326" s="29">
        <v>44144</v>
      </c>
      <c r="HH326" s="30" t="str">
        <f t="shared" si="39"/>
        <v>09-Nov</v>
      </c>
      <c r="HI326" s="30" t="s">
        <v>123</v>
      </c>
      <c r="HJ326" s="16" t="s">
        <v>131</v>
      </c>
      <c r="HK326" s="16" t="str">
        <f t="shared" si="38"/>
        <v>Scorpio - Water</v>
      </c>
    </row>
    <row r="327" spans="215:219">
      <c r="HG327" s="29">
        <v>44145</v>
      </c>
      <c r="HH327" s="30" t="str">
        <f t="shared" si="39"/>
        <v>10-Nov</v>
      </c>
      <c r="HI327" s="30" t="s">
        <v>123</v>
      </c>
      <c r="HJ327" s="16" t="s">
        <v>131</v>
      </c>
      <c r="HK327" s="16" t="str">
        <f t="shared" si="38"/>
        <v>Scorpio - Water</v>
      </c>
    </row>
    <row r="328" spans="215:219">
      <c r="HG328" s="29">
        <v>44146</v>
      </c>
      <c r="HH328" s="30" t="str">
        <f t="shared" si="39"/>
        <v>11-Nov</v>
      </c>
      <c r="HI328" s="30" t="s">
        <v>123</v>
      </c>
      <c r="HJ328" s="16" t="s">
        <v>131</v>
      </c>
      <c r="HK328" s="16" t="str">
        <f t="shared" si="38"/>
        <v>Scorpio - Water</v>
      </c>
    </row>
    <row r="329" spans="215:219">
      <c r="HG329" s="29">
        <v>44147</v>
      </c>
      <c r="HH329" s="30" t="str">
        <f t="shared" si="39"/>
        <v>12-Nov</v>
      </c>
      <c r="HI329" s="30" t="s">
        <v>123</v>
      </c>
      <c r="HJ329" s="16" t="s">
        <v>131</v>
      </c>
      <c r="HK329" s="16" t="str">
        <f t="shared" si="38"/>
        <v>Scorpio - Water</v>
      </c>
    </row>
    <row r="330" spans="215:219">
      <c r="HG330" s="29">
        <v>44148</v>
      </c>
      <c r="HH330" s="30" t="str">
        <f t="shared" si="39"/>
        <v>13-Nov</v>
      </c>
      <c r="HI330" s="30" t="s">
        <v>123</v>
      </c>
      <c r="HJ330" s="16" t="s">
        <v>131</v>
      </c>
      <c r="HK330" s="16" t="str">
        <f t="shared" si="38"/>
        <v>Scorpio - Water</v>
      </c>
    </row>
    <row r="331" spans="215:219">
      <c r="HG331" s="29">
        <v>44149</v>
      </c>
      <c r="HH331" s="30" t="str">
        <f t="shared" si="39"/>
        <v>14-Nov</v>
      </c>
      <c r="HI331" s="30" t="s">
        <v>123</v>
      </c>
      <c r="HJ331" s="16" t="s">
        <v>131</v>
      </c>
      <c r="HK331" s="16" t="str">
        <f t="shared" si="38"/>
        <v>Scorpio - Water</v>
      </c>
    </row>
    <row r="332" spans="215:219">
      <c r="HG332" s="29">
        <v>44150</v>
      </c>
      <c r="HH332" s="30" t="str">
        <f t="shared" si="39"/>
        <v>15-Nov</v>
      </c>
      <c r="HI332" s="30" t="s">
        <v>123</v>
      </c>
      <c r="HJ332" s="16" t="s">
        <v>131</v>
      </c>
      <c r="HK332" s="16" t="str">
        <f t="shared" si="38"/>
        <v>Scorpio - Water</v>
      </c>
    </row>
    <row r="333" spans="215:219">
      <c r="HG333" s="29">
        <v>44151</v>
      </c>
      <c r="HH333" s="30" t="str">
        <f t="shared" si="39"/>
        <v>16-Nov</v>
      </c>
      <c r="HI333" s="30" t="s">
        <v>123</v>
      </c>
      <c r="HJ333" s="16" t="s">
        <v>131</v>
      </c>
      <c r="HK333" s="16" t="str">
        <f t="shared" ref="HK333:HK378" si="40">HI333&amp;" - "&amp;HJ333</f>
        <v>Scorpio - Water</v>
      </c>
    </row>
    <row r="334" spans="215:219">
      <c r="HG334" s="29">
        <v>44152</v>
      </c>
      <c r="HH334" s="30" t="str">
        <f t="shared" ref="HH334:HH378" si="41">TEXT(HG334,"DD-MMM")</f>
        <v>17-Nov</v>
      </c>
      <c r="HI334" s="30" t="s">
        <v>123</v>
      </c>
      <c r="HJ334" s="16" t="s">
        <v>131</v>
      </c>
      <c r="HK334" s="16" t="str">
        <f t="shared" si="40"/>
        <v>Scorpio - Water</v>
      </c>
    </row>
    <row r="335" spans="215:219">
      <c r="HG335" s="29">
        <v>44153</v>
      </c>
      <c r="HH335" s="30" t="str">
        <f t="shared" si="41"/>
        <v>18-Nov</v>
      </c>
      <c r="HI335" s="30" t="s">
        <v>123</v>
      </c>
      <c r="HJ335" s="16" t="s">
        <v>131</v>
      </c>
      <c r="HK335" s="16" t="str">
        <f t="shared" si="40"/>
        <v>Scorpio - Water</v>
      </c>
    </row>
    <row r="336" spans="215:219">
      <c r="HG336" s="29">
        <v>44154</v>
      </c>
      <c r="HH336" s="30" t="str">
        <f t="shared" si="41"/>
        <v>19-Nov</v>
      </c>
      <c r="HI336" s="30" t="s">
        <v>123</v>
      </c>
      <c r="HJ336" s="16" t="s">
        <v>131</v>
      </c>
      <c r="HK336" s="16" t="str">
        <f t="shared" si="40"/>
        <v>Scorpio - Water</v>
      </c>
    </row>
    <row r="337" spans="215:219">
      <c r="HG337" s="29">
        <v>44155</v>
      </c>
      <c r="HH337" s="30" t="str">
        <f t="shared" si="41"/>
        <v>20-Nov</v>
      </c>
      <c r="HI337" s="30" t="s">
        <v>123</v>
      </c>
      <c r="HJ337" s="16" t="s">
        <v>131</v>
      </c>
      <c r="HK337" s="16" t="str">
        <f t="shared" si="40"/>
        <v>Scorpio - Water</v>
      </c>
    </row>
    <row r="338" spans="215:219">
      <c r="HG338" s="29">
        <v>44156</v>
      </c>
      <c r="HH338" s="30" t="str">
        <f t="shared" si="41"/>
        <v>21-Nov</v>
      </c>
      <c r="HI338" s="30" t="s">
        <v>123</v>
      </c>
      <c r="HJ338" s="16" t="s">
        <v>131</v>
      </c>
      <c r="HK338" s="16" t="str">
        <f t="shared" si="40"/>
        <v>Scorpio - Water</v>
      </c>
    </row>
    <row r="339" spans="215:219">
      <c r="HG339" s="29">
        <v>44157</v>
      </c>
      <c r="HH339" s="30" t="str">
        <f t="shared" si="41"/>
        <v>22-Nov</v>
      </c>
      <c r="HI339" s="30" t="s">
        <v>124</v>
      </c>
      <c r="HJ339" s="16" t="s">
        <v>129</v>
      </c>
      <c r="HK339" s="16" t="str">
        <f t="shared" si="40"/>
        <v>Sagittarius - Fire</v>
      </c>
    </row>
    <row r="340" spans="215:219">
      <c r="HG340" s="29">
        <v>44158</v>
      </c>
      <c r="HH340" s="30" t="str">
        <f t="shared" si="41"/>
        <v>23-Nov</v>
      </c>
      <c r="HI340" s="30" t="s">
        <v>124</v>
      </c>
      <c r="HJ340" s="16" t="s">
        <v>129</v>
      </c>
      <c r="HK340" s="16" t="str">
        <f t="shared" si="40"/>
        <v>Sagittarius - Fire</v>
      </c>
    </row>
    <row r="341" spans="215:219">
      <c r="HG341" s="29">
        <v>44159</v>
      </c>
      <c r="HH341" s="30" t="str">
        <f t="shared" si="41"/>
        <v>24-Nov</v>
      </c>
      <c r="HI341" s="30" t="s">
        <v>124</v>
      </c>
      <c r="HJ341" s="16" t="s">
        <v>129</v>
      </c>
      <c r="HK341" s="16" t="str">
        <f t="shared" si="40"/>
        <v>Sagittarius - Fire</v>
      </c>
    </row>
    <row r="342" spans="215:219">
      <c r="HG342" s="29">
        <v>44160</v>
      </c>
      <c r="HH342" s="30" t="str">
        <f t="shared" si="41"/>
        <v>25-Nov</v>
      </c>
      <c r="HI342" s="30" t="s">
        <v>124</v>
      </c>
      <c r="HJ342" s="16" t="s">
        <v>129</v>
      </c>
      <c r="HK342" s="16" t="str">
        <f t="shared" si="40"/>
        <v>Sagittarius - Fire</v>
      </c>
    </row>
    <row r="343" spans="215:219">
      <c r="HG343" s="29">
        <v>44161</v>
      </c>
      <c r="HH343" s="30" t="str">
        <f t="shared" si="41"/>
        <v>26-Nov</v>
      </c>
      <c r="HI343" s="30" t="s">
        <v>124</v>
      </c>
      <c r="HJ343" s="16" t="s">
        <v>129</v>
      </c>
      <c r="HK343" s="16" t="str">
        <f t="shared" si="40"/>
        <v>Sagittarius - Fire</v>
      </c>
    </row>
    <row r="344" spans="215:219">
      <c r="HG344" s="29">
        <v>44162</v>
      </c>
      <c r="HH344" s="30" t="str">
        <f t="shared" si="41"/>
        <v>27-Nov</v>
      </c>
      <c r="HI344" s="30" t="s">
        <v>124</v>
      </c>
      <c r="HJ344" s="16" t="s">
        <v>129</v>
      </c>
      <c r="HK344" s="16" t="str">
        <f t="shared" si="40"/>
        <v>Sagittarius - Fire</v>
      </c>
    </row>
    <row r="345" spans="215:219">
      <c r="HG345" s="29">
        <v>44163</v>
      </c>
      <c r="HH345" s="30" t="str">
        <f t="shared" si="41"/>
        <v>28-Nov</v>
      </c>
      <c r="HI345" s="30" t="s">
        <v>124</v>
      </c>
      <c r="HJ345" s="16" t="s">
        <v>129</v>
      </c>
      <c r="HK345" s="16" t="str">
        <f t="shared" si="40"/>
        <v>Sagittarius - Fire</v>
      </c>
    </row>
    <row r="346" spans="215:219">
      <c r="HG346" s="29">
        <v>44164</v>
      </c>
      <c r="HH346" s="30" t="str">
        <f t="shared" si="41"/>
        <v>29-Nov</v>
      </c>
      <c r="HI346" s="30" t="s">
        <v>124</v>
      </c>
      <c r="HJ346" s="16" t="s">
        <v>129</v>
      </c>
      <c r="HK346" s="16" t="str">
        <f t="shared" si="40"/>
        <v>Sagittarius - Fire</v>
      </c>
    </row>
    <row r="347" spans="215:219">
      <c r="HG347" s="29">
        <v>44165</v>
      </c>
      <c r="HH347" s="30" t="str">
        <f t="shared" si="41"/>
        <v>30-Nov</v>
      </c>
      <c r="HI347" s="30" t="s">
        <v>124</v>
      </c>
      <c r="HJ347" s="16" t="s">
        <v>129</v>
      </c>
      <c r="HK347" s="16" t="str">
        <f t="shared" si="40"/>
        <v>Sagittarius - Fire</v>
      </c>
    </row>
    <row r="348" spans="215:219">
      <c r="HG348" s="29">
        <v>44166</v>
      </c>
      <c r="HH348" s="30" t="str">
        <f t="shared" si="41"/>
        <v>01-Dec</v>
      </c>
      <c r="HI348" s="30" t="s">
        <v>124</v>
      </c>
      <c r="HJ348" s="16" t="s">
        <v>129</v>
      </c>
      <c r="HK348" s="16" t="str">
        <f t="shared" si="40"/>
        <v>Sagittarius - Fire</v>
      </c>
    </row>
    <row r="349" spans="215:219">
      <c r="HG349" s="29">
        <v>44167</v>
      </c>
      <c r="HH349" s="30" t="str">
        <f t="shared" si="41"/>
        <v>02-Dec</v>
      </c>
      <c r="HI349" s="30" t="s">
        <v>124</v>
      </c>
      <c r="HJ349" s="16" t="s">
        <v>129</v>
      </c>
      <c r="HK349" s="16" t="str">
        <f t="shared" si="40"/>
        <v>Sagittarius - Fire</v>
      </c>
    </row>
    <row r="350" spans="215:219">
      <c r="HG350" s="29">
        <v>44168</v>
      </c>
      <c r="HH350" s="30" t="str">
        <f t="shared" si="41"/>
        <v>03-Dec</v>
      </c>
      <c r="HI350" s="30" t="s">
        <v>124</v>
      </c>
      <c r="HJ350" s="16" t="s">
        <v>129</v>
      </c>
      <c r="HK350" s="16" t="str">
        <f t="shared" si="40"/>
        <v>Sagittarius - Fire</v>
      </c>
    </row>
    <row r="351" spans="215:219">
      <c r="HG351" s="29">
        <v>44169</v>
      </c>
      <c r="HH351" s="30" t="str">
        <f t="shared" si="41"/>
        <v>04-Dec</v>
      </c>
      <c r="HI351" s="30" t="s">
        <v>124</v>
      </c>
      <c r="HJ351" s="16" t="s">
        <v>129</v>
      </c>
      <c r="HK351" s="16" t="str">
        <f t="shared" si="40"/>
        <v>Sagittarius - Fire</v>
      </c>
    </row>
    <row r="352" spans="215:219">
      <c r="HG352" s="29">
        <v>44170</v>
      </c>
      <c r="HH352" s="30" t="str">
        <f t="shared" si="41"/>
        <v>05-Dec</v>
      </c>
      <c r="HI352" s="30" t="s">
        <v>124</v>
      </c>
      <c r="HJ352" s="16" t="s">
        <v>129</v>
      </c>
      <c r="HK352" s="16" t="str">
        <f t="shared" si="40"/>
        <v>Sagittarius - Fire</v>
      </c>
    </row>
    <row r="353" spans="215:219">
      <c r="HG353" s="29">
        <v>44171</v>
      </c>
      <c r="HH353" s="30" t="str">
        <f t="shared" si="41"/>
        <v>06-Dec</v>
      </c>
      <c r="HI353" s="30" t="s">
        <v>124</v>
      </c>
      <c r="HJ353" s="16" t="s">
        <v>129</v>
      </c>
      <c r="HK353" s="16" t="str">
        <f t="shared" si="40"/>
        <v>Sagittarius - Fire</v>
      </c>
    </row>
    <row r="354" spans="215:219">
      <c r="HG354" s="29">
        <v>44172</v>
      </c>
      <c r="HH354" s="30" t="str">
        <f t="shared" si="41"/>
        <v>07-Dec</v>
      </c>
      <c r="HI354" s="30" t="s">
        <v>124</v>
      </c>
      <c r="HJ354" s="16" t="s">
        <v>129</v>
      </c>
      <c r="HK354" s="16" t="str">
        <f t="shared" si="40"/>
        <v>Sagittarius - Fire</v>
      </c>
    </row>
    <row r="355" spans="215:219">
      <c r="HG355" s="29">
        <v>44173</v>
      </c>
      <c r="HH355" s="30" t="str">
        <f t="shared" si="41"/>
        <v>08-Dec</v>
      </c>
      <c r="HI355" s="30" t="s">
        <v>124</v>
      </c>
      <c r="HJ355" s="16" t="s">
        <v>129</v>
      </c>
      <c r="HK355" s="16" t="str">
        <f t="shared" si="40"/>
        <v>Sagittarius - Fire</v>
      </c>
    </row>
    <row r="356" spans="215:219">
      <c r="HG356" s="29">
        <v>44174</v>
      </c>
      <c r="HH356" s="30" t="str">
        <f t="shared" si="41"/>
        <v>09-Dec</v>
      </c>
      <c r="HI356" s="30" t="s">
        <v>124</v>
      </c>
      <c r="HJ356" s="16" t="s">
        <v>129</v>
      </c>
      <c r="HK356" s="16" t="str">
        <f t="shared" si="40"/>
        <v>Sagittarius - Fire</v>
      </c>
    </row>
    <row r="357" spans="215:219">
      <c r="HG357" s="29">
        <v>44175</v>
      </c>
      <c r="HH357" s="30" t="str">
        <f t="shared" si="41"/>
        <v>10-Dec</v>
      </c>
      <c r="HI357" s="30" t="s">
        <v>124</v>
      </c>
      <c r="HJ357" s="16" t="s">
        <v>129</v>
      </c>
      <c r="HK357" s="16" t="str">
        <f t="shared" si="40"/>
        <v>Sagittarius - Fire</v>
      </c>
    </row>
    <row r="358" spans="215:219">
      <c r="HG358" s="29">
        <v>44176</v>
      </c>
      <c r="HH358" s="30" t="str">
        <f t="shared" si="41"/>
        <v>11-Dec</v>
      </c>
      <c r="HI358" s="30" t="s">
        <v>124</v>
      </c>
      <c r="HJ358" s="16" t="s">
        <v>129</v>
      </c>
      <c r="HK358" s="16" t="str">
        <f t="shared" si="40"/>
        <v>Sagittarius - Fire</v>
      </c>
    </row>
    <row r="359" spans="215:219">
      <c r="HG359" s="29">
        <v>44177</v>
      </c>
      <c r="HH359" s="30" t="str">
        <f t="shared" si="41"/>
        <v>12-Dec</v>
      </c>
      <c r="HI359" s="30" t="s">
        <v>124</v>
      </c>
      <c r="HJ359" s="16" t="s">
        <v>129</v>
      </c>
      <c r="HK359" s="16" t="str">
        <f t="shared" si="40"/>
        <v>Sagittarius - Fire</v>
      </c>
    </row>
    <row r="360" spans="215:219">
      <c r="HG360" s="29">
        <v>44178</v>
      </c>
      <c r="HH360" s="30" t="str">
        <f t="shared" si="41"/>
        <v>13-Dec</v>
      </c>
      <c r="HI360" s="30" t="s">
        <v>124</v>
      </c>
      <c r="HJ360" s="16" t="s">
        <v>129</v>
      </c>
      <c r="HK360" s="16" t="str">
        <f t="shared" si="40"/>
        <v>Sagittarius - Fire</v>
      </c>
    </row>
    <row r="361" spans="215:219">
      <c r="HG361" s="29">
        <v>44179</v>
      </c>
      <c r="HH361" s="30" t="str">
        <f t="shared" si="41"/>
        <v>14-Dec</v>
      </c>
      <c r="HI361" s="30" t="s">
        <v>124</v>
      </c>
      <c r="HJ361" s="16" t="s">
        <v>129</v>
      </c>
      <c r="HK361" s="16" t="str">
        <f t="shared" si="40"/>
        <v>Sagittarius - Fire</v>
      </c>
    </row>
    <row r="362" spans="215:219">
      <c r="HG362" s="29">
        <v>44180</v>
      </c>
      <c r="HH362" s="30" t="str">
        <f t="shared" si="41"/>
        <v>15-Dec</v>
      </c>
      <c r="HI362" s="30" t="s">
        <v>124</v>
      </c>
      <c r="HJ362" s="16" t="s">
        <v>129</v>
      </c>
      <c r="HK362" s="16" t="str">
        <f t="shared" si="40"/>
        <v>Sagittarius - Fire</v>
      </c>
    </row>
    <row r="363" spans="215:219">
      <c r="HG363" s="29">
        <v>44181</v>
      </c>
      <c r="HH363" s="30" t="str">
        <f t="shared" si="41"/>
        <v>16-Dec</v>
      </c>
      <c r="HI363" s="30" t="s">
        <v>124</v>
      </c>
      <c r="HJ363" s="16" t="s">
        <v>129</v>
      </c>
      <c r="HK363" s="16" t="str">
        <f t="shared" si="40"/>
        <v>Sagittarius - Fire</v>
      </c>
    </row>
    <row r="364" spans="215:219">
      <c r="HG364" s="29">
        <v>44182</v>
      </c>
      <c r="HH364" s="30" t="str">
        <f t="shared" si="41"/>
        <v>17-Dec</v>
      </c>
      <c r="HI364" s="30" t="s">
        <v>124</v>
      </c>
      <c r="HJ364" s="16" t="s">
        <v>129</v>
      </c>
      <c r="HK364" s="16" t="str">
        <f t="shared" si="40"/>
        <v>Sagittarius - Fire</v>
      </c>
    </row>
    <row r="365" spans="215:219">
      <c r="HG365" s="29">
        <v>44183</v>
      </c>
      <c r="HH365" s="30" t="str">
        <f t="shared" si="41"/>
        <v>18-Dec</v>
      </c>
      <c r="HI365" s="30" t="s">
        <v>124</v>
      </c>
      <c r="HJ365" s="16" t="s">
        <v>129</v>
      </c>
      <c r="HK365" s="16" t="str">
        <f t="shared" si="40"/>
        <v>Sagittarius - Fire</v>
      </c>
    </row>
    <row r="366" spans="215:219">
      <c r="HG366" s="29">
        <v>44184</v>
      </c>
      <c r="HH366" s="30" t="str">
        <f t="shared" si="41"/>
        <v>19-Dec</v>
      </c>
      <c r="HI366" s="30" t="s">
        <v>124</v>
      </c>
      <c r="HJ366" s="16" t="s">
        <v>129</v>
      </c>
      <c r="HK366" s="16" t="str">
        <f t="shared" si="40"/>
        <v>Sagittarius - Fire</v>
      </c>
    </row>
    <row r="367" spans="215:219">
      <c r="HG367" s="29">
        <v>44185</v>
      </c>
      <c r="HH367" s="30" t="str">
        <f t="shared" si="41"/>
        <v>20-Dec</v>
      </c>
      <c r="HI367" s="30" t="s">
        <v>124</v>
      </c>
      <c r="HJ367" s="16" t="s">
        <v>129</v>
      </c>
      <c r="HK367" s="16" t="str">
        <f t="shared" si="40"/>
        <v>Sagittarius - Fire</v>
      </c>
    </row>
    <row r="368" spans="215:219">
      <c r="HG368" s="29">
        <v>44186</v>
      </c>
      <c r="HH368" s="30" t="str">
        <f t="shared" si="41"/>
        <v>21-Dec</v>
      </c>
      <c r="HI368" s="30" t="s">
        <v>124</v>
      </c>
      <c r="HJ368" s="16" t="s">
        <v>129</v>
      </c>
      <c r="HK368" s="16" t="str">
        <f>HI368&amp;" - "&amp;HJ368</f>
        <v>Sagittarius - Fire</v>
      </c>
    </row>
    <row r="369" spans="215:219">
      <c r="HG369" s="29">
        <v>44187</v>
      </c>
      <c r="HH369" s="30" t="str">
        <f t="shared" si="41"/>
        <v>22-Dec</v>
      </c>
      <c r="HI369" s="30" t="s">
        <v>113</v>
      </c>
      <c r="HJ369" s="16" t="s">
        <v>130</v>
      </c>
      <c r="HK369" s="16" t="str">
        <f t="shared" si="40"/>
        <v>Capricorn - Earth</v>
      </c>
    </row>
    <row r="370" spans="215:219">
      <c r="HG370" s="29">
        <v>44188</v>
      </c>
      <c r="HH370" s="30" t="str">
        <f t="shared" si="41"/>
        <v>23-Dec</v>
      </c>
      <c r="HI370" s="30" t="s">
        <v>113</v>
      </c>
      <c r="HJ370" s="16" t="s">
        <v>130</v>
      </c>
      <c r="HK370" s="16" t="str">
        <f t="shared" si="40"/>
        <v>Capricorn - Earth</v>
      </c>
    </row>
    <row r="371" spans="215:219">
      <c r="HG371" s="29">
        <v>44189</v>
      </c>
      <c r="HH371" s="30" t="str">
        <f t="shared" si="41"/>
        <v>24-Dec</v>
      </c>
      <c r="HI371" s="30" t="s">
        <v>113</v>
      </c>
      <c r="HJ371" s="16" t="s">
        <v>130</v>
      </c>
      <c r="HK371" s="16" t="str">
        <f t="shared" si="40"/>
        <v>Capricorn - Earth</v>
      </c>
    </row>
    <row r="372" spans="215:219">
      <c r="HG372" s="29">
        <v>44190</v>
      </c>
      <c r="HH372" s="30" t="str">
        <f t="shared" si="41"/>
        <v>25-Dec</v>
      </c>
      <c r="HI372" s="30" t="s">
        <v>113</v>
      </c>
      <c r="HJ372" s="16" t="s">
        <v>130</v>
      </c>
      <c r="HK372" s="16" t="str">
        <f t="shared" si="40"/>
        <v>Capricorn - Earth</v>
      </c>
    </row>
    <row r="373" spans="215:219">
      <c r="HG373" s="29">
        <v>44191</v>
      </c>
      <c r="HH373" s="30" t="str">
        <f t="shared" si="41"/>
        <v>26-Dec</v>
      </c>
      <c r="HI373" s="30" t="s">
        <v>113</v>
      </c>
      <c r="HJ373" s="16" t="s">
        <v>130</v>
      </c>
      <c r="HK373" s="16" t="str">
        <f t="shared" si="40"/>
        <v>Capricorn - Earth</v>
      </c>
    </row>
    <row r="374" spans="215:219">
      <c r="HG374" s="29">
        <v>44192</v>
      </c>
      <c r="HH374" s="30" t="str">
        <f t="shared" si="41"/>
        <v>27-Dec</v>
      </c>
      <c r="HI374" s="30" t="s">
        <v>113</v>
      </c>
      <c r="HJ374" s="16" t="s">
        <v>130</v>
      </c>
      <c r="HK374" s="16" t="str">
        <f t="shared" si="40"/>
        <v>Capricorn - Earth</v>
      </c>
    </row>
    <row r="375" spans="215:219">
      <c r="HG375" s="29">
        <v>44193</v>
      </c>
      <c r="HH375" s="30" t="str">
        <f t="shared" si="41"/>
        <v>28-Dec</v>
      </c>
      <c r="HI375" s="30" t="s">
        <v>113</v>
      </c>
      <c r="HJ375" s="16" t="s">
        <v>130</v>
      </c>
      <c r="HK375" s="16" t="str">
        <f t="shared" si="40"/>
        <v>Capricorn - Earth</v>
      </c>
    </row>
    <row r="376" spans="215:219">
      <c r="HG376" s="29">
        <v>44194</v>
      </c>
      <c r="HH376" s="30" t="str">
        <f t="shared" si="41"/>
        <v>29-Dec</v>
      </c>
      <c r="HI376" s="30" t="s">
        <v>113</v>
      </c>
      <c r="HJ376" s="16" t="s">
        <v>130</v>
      </c>
      <c r="HK376" s="16" t="str">
        <f t="shared" si="40"/>
        <v>Capricorn - Earth</v>
      </c>
    </row>
    <row r="377" spans="215:219">
      <c r="HG377" s="29">
        <v>44195</v>
      </c>
      <c r="HH377" s="30" t="str">
        <f t="shared" si="41"/>
        <v>30-Dec</v>
      </c>
      <c r="HI377" s="30" t="s">
        <v>113</v>
      </c>
      <c r="HJ377" s="16" t="s">
        <v>130</v>
      </c>
      <c r="HK377" s="16" t="str">
        <f t="shared" si="40"/>
        <v>Capricorn - Earth</v>
      </c>
    </row>
    <row r="378" spans="215:219">
      <c r="HG378" s="29">
        <v>44196</v>
      </c>
      <c r="HH378" s="30" t="str">
        <f t="shared" si="41"/>
        <v>31-Dec</v>
      </c>
      <c r="HI378" s="30" t="s">
        <v>113</v>
      </c>
      <c r="HJ378" s="16" t="s">
        <v>130</v>
      </c>
      <c r="HK378" s="16" t="str">
        <f t="shared" si="40"/>
        <v>Capricorn - Earth</v>
      </c>
    </row>
  </sheetData>
  <mergeCells count="21">
    <mergeCell ref="A85:B85"/>
    <mergeCell ref="A92:B92"/>
    <mergeCell ref="J22:K22"/>
    <mergeCell ref="L22:M22"/>
    <mergeCell ref="AB33:AD33"/>
    <mergeCell ref="A34:B34"/>
    <mergeCell ref="AS35:BA35"/>
    <mergeCell ref="AE40:AL40"/>
    <mergeCell ref="Y51:AB51"/>
    <mergeCell ref="C4:D4"/>
    <mergeCell ref="F4:G4"/>
    <mergeCell ref="I4:L4"/>
    <mergeCell ref="C5:D5"/>
    <mergeCell ref="F5:G5"/>
    <mergeCell ref="I5:L5"/>
    <mergeCell ref="AB12:AD12"/>
    <mergeCell ref="GG12:GP12"/>
    <mergeCell ref="GU12:GV12"/>
    <mergeCell ref="A13:B13"/>
    <mergeCell ref="AE19:AL19"/>
    <mergeCell ref="AR20:BA20"/>
  </mergeCells>
  <conditionalFormatting sqref="AB16:AB19">
    <cfRule type="cellIs" dxfId="339" priority="200" operator="equal">
      <formula>"SA"</formula>
    </cfRule>
    <cfRule type="cellIs" dxfId="338" priority="204" operator="equal">
      <formula>"A"</formula>
    </cfRule>
  </conditionalFormatting>
  <conditionalFormatting sqref="AC16:AC19">
    <cfRule type="cellIs" dxfId="337" priority="199" operator="equal">
      <formula>"SA"</formula>
    </cfRule>
    <cfRule type="cellIs" dxfId="336" priority="203" operator="equal">
      <formula>"A"</formula>
    </cfRule>
  </conditionalFormatting>
  <conditionalFormatting sqref="AB37:AB38 AB40">
    <cfRule type="cellIs" dxfId="335" priority="202" operator="equal">
      <formula>"A"</formula>
    </cfRule>
  </conditionalFormatting>
  <conditionalFormatting sqref="AC37:AC40">
    <cfRule type="cellIs" dxfId="334" priority="197" operator="equal">
      <formula>"SA"</formula>
    </cfRule>
    <cfRule type="cellIs" dxfId="333" priority="198" operator="equal">
      <formula>"SA"</formula>
    </cfRule>
    <cfRule type="cellIs" dxfId="332" priority="201" operator="equal">
      <formula>"A"</formula>
    </cfRule>
  </conditionalFormatting>
  <conditionalFormatting sqref="AC42:AC49">
    <cfRule type="colorScale" priority="196">
      <colorScale>
        <cfvo type="min" val="0"/>
        <cfvo type="max" val="0"/>
        <color rgb="FFFF3399"/>
        <color theme="8" tint="0.79998168889431442"/>
      </colorScale>
    </cfRule>
  </conditionalFormatting>
  <conditionalFormatting sqref="AC21:AC28">
    <cfRule type="colorScale" priority="195">
      <colorScale>
        <cfvo type="min" val="0"/>
        <cfvo type="max" val="0"/>
        <color rgb="FFFF3399"/>
        <color theme="8" tint="0.79998168889431442"/>
      </colorScale>
    </cfRule>
  </conditionalFormatting>
  <conditionalFormatting sqref="AK21:AK32">
    <cfRule type="cellIs" dxfId="331" priority="194" operator="greaterThan">
      <formula>1</formula>
    </cfRule>
  </conditionalFormatting>
  <conditionalFormatting sqref="AL23:AO32 AL21:AM22">
    <cfRule type="cellIs" dxfId="330" priority="193" operator="greaterThan">
      <formula>1</formula>
    </cfRule>
  </conditionalFormatting>
  <conditionalFormatting sqref="AK42:AK50">
    <cfRule type="cellIs" dxfId="329" priority="192" operator="greaterThan">
      <formula>1</formula>
    </cfRule>
  </conditionalFormatting>
  <conditionalFormatting sqref="AL43:AO50 AL42">
    <cfRule type="cellIs" dxfId="328" priority="191" operator="greaterThan">
      <formula>1</formula>
    </cfRule>
  </conditionalFormatting>
  <conditionalFormatting sqref="AE21:AH29">
    <cfRule type="cellIs" dxfId="327" priority="190" operator="equal">
      <formula>0</formula>
    </cfRule>
  </conditionalFormatting>
  <conditionalFormatting sqref="AE42:AH50">
    <cfRule type="cellIs" dxfId="326" priority="189" operator="equal">
      <formula>0</formula>
    </cfRule>
  </conditionalFormatting>
  <conditionalFormatting sqref="AB14">
    <cfRule type="cellIs" dxfId="325" priority="188" operator="equal">
      <formula>"Active"</formula>
    </cfRule>
  </conditionalFormatting>
  <conditionalFormatting sqref="AC14">
    <cfRule type="cellIs" dxfId="324" priority="187" operator="equal">
      <formula>"Active"</formula>
    </cfRule>
  </conditionalFormatting>
  <conditionalFormatting sqref="AB35">
    <cfRule type="cellIs" dxfId="323" priority="186" operator="equal">
      <formula>"Active"</formula>
    </cfRule>
  </conditionalFormatting>
  <conditionalFormatting sqref="AC35">
    <cfRule type="cellIs" dxfId="322" priority="185" operator="equal">
      <formula>"Active"</formula>
    </cfRule>
  </conditionalFormatting>
  <conditionalFormatting sqref="AS31:BA32">
    <cfRule type="containsText" dxfId="321" priority="179" operator="containsText" text="SA">
      <formula>NOT(ISERROR(SEARCH("SA",AS31)))</formula>
    </cfRule>
    <cfRule type="containsText" dxfId="320" priority="180" operator="containsText" text="A">
      <formula>NOT(ISERROR(SEARCH("A",AS31)))</formula>
    </cfRule>
    <cfRule type="containsText" dxfId="319" priority="181" operator="containsText" text="VG">
      <formula>NOT(ISERROR(SEARCH("VG",AS31)))</formula>
    </cfRule>
    <cfRule type="containsText" dxfId="318" priority="182" operator="containsText" text="G">
      <formula>NOT(ISERROR(SEARCH("G",AS31)))</formula>
    </cfRule>
    <cfRule type="containsText" dxfId="317" priority="183" operator="containsText" text="VG">
      <formula>NOT(ISERROR(SEARCH("VG",AS31)))</formula>
    </cfRule>
    <cfRule type="containsText" dxfId="316" priority="184" operator="containsText" text="E">
      <formula>NOT(ISERROR(SEARCH("E",AS31)))</formula>
    </cfRule>
  </conditionalFormatting>
  <conditionalFormatting sqref="AB37:AB40">
    <cfRule type="cellIs" dxfId="315" priority="177" operator="equal">
      <formula>"SA"</formula>
    </cfRule>
    <cfRule type="cellIs" dxfId="314" priority="178" operator="equal">
      <formula>"A"</formula>
    </cfRule>
  </conditionalFormatting>
  <conditionalFormatting sqref="BF29">
    <cfRule type="cellIs" dxfId="313" priority="173" operator="equal">
      <formula>"SA"</formula>
    </cfRule>
    <cfRule type="cellIs" dxfId="312" priority="174" operator="equal">
      <formula>"A"</formula>
    </cfRule>
    <cfRule type="cellIs" dxfId="311" priority="175" operator="equal">
      <formula>"E"</formula>
    </cfRule>
    <cfRule type="cellIs" dxfId="310" priority="176" operator="equal">
      <formula>"G"</formula>
    </cfRule>
  </conditionalFormatting>
  <conditionalFormatting sqref="BF30:BF37">
    <cfRule type="cellIs" dxfId="309" priority="169" operator="equal">
      <formula>"SA"</formula>
    </cfRule>
    <cfRule type="cellIs" dxfId="308" priority="170" operator="equal">
      <formula>"A"</formula>
    </cfRule>
    <cfRule type="cellIs" dxfId="307" priority="171" operator="equal">
      <formula>"E"</formula>
    </cfRule>
    <cfRule type="cellIs" dxfId="306" priority="172" operator="equal">
      <formula>"G"</formula>
    </cfRule>
  </conditionalFormatting>
  <conditionalFormatting sqref="BG29">
    <cfRule type="cellIs" dxfId="305" priority="165" operator="equal">
      <formula>"SA"</formula>
    </cfRule>
    <cfRule type="cellIs" dxfId="304" priority="166" operator="equal">
      <formula>"A"</formula>
    </cfRule>
    <cfRule type="cellIs" dxfId="303" priority="167" operator="equal">
      <formula>"E"</formula>
    </cfRule>
    <cfRule type="cellIs" dxfId="302" priority="168" operator="equal">
      <formula>"G"</formula>
    </cfRule>
  </conditionalFormatting>
  <conditionalFormatting sqref="BG30:BG37">
    <cfRule type="cellIs" dxfId="301" priority="161" operator="equal">
      <formula>"SA"</formula>
    </cfRule>
    <cfRule type="cellIs" dxfId="300" priority="162" operator="equal">
      <formula>"A"</formula>
    </cfRule>
    <cfRule type="cellIs" dxfId="299" priority="163" operator="equal">
      <formula>"E"</formula>
    </cfRule>
    <cfRule type="cellIs" dxfId="298" priority="164" operator="equal">
      <formula>"G"</formula>
    </cfRule>
  </conditionalFormatting>
  <conditionalFormatting sqref="X41">
    <cfRule type="cellIs" dxfId="297" priority="156" operator="equal">
      <formula>"√"</formula>
    </cfRule>
    <cfRule type="cellIs" dxfId="296" priority="157" operator="equal">
      <formula>"*"</formula>
    </cfRule>
    <cfRule type="cellIs" dxfId="295" priority="158" operator="equal">
      <formula>"X"</formula>
    </cfRule>
  </conditionalFormatting>
  <conditionalFormatting sqref="X36">
    <cfRule type="cellIs" dxfId="294" priority="153" operator="equal">
      <formula>"√"</formula>
    </cfRule>
    <cfRule type="cellIs" dxfId="293" priority="154" operator="equal">
      <formula>"*"</formula>
    </cfRule>
    <cfRule type="cellIs" dxfId="292" priority="155" operator="equal">
      <formula>"X"</formula>
    </cfRule>
  </conditionalFormatting>
  <conditionalFormatting sqref="X15">
    <cfRule type="cellIs" dxfId="291" priority="150" operator="equal">
      <formula>"√"</formula>
    </cfRule>
    <cfRule type="cellIs" dxfId="290" priority="151" operator="equal">
      <formula>"*"</formula>
    </cfRule>
    <cfRule type="cellIs" dxfId="289" priority="152" operator="equal">
      <formula>"X"</formula>
    </cfRule>
  </conditionalFormatting>
  <conditionalFormatting sqref="X20">
    <cfRule type="cellIs" dxfId="288" priority="147" operator="equal">
      <formula>"√"</formula>
    </cfRule>
    <cfRule type="cellIs" dxfId="287" priority="148" operator="equal">
      <formula>"*"</formula>
    </cfRule>
    <cfRule type="cellIs" dxfId="286" priority="149" operator="equal">
      <formula>"X"</formula>
    </cfRule>
  </conditionalFormatting>
  <conditionalFormatting sqref="P2">
    <cfRule type="cellIs" dxfId="285" priority="143" operator="equal">
      <formula>"SA"</formula>
    </cfRule>
    <cfRule type="cellIs" dxfId="284" priority="144" operator="equal">
      <formula>"A"</formula>
    </cfRule>
    <cfRule type="cellIs" dxfId="283" priority="145" operator="equal">
      <formula>"E"</formula>
    </cfRule>
    <cfRule type="cellIs" dxfId="282" priority="146" operator="equal">
      <formula>"G"</formula>
    </cfRule>
  </conditionalFormatting>
  <conditionalFormatting sqref="Q2:X2">
    <cfRule type="cellIs" dxfId="281" priority="139" operator="equal">
      <formula>"SA"</formula>
    </cfRule>
    <cfRule type="cellIs" dxfId="280" priority="140" operator="equal">
      <formula>"A"</formula>
    </cfRule>
    <cfRule type="cellIs" dxfId="279" priority="141" operator="equal">
      <formula>"E"</formula>
    </cfRule>
    <cfRule type="cellIs" dxfId="278" priority="142" operator="equal">
      <formula>"G"</formula>
    </cfRule>
  </conditionalFormatting>
  <conditionalFormatting sqref="P3">
    <cfRule type="cellIs" dxfId="277" priority="135" operator="equal">
      <formula>"SA"</formula>
    </cfRule>
    <cfRule type="cellIs" dxfId="276" priority="136" operator="equal">
      <formula>"A"</formula>
    </cfRule>
    <cfRule type="cellIs" dxfId="275" priority="137" operator="equal">
      <formula>"E"</formula>
    </cfRule>
    <cfRule type="cellIs" dxfId="274" priority="138" operator="equal">
      <formula>"G"</formula>
    </cfRule>
  </conditionalFormatting>
  <conditionalFormatting sqref="Q3:X3">
    <cfRule type="cellIs" dxfId="273" priority="131" operator="equal">
      <formula>"SA"</formula>
    </cfRule>
    <cfRule type="cellIs" dxfId="272" priority="132" operator="equal">
      <formula>"A"</formula>
    </cfRule>
    <cfRule type="cellIs" dxfId="271" priority="133" operator="equal">
      <formula>"E"</formula>
    </cfRule>
    <cfRule type="cellIs" dxfId="270" priority="134" operator="equal">
      <formula>"G"</formula>
    </cfRule>
  </conditionalFormatting>
  <conditionalFormatting sqref="AE30:AH32">
    <cfRule type="cellIs" dxfId="269" priority="128" operator="greaterThan">
      <formula>1</formula>
    </cfRule>
  </conditionalFormatting>
  <conditionalFormatting sqref="J23">
    <cfRule type="cellIs" dxfId="268" priority="124" operator="equal">
      <formula>"SA"</formula>
    </cfRule>
    <cfRule type="cellIs" dxfId="267" priority="125" operator="equal">
      <formula>"A"</formula>
    </cfRule>
    <cfRule type="cellIs" dxfId="266" priority="126" operator="equal">
      <formula>"E"</formula>
    </cfRule>
    <cfRule type="cellIs" dxfId="265" priority="127" operator="equal">
      <formula>"G"</formula>
    </cfRule>
  </conditionalFormatting>
  <conditionalFormatting sqref="K23">
    <cfRule type="cellIs" dxfId="264" priority="90" operator="equal">
      <formula>"SA"</formula>
    </cfRule>
    <cfRule type="cellIs" dxfId="263" priority="91" operator="equal">
      <formula>"A"</formula>
    </cfRule>
    <cfRule type="cellIs" dxfId="262" priority="92" operator="equal">
      <formula>"E"</formula>
    </cfRule>
    <cfRule type="cellIs" dxfId="261" priority="93" operator="equal">
      <formula>"G"</formula>
    </cfRule>
  </conditionalFormatting>
  <conditionalFormatting sqref="L23">
    <cfRule type="cellIs" dxfId="260" priority="76" operator="equal">
      <formula>"SA"</formula>
    </cfRule>
    <cfRule type="cellIs" dxfId="259" priority="77" operator="equal">
      <formula>"A"</formula>
    </cfRule>
    <cfRule type="cellIs" dxfId="258" priority="78" operator="equal">
      <formula>"E"</formula>
    </cfRule>
    <cfRule type="cellIs" dxfId="257" priority="79" operator="equal">
      <formula>"G"</formula>
    </cfRule>
  </conditionalFormatting>
  <conditionalFormatting sqref="J23:K23">
    <cfRule type="cellIs" dxfId="256" priority="85" operator="equal">
      <formula>"VG"</formula>
    </cfRule>
  </conditionalFormatting>
  <conditionalFormatting sqref="O2:X3">
    <cfRule type="cellIs" dxfId="255" priority="84" operator="equal">
      <formula>"VG"</formula>
    </cfRule>
  </conditionalFormatting>
  <conditionalFormatting sqref="M23">
    <cfRule type="cellIs" dxfId="254" priority="66" operator="equal">
      <formula>"SA"</formula>
    </cfRule>
    <cfRule type="cellIs" dxfId="253" priority="67" operator="equal">
      <formula>"A"</formula>
    </cfRule>
    <cfRule type="cellIs" dxfId="252" priority="68" operator="equal">
      <formula>"E"</formula>
    </cfRule>
    <cfRule type="cellIs" dxfId="251" priority="69" operator="equal">
      <formula>"G"</formula>
    </cfRule>
  </conditionalFormatting>
  <conditionalFormatting sqref="L23:M23">
    <cfRule type="cellIs" dxfId="250" priority="61" operator="equal">
      <formula>"VG"</formula>
    </cfRule>
  </conditionalFormatting>
  <conditionalFormatting sqref="J24:J32">
    <cfRule type="cellIs" dxfId="249" priority="21" operator="equal">
      <formula>"SA"</formula>
    </cfRule>
    <cfRule type="cellIs" dxfId="248" priority="22" operator="equal">
      <formula>"A"</formula>
    </cfRule>
    <cfRule type="cellIs" dxfId="247" priority="23" operator="equal">
      <formula>"E"</formula>
    </cfRule>
    <cfRule type="cellIs" dxfId="246" priority="24" operator="equal">
      <formula>"G"</formula>
    </cfRule>
  </conditionalFormatting>
  <conditionalFormatting sqref="K24:K32">
    <cfRule type="cellIs" dxfId="245" priority="17" operator="equal">
      <formula>"SA"</formula>
    </cfRule>
    <cfRule type="cellIs" dxfId="244" priority="18" operator="equal">
      <formula>"A"</formula>
    </cfRule>
    <cfRule type="cellIs" dxfId="243" priority="19" operator="equal">
      <formula>"E"</formula>
    </cfRule>
    <cfRule type="cellIs" dxfId="242" priority="20" operator="equal">
      <formula>"G"</formula>
    </cfRule>
  </conditionalFormatting>
  <conditionalFormatting sqref="L24:L32">
    <cfRule type="cellIs" dxfId="241" priority="12" operator="equal">
      <formula>"SA"</formula>
    </cfRule>
    <cfRule type="cellIs" dxfId="240" priority="13" operator="equal">
      <formula>"A"</formula>
    </cfRule>
    <cfRule type="cellIs" dxfId="239" priority="14" operator="equal">
      <formula>"E"</formula>
    </cfRule>
    <cfRule type="cellIs" dxfId="238" priority="15" operator="equal">
      <formula>"G"</formula>
    </cfRule>
  </conditionalFormatting>
  <conditionalFormatting sqref="J24:K32">
    <cfRule type="cellIs" dxfId="237" priority="16" operator="equal">
      <formula>"VG"</formula>
    </cfRule>
  </conditionalFormatting>
  <conditionalFormatting sqref="M24:M32">
    <cfRule type="cellIs" dxfId="236" priority="8" operator="equal">
      <formula>"SA"</formula>
    </cfRule>
    <cfRule type="cellIs" dxfId="235" priority="9" operator="equal">
      <formula>"A"</formula>
    </cfRule>
    <cfRule type="cellIs" dxfId="234" priority="10" operator="equal">
      <formula>"E"</formula>
    </cfRule>
    <cfRule type="cellIs" dxfId="233" priority="11" operator="equal">
      <formula>"G"</formula>
    </cfRule>
  </conditionalFormatting>
  <conditionalFormatting sqref="L24:M32">
    <cfRule type="cellIs" dxfId="232" priority="7" operator="equal">
      <formula>"VG"</formula>
    </cfRule>
  </conditionalFormatting>
  <conditionalFormatting sqref="BF28 O2 J21 L21">
    <cfRule type="expression" dxfId="231" priority="205">
      <formula>$D$10&lt;35</formula>
    </cfRule>
  </conditionalFormatting>
  <conditionalFormatting sqref="BG28 O3 K21 M21">
    <cfRule type="expression" dxfId="230" priority="206">
      <formula>$D$10&gt;=35</formula>
    </cfRule>
  </conditionalFormatting>
  <conditionalFormatting sqref="AS22:BA30">
    <cfRule type="containsText" dxfId="229" priority="1" operator="containsText" text="SA">
      <formula>NOT(ISERROR(SEARCH("SA",AS22)))</formula>
    </cfRule>
    <cfRule type="containsText" dxfId="228" priority="2" operator="containsText" text="A">
      <formula>NOT(ISERROR(SEARCH("A",AS22)))</formula>
    </cfRule>
    <cfRule type="containsText" dxfId="227" priority="3" operator="containsText" text="VG">
      <formula>NOT(ISERROR(SEARCH("VG",AS22)))</formula>
    </cfRule>
    <cfRule type="containsText" dxfId="226" priority="4" operator="containsText" text="G">
      <formula>NOT(ISERROR(SEARCH("G",AS22)))</formula>
    </cfRule>
    <cfRule type="containsText" dxfId="225" priority="5" operator="containsText" text="VG">
      <formula>NOT(ISERROR(SEARCH("VG",AS22)))</formula>
    </cfRule>
    <cfRule type="containsText" dxfId="224" priority="6" operator="containsText" text="E">
      <formula>NOT(ISERROR(SEARCH("E",AS22)))</formula>
    </cfRule>
  </conditionalFormatting>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tabColor rgb="FFFF00FF"/>
  </sheetPr>
  <dimension ref="A1:HT380"/>
  <sheetViews>
    <sheetView tabSelected="1" workbookViewId="0">
      <selection activeCell="W1" sqref="W1"/>
    </sheetView>
  </sheetViews>
  <sheetFormatPr defaultColWidth="9.1796875" defaultRowHeight="14.5"/>
  <cols>
    <col min="1" max="1" width="16.54296875" style="49" bestFit="1" customWidth="1"/>
    <col min="2" max="2" width="15.08984375" style="49" customWidth="1"/>
    <col min="3" max="3" width="7.1796875" style="49" customWidth="1"/>
    <col min="4" max="4" width="11.26953125" style="393" customWidth="1"/>
    <col min="5" max="5" width="9.90625" style="291" customWidth="1"/>
    <col min="6" max="6" width="7.453125" style="49" customWidth="1"/>
    <col min="7" max="7" width="15.08984375" style="49" customWidth="1"/>
    <col min="8" max="8" width="4" style="49" customWidth="1"/>
    <col min="9" max="9" width="5" style="49" bestFit="1" customWidth="1"/>
    <col min="10" max="10" width="7.7265625" style="49" bestFit="1" customWidth="1"/>
    <col min="11" max="11" width="8.08984375" style="49" bestFit="1" customWidth="1"/>
    <col min="12" max="12" width="3.54296875" style="49" customWidth="1"/>
    <col min="13" max="13" width="8.26953125" style="49" customWidth="1"/>
    <col min="14" max="14" width="7.81640625" style="49" customWidth="1"/>
    <col min="15" max="15" width="2.1796875" style="49" customWidth="1"/>
    <col min="16" max="16" width="5.81640625" style="393" customWidth="1"/>
    <col min="17" max="17" width="6.453125" style="49" bestFit="1" customWidth="1"/>
    <col min="18" max="18" width="4.453125" style="49" customWidth="1"/>
    <col min="19" max="19" width="5" style="49" bestFit="1" customWidth="1"/>
    <col min="20" max="20" width="2.81640625" style="49" customWidth="1"/>
    <col min="21" max="21" width="3.81640625" style="49" customWidth="1"/>
    <col min="22" max="22" width="4.7265625" style="49" customWidth="1"/>
    <col min="23" max="23" width="4.453125" style="49" bestFit="1" customWidth="1"/>
    <col min="24" max="24" width="5.81640625" style="49" bestFit="1" customWidth="1"/>
    <col min="25" max="25" width="4" style="49" customWidth="1"/>
    <col min="26" max="26" width="5.1796875" style="49" bestFit="1" customWidth="1"/>
    <col min="27" max="27" width="3.81640625" style="49" customWidth="1"/>
    <col min="28" max="28" width="4.81640625" style="49" customWidth="1"/>
    <col min="29" max="29" width="5.54296875" style="49" customWidth="1"/>
    <col min="30" max="30" width="5.1796875" style="49" customWidth="1"/>
    <col min="31" max="31" width="5.54296875" style="49" customWidth="1"/>
    <col min="32" max="32" width="5.1796875" style="49" bestFit="1" customWidth="1"/>
    <col min="33" max="33" width="3.453125" style="49" customWidth="1"/>
    <col min="34" max="34" width="5.26953125" style="49" customWidth="1"/>
    <col min="35" max="36" width="6.1796875" style="49" customWidth="1"/>
    <col min="37" max="37" width="6" style="49" customWidth="1"/>
    <col min="38" max="38" width="4.54296875" style="49" customWidth="1"/>
    <col min="39" max="39" width="5.1796875" style="49" customWidth="1"/>
    <col min="40" max="40" width="4.81640625" style="49" customWidth="1"/>
    <col min="41" max="41" width="5.26953125" style="49" customWidth="1"/>
    <col min="42" max="42" width="5.1796875" style="49" customWidth="1"/>
    <col min="43" max="44" width="5.54296875" style="49" customWidth="1"/>
    <col min="45" max="45" width="2.7265625" style="49" customWidth="1"/>
    <col min="46" max="46" width="9.1796875" style="49"/>
    <col min="47" max="47" width="14.7265625" style="49" bestFit="1" customWidth="1"/>
    <col min="48" max="182" width="9.1796875" style="49"/>
    <col min="183" max="183" width="9.1796875" style="30"/>
    <col min="184" max="187" width="5.1796875" style="16" customWidth="1"/>
    <col min="188" max="188" width="2.7265625" style="16" customWidth="1"/>
    <col min="189" max="190" width="2.453125" style="16" bestFit="1" customWidth="1"/>
    <col min="191" max="191" width="3.54296875" style="16" bestFit="1" customWidth="1"/>
    <col min="192" max="192" width="2.26953125" style="16" bestFit="1" customWidth="1"/>
    <col min="193" max="193" width="2.7265625" style="16" bestFit="1" customWidth="1"/>
    <col min="194" max="194" width="3.54296875" style="16" bestFit="1" customWidth="1"/>
    <col min="195" max="195" width="2.81640625" style="16" bestFit="1" customWidth="1"/>
    <col min="196" max="198" width="3.54296875" style="16" bestFit="1" customWidth="1"/>
    <col min="199" max="199" width="2.7265625" style="16" customWidth="1"/>
    <col min="200" max="200" width="9.1796875" style="17" bestFit="1" customWidth="1"/>
    <col min="201" max="201" width="8.26953125" style="17" bestFit="1" customWidth="1"/>
    <col min="202" max="202" width="2" style="16" customWidth="1"/>
    <col min="203" max="203" width="9.1796875" style="16"/>
    <col min="204" max="204" width="10.54296875" style="91" customWidth="1"/>
    <col min="205" max="205" width="2.54296875" style="16" customWidth="1"/>
    <col min="206" max="206" width="9.54296875" style="16" bestFit="1" customWidth="1"/>
    <col min="207" max="207" width="7.54296875" style="16" customWidth="1"/>
    <col min="208" max="208" width="2.453125" style="16" bestFit="1" customWidth="1"/>
    <col min="209" max="209" width="2.1796875" style="16" customWidth="1"/>
    <col min="210" max="210" width="2.453125" style="16" bestFit="1" customWidth="1"/>
    <col min="211" max="212" width="2.1796875" style="16" customWidth="1"/>
    <col min="213" max="213" width="2.7265625" style="16" customWidth="1"/>
    <col min="214" max="214" width="9.1796875" style="16"/>
    <col min="215" max="216" width="8.1796875" style="16" bestFit="1" customWidth="1"/>
    <col min="217" max="217" width="11.81640625" style="16" bestFit="1" customWidth="1"/>
    <col min="218" max="218" width="9.1796875" style="16"/>
    <col min="219" max="219" width="17.81640625" style="16" bestFit="1" customWidth="1"/>
    <col min="220" max="225" width="9.1796875" style="30"/>
    <col min="226" max="16384" width="9.1796875" style="49"/>
  </cols>
  <sheetData>
    <row r="1" spans="1:219">
      <c r="A1" s="252"/>
      <c r="B1" s="70" t="s">
        <v>264</v>
      </c>
      <c r="C1" s="430" t="s">
        <v>29</v>
      </c>
      <c r="D1" s="430" t="s">
        <v>29</v>
      </c>
      <c r="E1" s="430"/>
      <c r="F1" s="430" t="s">
        <v>47</v>
      </c>
      <c r="G1" s="430" t="s">
        <v>47</v>
      </c>
      <c r="H1" s="430"/>
      <c r="I1" s="430" t="s">
        <v>48</v>
      </c>
      <c r="J1" s="430" t="s">
        <v>48</v>
      </c>
      <c r="K1" s="430" t="s">
        <v>48</v>
      </c>
      <c r="L1" s="431" t="s">
        <v>48</v>
      </c>
      <c r="M1" s="148"/>
      <c r="O1" s="53"/>
      <c r="P1" s="483"/>
      <c r="Q1" s="484" t="s">
        <v>18</v>
      </c>
      <c r="R1" s="484" t="s">
        <v>25</v>
      </c>
      <c r="S1" s="295"/>
      <c r="T1" s="294"/>
      <c r="U1" s="294"/>
      <c r="V1" s="294"/>
      <c r="W1" s="294"/>
      <c r="X1" s="294"/>
      <c r="Y1" s="294"/>
      <c r="Z1" s="14"/>
      <c r="AA1" s="14"/>
      <c r="AB1" s="14"/>
      <c r="AC1" s="14"/>
      <c r="AD1" s="14"/>
      <c r="AE1" s="14"/>
      <c r="AF1" s="14"/>
      <c r="AG1" s="53"/>
      <c r="AH1" s="693" t="s">
        <v>0</v>
      </c>
      <c r="AI1" s="693"/>
      <c r="AJ1" s="693"/>
      <c r="AK1" s="693"/>
      <c r="AL1" s="693"/>
      <c r="AM1" s="693"/>
      <c r="AN1" s="693"/>
      <c r="AO1" s="693"/>
      <c r="AP1" s="693"/>
      <c r="AQ1" s="693"/>
      <c r="AR1" s="206"/>
      <c r="AS1" s="21"/>
    </row>
    <row r="2" spans="1:219" ht="15" thickBot="1">
      <c r="A2" s="51" t="s">
        <v>108</v>
      </c>
      <c r="B2" s="150">
        <v>28884</v>
      </c>
      <c r="C2" s="221" t="str">
        <f>MID(A4,1,1)</f>
        <v>2</v>
      </c>
      <c r="D2" s="221" t="str">
        <f>MID(A4,2,1)</f>
        <v>9</v>
      </c>
      <c r="E2" s="40"/>
      <c r="F2" s="221" t="str">
        <f>MID(A4,4,1)</f>
        <v>0</v>
      </c>
      <c r="G2" s="221" t="str">
        <f>MID(A4,5,1)</f>
        <v>1</v>
      </c>
      <c r="H2" s="40"/>
      <c r="I2" s="221" t="str">
        <f>MID(A4,7,1)</f>
        <v>1</v>
      </c>
      <c r="J2" s="221" t="str">
        <f>MID(A4,8,1)</f>
        <v>9</v>
      </c>
      <c r="K2" s="221" t="str">
        <f>MID(A4,9,1)</f>
        <v>7</v>
      </c>
      <c r="L2" s="411" t="str">
        <f>MID(A4,10,1)</f>
        <v>9</v>
      </c>
      <c r="M2" s="52"/>
      <c r="O2" s="53"/>
      <c r="P2" s="483"/>
      <c r="Q2" s="407">
        <f>C6</f>
        <v>2</v>
      </c>
      <c r="R2" s="407">
        <f ca="1">C7</f>
        <v>2</v>
      </c>
      <c r="S2" s="306"/>
      <c r="T2" s="307"/>
      <c r="U2" s="307"/>
      <c r="V2" s="307"/>
      <c r="W2" s="307"/>
      <c r="X2" s="307"/>
      <c r="Y2" s="307"/>
      <c r="Z2" s="14"/>
      <c r="AA2" s="14"/>
      <c r="AB2" s="14"/>
      <c r="AC2" s="14"/>
      <c r="AD2" s="14"/>
      <c r="AE2" s="61"/>
      <c r="AF2" s="61"/>
      <c r="AG2" s="53"/>
      <c r="AH2" s="136"/>
      <c r="AI2" s="145">
        <v>1</v>
      </c>
      <c r="AJ2" s="145">
        <v>2</v>
      </c>
      <c r="AK2" s="145">
        <v>3</v>
      </c>
      <c r="AL2" s="145">
        <v>4</v>
      </c>
      <c r="AM2" s="145">
        <v>5</v>
      </c>
      <c r="AN2" s="145">
        <v>6</v>
      </c>
      <c r="AO2" s="145">
        <v>7</v>
      </c>
      <c r="AP2" s="145">
        <v>8</v>
      </c>
      <c r="AQ2" s="145">
        <v>9</v>
      </c>
      <c r="AR2" s="53"/>
      <c r="AS2" s="21"/>
    </row>
    <row r="3" spans="1:219">
      <c r="A3" s="262" t="str">
        <f>TEXT(B2,("DD-MMM"))</f>
        <v>29-Jan</v>
      </c>
      <c r="B3" s="21"/>
      <c r="C3" s="287"/>
      <c r="D3" s="287"/>
      <c r="E3" s="287"/>
      <c r="F3" s="287"/>
      <c r="G3" s="287"/>
      <c r="H3" s="287"/>
      <c r="I3" s="432" t="str">
        <f>I2&amp;J2&amp;K2&amp;L2</f>
        <v>1979</v>
      </c>
      <c r="J3" s="432"/>
      <c r="K3" s="432"/>
      <c r="L3" s="433">
        <f ca="1">SUMPRODUCT(1*MID(I3,ROW(INDIRECT("1:"&amp;LEN(I3))),1))</f>
        <v>26</v>
      </c>
      <c r="M3" s="206"/>
      <c r="N3" s="206"/>
      <c r="O3" s="206"/>
      <c r="P3" s="483">
        <v>1</v>
      </c>
      <c r="Q3" s="407" t="str">
        <f t="shared" ref="Q3:Q11" si="0">INDEX($AH$2:$AQ$11,MATCH(P3,$AH$2:$AQ$2,0),MATCH($Q$2,$AH$2:$AH$11,0))</f>
        <v>G</v>
      </c>
      <c r="R3" s="407" t="str">
        <f t="shared" ref="R3:R11" ca="1" si="1">INDEX($AH$2:$AQ$11,MATCH(P3,$AH$2:$AQ$2,0),MATCH($R$2,$AH$2:$AH$11,0))</f>
        <v>G</v>
      </c>
      <c r="S3" s="367"/>
      <c r="T3" s="374">
        <v>1</v>
      </c>
      <c r="U3" s="370">
        <v>10</v>
      </c>
      <c r="V3" s="311">
        <v>19</v>
      </c>
      <c r="W3" s="309">
        <v>28</v>
      </c>
      <c r="X3" s="310">
        <v>37</v>
      </c>
      <c r="Y3" s="312">
        <v>46</v>
      </c>
      <c r="Z3" s="14"/>
      <c r="AA3" s="333">
        <v>1</v>
      </c>
      <c r="AB3" s="329" t="s">
        <v>14</v>
      </c>
      <c r="AC3" s="324" t="s">
        <v>43</v>
      </c>
      <c r="AD3" s="325" t="s">
        <v>46</v>
      </c>
      <c r="AE3" s="325" t="s">
        <v>63</v>
      </c>
      <c r="AF3" s="326" t="s">
        <v>48</v>
      </c>
      <c r="AG3" s="206"/>
      <c r="AH3" s="145">
        <v>1</v>
      </c>
      <c r="AI3" s="142" t="s">
        <v>19</v>
      </c>
      <c r="AJ3" s="142" t="s">
        <v>20</v>
      </c>
      <c r="AK3" s="142" t="s">
        <v>20</v>
      </c>
      <c r="AL3" s="142" t="s">
        <v>21</v>
      </c>
      <c r="AM3" s="142" t="s">
        <v>20</v>
      </c>
      <c r="AN3" s="142" t="s">
        <v>21</v>
      </c>
      <c r="AO3" s="142" t="s">
        <v>20</v>
      </c>
      <c r="AP3" s="142" t="s">
        <v>21</v>
      </c>
      <c r="AQ3" s="142" t="s">
        <v>14</v>
      </c>
      <c r="AR3" s="206"/>
      <c r="AS3" s="21"/>
    </row>
    <row r="4" spans="1:219" ht="15" thickBot="1">
      <c r="A4" s="262" t="str">
        <f>TEXT(B2,"DD-MM-YYYY")</f>
        <v>29-01-1979</v>
      </c>
      <c r="B4" s="531" t="s">
        <v>127</v>
      </c>
      <c r="C4" s="724" t="s">
        <v>18</v>
      </c>
      <c r="D4" s="724"/>
      <c r="E4" s="221"/>
      <c r="F4" s="724" t="s">
        <v>54</v>
      </c>
      <c r="G4" s="724"/>
      <c r="H4" s="221"/>
      <c r="I4" s="724" t="s">
        <v>55</v>
      </c>
      <c r="J4" s="724"/>
      <c r="K4" s="724"/>
      <c r="L4" s="725"/>
      <c r="M4" s="148"/>
      <c r="N4" s="531" t="s">
        <v>111</v>
      </c>
      <c r="O4" s="148"/>
      <c r="P4" s="483">
        <v>2</v>
      </c>
      <c r="Q4" s="407" t="str">
        <f t="shared" si="0"/>
        <v>E</v>
      </c>
      <c r="R4" s="407" t="str">
        <f t="shared" ca="1" si="1"/>
        <v>E</v>
      </c>
      <c r="S4" s="367"/>
      <c r="T4" s="375">
        <v>2</v>
      </c>
      <c r="U4" s="371">
        <v>11</v>
      </c>
      <c r="V4" s="142">
        <v>20</v>
      </c>
      <c r="W4" s="139">
        <v>29</v>
      </c>
      <c r="X4" s="141">
        <v>38</v>
      </c>
      <c r="Y4" s="313">
        <v>47</v>
      </c>
      <c r="Z4" s="14"/>
      <c r="AA4" s="334">
        <v>2</v>
      </c>
      <c r="AB4" s="330" t="s">
        <v>22</v>
      </c>
      <c r="AC4" s="142" t="s">
        <v>50</v>
      </c>
      <c r="AD4" s="142" t="s">
        <v>59</v>
      </c>
      <c r="AE4" s="142"/>
      <c r="AF4" s="327"/>
      <c r="AG4" s="148"/>
      <c r="AH4" s="145">
        <v>2</v>
      </c>
      <c r="AI4" s="142" t="s">
        <v>20</v>
      </c>
      <c r="AJ4" s="142" t="s">
        <v>19</v>
      </c>
      <c r="AK4" s="142" t="s">
        <v>20</v>
      </c>
      <c r="AL4" s="142" t="s">
        <v>20</v>
      </c>
      <c r="AM4" s="142" t="s">
        <v>21</v>
      </c>
      <c r="AN4" s="142" t="s">
        <v>20</v>
      </c>
      <c r="AO4" s="142" t="s">
        <v>26</v>
      </c>
      <c r="AP4" s="142" t="s">
        <v>14</v>
      </c>
      <c r="AQ4" s="142" t="s">
        <v>14</v>
      </c>
      <c r="AR4" s="148"/>
      <c r="AS4" s="21"/>
    </row>
    <row r="5" spans="1:219" ht="15" thickBot="1">
      <c r="A5" s="51"/>
      <c r="B5" s="56" t="str">
        <f>VLOOKUP(A3,HH:HK,4,0)</f>
        <v>Aquarius - Air</v>
      </c>
      <c r="C5" s="726">
        <f>C2+D2</f>
        <v>11</v>
      </c>
      <c r="D5" s="726"/>
      <c r="E5" s="221"/>
      <c r="F5" s="727">
        <f>F2+G2</f>
        <v>1</v>
      </c>
      <c r="G5" s="727"/>
      <c r="H5" s="221"/>
      <c r="I5" s="727">
        <f ca="1">SUMPRODUCT(1*MID(L3,ROW(INDIRECT("1:"&amp;LEN(L3))),1))</f>
        <v>8</v>
      </c>
      <c r="J5" s="727"/>
      <c r="K5" s="727"/>
      <c r="L5" s="728"/>
      <c r="M5" s="148"/>
      <c r="N5" s="53">
        <f ca="1">(TODAY()-B2)/365</f>
        <v>43.243835616438353</v>
      </c>
      <c r="O5" s="148"/>
      <c r="P5" s="483">
        <v>3</v>
      </c>
      <c r="Q5" s="407" t="str">
        <f t="shared" si="0"/>
        <v>G</v>
      </c>
      <c r="R5" s="407" t="str">
        <f t="shared" ca="1" si="1"/>
        <v>G</v>
      </c>
      <c r="S5" s="368"/>
      <c r="T5" s="375">
        <v>3</v>
      </c>
      <c r="U5" s="372">
        <v>12</v>
      </c>
      <c r="V5" s="143">
        <v>21</v>
      </c>
      <c r="W5" s="143">
        <v>30</v>
      </c>
      <c r="X5" s="141">
        <v>39</v>
      </c>
      <c r="Y5" s="314">
        <v>48</v>
      </c>
      <c r="Z5" s="14"/>
      <c r="AA5" s="334">
        <v>3</v>
      </c>
      <c r="AB5" s="330" t="s">
        <v>27</v>
      </c>
      <c r="AC5" s="142" t="s">
        <v>20</v>
      </c>
      <c r="AD5" s="142" t="s">
        <v>53</v>
      </c>
      <c r="AE5" s="142" t="s">
        <v>64</v>
      </c>
      <c r="AF5" s="327"/>
      <c r="AG5" s="148"/>
      <c r="AH5" s="145">
        <v>3</v>
      </c>
      <c r="AI5" s="142" t="s">
        <v>20</v>
      </c>
      <c r="AJ5" s="142" t="s">
        <v>20</v>
      </c>
      <c r="AK5" s="142" t="s">
        <v>19</v>
      </c>
      <c r="AL5" s="142" t="s">
        <v>14</v>
      </c>
      <c r="AM5" s="142" t="s">
        <v>20</v>
      </c>
      <c r="AN5" s="142" t="s">
        <v>14</v>
      </c>
      <c r="AO5" s="142" t="s">
        <v>20</v>
      </c>
      <c r="AP5" s="142" t="s">
        <v>20</v>
      </c>
      <c r="AQ5" s="142" t="s">
        <v>20</v>
      </c>
      <c r="AR5" s="148"/>
      <c r="AS5" s="21"/>
    </row>
    <row r="6" spans="1:219">
      <c r="A6" s="51"/>
      <c r="B6" s="531" t="s">
        <v>18</v>
      </c>
      <c r="C6" s="57">
        <f>IF(LEN(C5)&gt;1,LEFT(C5,1)+RIGHT(C5,1),C5)</f>
        <v>2</v>
      </c>
      <c r="D6" s="221"/>
      <c r="E6" s="148"/>
      <c r="F6" s="57">
        <f>IF(LEN(F5)&gt;1,LEFT(F5,1)+RIGHT(F5,1),F5)</f>
        <v>1</v>
      </c>
      <c r="G6" s="148"/>
      <c r="H6" s="148"/>
      <c r="I6" s="57">
        <f ca="1">SUMPRODUCT(1*MID(I5,ROW(INDIRECT("1:"&amp;LEN(I5))),1))</f>
        <v>8</v>
      </c>
      <c r="J6" s="148"/>
      <c r="K6" s="148"/>
      <c r="L6" s="77"/>
      <c r="M6" s="148"/>
      <c r="N6" s="148"/>
      <c r="O6" s="148"/>
      <c r="P6" s="483">
        <v>4</v>
      </c>
      <c r="Q6" s="407" t="str">
        <f t="shared" si="0"/>
        <v>G</v>
      </c>
      <c r="R6" s="407" t="str">
        <f t="shared" ca="1" si="1"/>
        <v>G</v>
      </c>
      <c r="S6" s="367"/>
      <c r="T6" s="375">
        <v>4</v>
      </c>
      <c r="U6" s="372">
        <v>13</v>
      </c>
      <c r="V6" s="139">
        <v>22</v>
      </c>
      <c r="W6" s="139">
        <v>31</v>
      </c>
      <c r="X6" s="139">
        <v>40</v>
      </c>
      <c r="Y6" s="315">
        <v>49</v>
      </c>
      <c r="Z6" s="14"/>
      <c r="AA6" s="334">
        <v>4</v>
      </c>
      <c r="AB6" s="330" t="s">
        <v>29</v>
      </c>
      <c r="AC6" s="142" t="s">
        <v>47</v>
      </c>
      <c r="AD6" s="142" t="s">
        <v>60</v>
      </c>
      <c r="AE6" s="142"/>
      <c r="AF6" s="327"/>
      <c r="AG6" s="148"/>
      <c r="AH6" s="145">
        <v>4</v>
      </c>
      <c r="AI6" s="142" t="s">
        <v>21</v>
      </c>
      <c r="AJ6" s="142" t="s">
        <v>20</v>
      </c>
      <c r="AK6" s="142" t="s">
        <v>14</v>
      </c>
      <c r="AL6" s="142" t="s">
        <v>19</v>
      </c>
      <c r="AM6" s="142" t="s">
        <v>20</v>
      </c>
      <c r="AN6" s="142" t="s">
        <v>20</v>
      </c>
      <c r="AO6" s="142" t="s">
        <v>20</v>
      </c>
      <c r="AP6" s="142" t="s">
        <v>14</v>
      </c>
      <c r="AQ6" s="137" t="s">
        <v>96</v>
      </c>
      <c r="AR6" s="148"/>
      <c r="AS6" s="21"/>
    </row>
    <row r="7" spans="1:219" ht="15" thickBot="1">
      <c r="A7" s="217"/>
      <c r="B7" s="434" t="s">
        <v>25</v>
      </c>
      <c r="C7" s="85">
        <f ca="1">MOD((C6+F6+I6)-1,9)+1</f>
        <v>2</v>
      </c>
      <c r="D7" s="435"/>
      <c r="E7" s="93"/>
      <c r="F7" s="93"/>
      <c r="G7" s="93"/>
      <c r="H7" s="93"/>
      <c r="I7" s="93"/>
      <c r="J7" s="93"/>
      <c r="K7" s="93"/>
      <c r="L7" s="99"/>
      <c r="M7" s="148"/>
      <c r="N7" s="148"/>
      <c r="O7" s="148"/>
      <c r="P7" s="483">
        <v>5</v>
      </c>
      <c r="Q7" s="407" t="str">
        <f t="shared" si="0"/>
        <v>F</v>
      </c>
      <c r="R7" s="407" t="str">
        <f t="shared" ca="1" si="1"/>
        <v>F</v>
      </c>
      <c r="S7" s="367"/>
      <c r="T7" s="376">
        <v>5</v>
      </c>
      <c r="U7" s="372">
        <v>14</v>
      </c>
      <c r="V7" s="141">
        <v>23</v>
      </c>
      <c r="W7" s="142">
        <v>32</v>
      </c>
      <c r="X7" s="140">
        <v>41</v>
      </c>
      <c r="Y7" s="313">
        <v>50</v>
      </c>
      <c r="Z7" s="14"/>
      <c r="AA7" s="334">
        <v>5</v>
      </c>
      <c r="AB7" s="331" t="s">
        <v>19</v>
      </c>
      <c r="AC7" s="142" t="s">
        <v>41</v>
      </c>
      <c r="AD7" s="142" t="s">
        <v>61</v>
      </c>
      <c r="AE7" s="142" t="s">
        <v>23</v>
      </c>
      <c r="AF7" s="327"/>
      <c r="AG7" s="148"/>
      <c r="AH7" s="145">
        <v>5</v>
      </c>
      <c r="AI7" s="142" t="s">
        <v>20</v>
      </c>
      <c r="AJ7" s="142" t="s">
        <v>21</v>
      </c>
      <c r="AK7" s="142" t="s">
        <v>20</v>
      </c>
      <c r="AL7" s="142" t="s">
        <v>20</v>
      </c>
      <c r="AM7" s="142" t="s">
        <v>19</v>
      </c>
      <c r="AN7" s="142" t="s">
        <v>21</v>
      </c>
      <c r="AO7" s="142" t="s">
        <v>20</v>
      </c>
      <c r="AP7" s="142" t="s">
        <v>26</v>
      </c>
      <c r="AQ7" s="142" t="s">
        <v>21</v>
      </c>
      <c r="AR7" s="148"/>
      <c r="AS7" s="21"/>
    </row>
    <row r="8" spans="1:219" ht="15" thickBot="1">
      <c r="A8" s="336"/>
      <c r="B8" s="148"/>
      <c r="C8" s="148"/>
      <c r="D8" s="221"/>
      <c r="E8" s="148"/>
      <c r="F8" s="148"/>
      <c r="G8" s="148"/>
      <c r="H8" s="148"/>
      <c r="I8" s="148"/>
      <c r="J8" s="148"/>
      <c r="K8" s="148"/>
      <c r="L8" s="148"/>
      <c r="M8" s="148"/>
      <c r="N8" s="148"/>
      <c r="O8" s="148"/>
      <c r="P8" s="483">
        <v>6</v>
      </c>
      <c r="Q8" s="407" t="str">
        <f t="shared" si="0"/>
        <v>G</v>
      </c>
      <c r="R8" s="407" t="str">
        <f t="shared" ca="1" si="1"/>
        <v>G</v>
      </c>
      <c r="S8" s="367"/>
      <c r="T8" s="376">
        <v>6</v>
      </c>
      <c r="U8" s="372">
        <v>15</v>
      </c>
      <c r="V8" s="141">
        <v>24</v>
      </c>
      <c r="W8" s="140">
        <v>33</v>
      </c>
      <c r="X8" s="140">
        <v>42</v>
      </c>
      <c r="Y8" s="313">
        <v>51</v>
      </c>
      <c r="Z8" s="246"/>
      <c r="AA8" s="334">
        <v>6</v>
      </c>
      <c r="AB8" s="331" t="s">
        <v>51</v>
      </c>
      <c r="AC8" s="142" t="s">
        <v>56</v>
      </c>
      <c r="AD8" s="142" t="s">
        <v>62</v>
      </c>
      <c r="AE8" s="142"/>
      <c r="AF8" s="327"/>
      <c r="AG8" s="148"/>
      <c r="AH8" s="145">
        <v>6</v>
      </c>
      <c r="AI8" s="142" t="s">
        <v>21</v>
      </c>
      <c r="AJ8" s="142" t="s">
        <v>20</v>
      </c>
      <c r="AK8" s="142" t="s">
        <v>14</v>
      </c>
      <c r="AL8" s="142" t="s">
        <v>20</v>
      </c>
      <c r="AM8" s="142" t="s">
        <v>21</v>
      </c>
      <c r="AN8" s="142" t="s">
        <v>19</v>
      </c>
      <c r="AO8" s="142" t="s">
        <v>20</v>
      </c>
      <c r="AP8" s="142" t="s">
        <v>20</v>
      </c>
      <c r="AQ8" s="142" t="s">
        <v>20</v>
      </c>
      <c r="AR8" s="148"/>
      <c r="AS8" s="21"/>
    </row>
    <row r="9" spans="1:219" ht="15" thickBot="1">
      <c r="A9" s="436" t="s">
        <v>152</v>
      </c>
      <c r="B9" s="442" t="s">
        <v>292</v>
      </c>
      <c r="C9" s="148"/>
      <c r="H9" s="148"/>
      <c r="I9" s="148"/>
      <c r="J9" s="148"/>
      <c r="K9" s="148"/>
      <c r="L9" s="148"/>
      <c r="M9" s="148"/>
      <c r="N9" s="148"/>
      <c r="O9" s="148"/>
      <c r="P9" s="483">
        <v>7</v>
      </c>
      <c r="Q9" s="407" t="str">
        <f t="shared" si="0"/>
        <v>VG</v>
      </c>
      <c r="R9" s="407" t="str">
        <f t="shared" ca="1" si="1"/>
        <v>VG</v>
      </c>
      <c r="S9" s="368"/>
      <c r="T9" s="375">
        <v>7</v>
      </c>
      <c r="U9" s="371">
        <v>16</v>
      </c>
      <c r="V9" s="142">
        <v>25</v>
      </c>
      <c r="W9" s="141">
        <v>34</v>
      </c>
      <c r="X9" s="140">
        <v>43</v>
      </c>
      <c r="Y9" s="315">
        <v>52</v>
      </c>
      <c r="Z9" s="14"/>
      <c r="AA9" s="334">
        <v>7</v>
      </c>
      <c r="AB9" s="331" t="s">
        <v>52</v>
      </c>
      <c r="AC9" s="142" t="s">
        <v>57</v>
      </c>
      <c r="AD9" s="142"/>
      <c r="AE9" s="142"/>
      <c r="AF9" s="327"/>
      <c r="AG9" s="148"/>
      <c r="AH9" s="145">
        <v>7</v>
      </c>
      <c r="AI9" s="142" t="s">
        <v>20</v>
      </c>
      <c r="AJ9" s="142" t="s">
        <v>26</v>
      </c>
      <c r="AK9" s="142" t="s">
        <v>20</v>
      </c>
      <c r="AL9" s="142" t="s">
        <v>20</v>
      </c>
      <c r="AM9" s="142" t="s">
        <v>20</v>
      </c>
      <c r="AN9" s="142" t="s">
        <v>20</v>
      </c>
      <c r="AO9" s="142" t="s">
        <v>19</v>
      </c>
      <c r="AP9" s="142" t="s">
        <v>14</v>
      </c>
      <c r="AQ9" s="142" t="s">
        <v>14</v>
      </c>
      <c r="AR9" s="148"/>
      <c r="AS9" s="21"/>
    </row>
    <row r="10" spans="1:219" ht="15" thickBot="1">
      <c r="D10" s="439" t="s">
        <v>209</v>
      </c>
      <c r="E10" s="440" t="str">
        <f>LEFT(B16,1)</f>
        <v>A</v>
      </c>
      <c r="F10" s="440" t="str">
        <f>LEFT(B18,1)</f>
        <v>M</v>
      </c>
      <c r="G10" s="441">
        <f>VLOOKUP(E10,$GR$12:$GS$48,2,0)+VLOOKUP(F10,$GR$12:$GS$48,2,0)</f>
        <v>5</v>
      </c>
      <c r="P10" s="483">
        <v>8</v>
      </c>
      <c r="Q10" s="407" t="str">
        <f t="shared" si="0"/>
        <v>A</v>
      </c>
      <c r="R10" s="407" t="str">
        <f t="shared" ca="1" si="1"/>
        <v>A</v>
      </c>
      <c r="S10" s="367"/>
      <c r="T10" s="375">
        <v>8</v>
      </c>
      <c r="U10" s="372">
        <v>17</v>
      </c>
      <c r="V10" s="139">
        <v>26</v>
      </c>
      <c r="W10" s="139">
        <v>35</v>
      </c>
      <c r="X10" s="139">
        <v>44</v>
      </c>
      <c r="Y10" s="315"/>
      <c r="Z10" s="14"/>
      <c r="AA10" s="335">
        <v>8</v>
      </c>
      <c r="AB10" s="332" t="s">
        <v>21</v>
      </c>
      <c r="AC10" s="318" t="s">
        <v>58</v>
      </c>
      <c r="AD10" s="318"/>
      <c r="AE10" s="318"/>
      <c r="AF10" s="328"/>
      <c r="AH10" s="145">
        <v>8</v>
      </c>
      <c r="AI10" s="142" t="s">
        <v>21</v>
      </c>
      <c r="AJ10" s="142" t="s">
        <v>14</v>
      </c>
      <c r="AK10" s="142" t="s">
        <v>20</v>
      </c>
      <c r="AL10" s="142" t="s">
        <v>14</v>
      </c>
      <c r="AM10" s="142" t="s">
        <v>26</v>
      </c>
      <c r="AN10" s="142" t="s">
        <v>20</v>
      </c>
      <c r="AO10" s="142" t="s">
        <v>14</v>
      </c>
      <c r="AP10" s="142" t="s">
        <v>19</v>
      </c>
      <c r="AQ10" s="137" t="s">
        <v>96</v>
      </c>
    </row>
    <row r="11" spans="1:219" ht="15" thickBot="1">
      <c r="D11" s="437" t="s">
        <v>210</v>
      </c>
      <c r="E11" s="485">
        <f>C5</f>
        <v>11</v>
      </c>
      <c r="F11" s="485">
        <f>F5</f>
        <v>1</v>
      </c>
      <c r="G11" s="438">
        <f>MOD(E11+F11-1,9)+1</f>
        <v>3</v>
      </c>
      <c r="P11" s="483">
        <v>9</v>
      </c>
      <c r="Q11" s="407" t="str">
        <f t="shared" si="0"/>
        <v>A</v>
      </c>
      <c r="R11" s="407" t="str">
        <f t="shared" ca="1" si="1"/>
        <v>A</v>
      </c>
      <c r="S11" s="369"/>
      <c r="T11" s="377">
        <v>9</v>
      </c>
      <c r="U11" s="373">
        <v>18</v>
      </c>
      <c r="V11" s="318">
        <v>27</v>
      </c>
      <c r="W11" s="318">
        <v>36</v>
      </c>
      <c r="X11" s="319">
        <v>45</v>
      </c>
      <c r="Y11" s="320"/>
      <c r="Z11" s="14"/>
      <c r="AA11" s="14"/>
      <c r="AB11" s="14"/>
      <c r="AC11" s="14"/>
      <c r="AD11" s="14"/>
      <c r="AE11" s="14"/>
      <c r="AF11" s="14"/>
      <c r="AH11" s="145">
        <v>9</v>
      </c>
      <c r="AI11" s="142" t="s">
        <v>14</v>
      </c>
      <c r="AJ11" s="142" t="s">
        <v>14</v>
      </c>
      <c r="AK11" s="142" t="s">
        <v>20</v>
      </c>
      <c r="AL11" s="137" t="s">
        <v>96</v>
      </c>
      <c r="AM11" s="142" t="s">
        <v>21</v>
      </c>
      <c r="AN11" s="142" t="s">
        <v>20</v>
      </c>
      <c r="AO11" s="142" t="s">
        <v>14</v>
      </c>
      <c r="AP11" s="137" t="s">
        <v>96</v>
      </c>
      <c r="AQ11" s="142" t="s">
        <v>19</v>
      </c>
    </row>
    <row r="12" spans="1:219">
      <c r="AH12" s="715" t="s">
        <v>240</v>
      </c>
      <c r="AI12" s="715"/>
      <c r="AJ12" s="715"/>
      <c r="AK12" s="715"/>
      <c r="AL12" s="715"/>
      <c r="AM12" s="715"/>
      <c r="AN12" s="715"/>
      <c r="AO12" s="715"/>
      <c r="AP12" s="715"/>
      <c r="AQ12" s="715"/>
      <c r="GB12" s="533" t="s">
        <v>15</v>
      </c>
      <c r="GC12" s="18" t="s">
        <v>16</v>
      </c>
      <c r="GD12" s="15"/>
      <c r="GE12" s="15"/>
      <c r="GG12" s="687" t="s">
        <v>0</v>
      </c>
      <c r="GH12" s="687"/>
      <c r="GI12" s="687"/>
      <c r="GJ12" s="687"/>
      <c r="GK12" s="687"/>
      <c r="GL12" s="687"/>
      <c r="GM12" s="687"/>
      <c r="GN12" s="687"/>
      <c r="GO12" s="687"/>
      <c r="GP12" s="687"/>
      <c r="GR12" s="533" t="s">
        <v>1</v>
      </c>
      <c r="GS12" s="533" t="s">
        <v>2</v>
      </c>
      <c r="GU12" s="687" t="s">
        <v>3</v>
      </c>
      <c r="GV12" s="687"/>
      <c r="GX12" s="17"/>
      <c r="GY12" s="533" t="s">
        <v>4</v>
      </c>
      <c r="GZ12" s="18" t="s">
        <v>5</v>
      </c>
      <c r="HA12" s="18" t="s">
        <v>6</v>
      </c>
      <c r="HB12" s="18" t="s">
        <v>7</v>
      </c>
      <c r="HC12" s="18" t="s">
        <v>8</v>
      </c>
      <c r="HD12" s="18" t="s">
        <v>9</v>
      </c>
      <c r="HG12" s="130" t="s">
        <v>125</v>
      </c>
      <c r="HH12" s="130" t="s">
        <v>125</v>
      </c>
      <c r="HI12" s="130" t="s">
        <v>126</v>
      </c>
      <c r="HJ12" s="130" t="s">
        <v>128</v>
      </c>
      <c r="HK12" s="130" t="str">
        <f t="shared" ref="HK12:HN75" si="2">HI12&amp;" - "&amp;HJ12</f>
        <v>Zodiac - Element</v>
      </c>
    </row>
    <row r="13" spans="1:219">
      <c r="A13" s="486"/>
      <c r="B13" s="486"/>
      <c r="C13" s="486"/>
      <c r="D13" s="487"/>
      <c r="E13" s="488"/>
      <c r="F13" s="486"/>
      <c r="G13" s="486"/>
      <c r="H13" s="486"/>
      <c r="I13" s="486"/>
      <c r="J13" s="486"/>
      <c r="K13" s="486"/>
      <c r="L13" s="486"/>
      <c r="M13" s="486"/>
      <c r="N13" s="486"/>
      <c r="O13" s="486"/>
      <c r="P13" s="487"/>
      <c r="Q13" s="486"/>
      <c r="R13" s="486"/>
      <c r="S13" s="486"/>
      <c r="T13" s="486"/>
      <c r="U13" s="486"/>
      <c r="V13" s="486"/>
      <c r="W13" s="486"/>
      <c r="X13" s="486"/>
      <c r="Y13" s="486"/>
      <c r="Z13" s="486"/>
      <c r="AA13" s="486"/>
      <c r="AB13" s="486"/>
      <c r="AC13" s="486"/>
      <c r="AD13" s="486"/>
      <c r="AE13" s="486"/>
      <c r="AF13" s="486"/>
      <c r="AG13" s="486"/>
      <c r="AH13" s="486"/>
      <c r="AI13" s="486"/>
      <c r="AJ13" s="486"/>
      <c r="AK13" s="486"/>
      <c r="AL13" s="486"/>
      <c r="AM13" s="486"/>
      <c r="AN13" s="486"/>
      <c r="AO13" s="486"/>
      <c r="AP13" s="486"/>
      <c r="AQ13" s="486"/>
      <c r="AR13" s="486"/>
      <c r="AS13" s="486"/>
      <c r="GB13" s="17">
        <v>5</v>
      </c>
      <c r="GC13" s="46" t="s">
        <v>20</v>
      </c>
      <c r="GD13" s="15"/>
      <c r="GE13" s="15"/>
      <c r="GG13" s="17"/>
      <c r="GH13" s="17">
        <v>1</v>
      </c>
      <c r="GI13" s="17">
        <v>2</v>
      </c>
      <c r="GJ13" s="17">
        <v>3</v>
      </c>
      <c r="GK13" s="17">
        <v>4</v>
      </c>
      <c r="GL13" s="17">
        <v>5</v>
      </c>
      <c r="GM13" s="17">
        <v>6</v>
      </c>
      <c r="GN13" s="17">
        <v>7</v>
      </c>
      <c r="GO13" s="17">
        <v>8</v>
      </c>
      <c r="GP13" s="17">
        <v>9</v>
      </c>
      <c r="GR13" s="17" t="s">
        <v>14</v>
      </c>
      <c r="GS13" s="17">
        <v>1</v>
      </c>
      <c r="GU13" s="533" t="s">
        <v>15</v>
      </c>
      <c r="GV13" s="18" t="s">
        <v>16</v>
      </c>
      <c r="GX13" s="17"/>
      <c r="GY13" s="17"/>
      <c r="GZ13" s="28">
        <v>1</v>
      </c>
      <c r="HA13" s="28">
        <v>5</v>
      </c>
      <c r="HB13" s="28">
        <v>1</v>
      </c>
      <c r="HC13" s="28">
        <v>7</v>
      </c>
      <c r="HD13" s="28">
        <v>6</v>
      </c>
      <c r="HG13" s="29">
        <v>43831</v>
      </c>
      <c r="HH13" s="30" t="str">
        <f>TEXT(HG13,"DD-MMM")</f>
        <v>01-Jan</v>
      </c>
      <c r="HI13" s="30" t="s">
        <v>113</v>
      </c>
      <c r="HJ13" s="16" t="s">
        <v>130</v>
      </c>
      <c r="HK13" s="16" t="str">
        <f t="shared" si="2"/>
        <v>Capricorn - Earth</v>
      </c>
    </row>
    <row r="14" spans="1:219" ht="15" thickBot="1">
      <c r="GB14" s="17">
        <v>6</v>
      </c>
      <c r="GC14" s="46" t="s">
        <v>20</v>
      </c>
      <c r="GD14" s="15"/>
      <c r="GE14" s="15"/>
      <c r="GG14" s="17">
        <v>1</v>
      </c>
      <c r="GH14" s="142" t="s">
        <v>19</v>
      </c>
      <c r="GI14" s="142" t="s">
        <v>20</v>
      </c>
      <c r="GJ14" s="142" t="s">
        <v>20</v>
      </c>
      <c r="GK14" s="142" t="s">
        <v>21</v>
      </c>
      <c r="GL14" s="142" t="s">
        <v>20</v>
      </c>
      <c r="GM14" s="142" t="s">
        <v>21</v>
      </c>
      <c r="GN14" s="142" t="s">
        <v>20</v>
      </c>
      <c r="GO14" s="142" t="s">
        <v>21</v>
      </c>
      <c r="GP14" s="142" t="s">
        <v>14</v>
      </c>
      <c r="GR14" s="17" t="s">
        <v>22</v>
      </c>
      <c r="GS14" s="17">
        <v>2</v>
      </c>
      <c r="GU14" s="17">
        <v>1</v>
      </c>
      <c r="GV14" s="28" t="s">
        <v>23</v>
      </c>
      <c r="GX14" s="17"/>
      <c r="GY14" s="17"/>
      <c r="GZ14" s="28"/>
      <c r="HA14" s="28"/>
      <c r="HB14" s="28"/>
      <c r="HC14" s="28"/>
      <c r="HD14" s="28"/>
      <c r="HG14" s="29">
        <v>43832</v>
      </c>
      <c r="HH14" s="30" t="str">
        <f t="shared" ref="HH14:HK77" si="3">TEXT(HG14,"DD-MMM")</f>
        <v>02-Jan</v>
      </c>
      <c r="HI14" s="30" t="s">
        <v>113</v>
      </c>
      <c r="HJ14" s="16" t="s">
        <v>130</v>
      </c>
      <c r="HK14" s="16" t="str">
        <f t="shared" si="2"/>
        <v>Capricorn - Earth</v>
      </c>
    </row>
    <row r="15" spans="1:219" ht="29.25" customHeight="1" thickBot="1">
      <c r="A15" s="709" t="s">
        <v>10</v>
      </c>
      <c r="B15" s="710"/>
      <c r="C15" s="12"/>
      <c r="D15" s="259"/>
      <c r="E15" s="489"/>
      <c r="F15" s="12"/>
      <c r="G15" s="490"/>
      <c r="H15" s="54"/>
      <c r="I15" s="54"/>
      <c r="J15" s="391"/>
      <c r="K15" s="392"/>
      <c r="L15" s="392"/>
      <c r="M15" s="707" t="s">
        <v>99</v>
      </c>
      <c r="N15" s="708"/>
      <c r="O15" s="491"/>
      <c r="Q15" s="408" t="s">
        <v>15</v>
      </c>
      <c r="R15" s="408" t="s">
        <v>194</v>
      </c>
      <c r="S15" s="408" t="s">
        <v>195</v>
      </c>
      <c r="T15" s="381"/>
      <c r="U15" s="426" t="s">
        <v>198</v>
      </c>
      <c r="V15" s="393"/>
      <c r="W15" s="393"/>
      <c r="AD15" s="492" t="s">
        <v>18</v>
      </c>
      <c r="AE15" s="428" t="s">
        <v>25</v>
      </c>
      <c r="AG15" s="289"/>
      <c r="AH15" s="289"/>
      <c r="AI15" s="14"/>
      <c r="AJ15" s="492" t="s">
        <v>18</v>
      </c>
      <c r="AK15" s="428" t="s">
        <v>25</v>
      </c>
      <c r="AU15" s="246"/>
      <c r="AV15" s="14"/>
      <c r="GB15" s="17">
        <v>10</v>
      </c>
      <c r="GC15" s="46" t="s">
        <v>20</v>
      </c>
      <c r="GD15" s="15"/>
      <c r="GE15" s="15"/>
      <c r="GG15" s="17">
        <v>2</v>
      </c>
      <c r="GH15" s="142" t="s">
        <v>20</v>
      </c>
      <c r="GI15" s="142" t="s">
        <v>19</v>
      </c>
      <c r="GJ15" s="142" t="s">
        <v>20</v>
      </c>
      <c r="GK15" s="142" t="s">
        <v>20</v>
      </c>
      <c r="GL15" s="142" t="s">
        <v>21</v>
      </c>
      <c r="GM15" s="142" t="s">
        <v>20</v>
      </c>
      <c r="GN15" s="142" t="s">
        <v>26</v>
      </c>
      <c r="GO15" s="142" t="s">
        <v>14</v>
      </c>
      <c r="GP15" s="142" t="s">
        <v>14</v>
      </c>
      <c r="GR15" s="17" t="s">
        <v>27</v>
      </c>
      <c r="GS15" s="17">
        <v>3</v>
      </c>
      <c r="GU15" s="17">
        <v>2</v>
      </c>
      <c r="GV15" s="28" t="s">
        <v>23</v>
      </c>
      <c r="GX15" s="17" t="s">
        <v>28</v>
      </c>
      <c r="GY15" s="17">
        <f>(GZ15*GZ16)+(HA15*HA16)+(HB15*HB16)+(HC15*HC16)+(HD15*HD16)</f>
        <v>0</v>
      </c>
      <c r="GZ15" s="39">
        <f>IFERROR((HLOOKUP(GZ12,C14:T15,2,0)),0)</f>
        <v>0</v>
      </c>
      <c r="HA15" s="39">
        <f>IFERROR((HLOOKUP(HA12,C14:T15,2,0)),0)</f>
        <v>0</v>
      </c>
      <c r="HB15" s="39">
        <f>IFERROR((HLOOKUP(HB12,C14:T15,2,0)),0)</f>
        <v>0</v>
      </c>
      <c r="HC15" s="39">
        <f>IFERROR((HLOOKUP(HC12,C14:T15,2,0)),0)</f>
        <v>0</v>
      </c>
      <c r="HD15" s="39">
        <f>IFERROR((HLOOKUP(HD12,C14:T15,2,0)),0)</f>
        <v>0</v>
      </c>
      <c r="HG15" s="29">
        <v>43833</v>
      </c>
      <c r="HH15" s="30" t="str">
        <f t="shared" si="3"/>
        <v>03-Jan</v>
      </c>
      <c r="HI15" s="30" t="s">
        <v>113</v>
      </c>
      <c r="HJ15" s="16" t="s">
        <v>130</v>
      </c>
      <c r="HK15" s="16" t="str">
        <f t="shared" si="2"/>
        <v>Capricorn - Earth</v>
      </c>
    </row>
    <row r="16" spans="1:219" ht="15" thickBot="1">
      <c r="A16" s="31" t="s">
        <v>17</v>
      </c>
      <c r="B16" s="429" t="s">
        <v>299</v>
      </c>
      <c r="C16" s="21"/>
      <c r="D16" s="493">
        <f>MasterTables!AM2</f>
        <v>14</v>
      </c>
      <c r="E16" s="494">
        <f>IF(D16&lt;10,D16,((LEFT(D16,1))+(RIGHT(D16,1))))</f>
        <v>5</v>
      </c>
      <c r="F16" s="495" t="str">
        <f>MasterTables!AO2</f>
        <v>FN</v>
      </c>
      <c r="G16" s="449" t="str">
        <f>MasterTables!AP2</f>
        <v>√</v>
      </c>
      <c r="J16" s="382" t="s">
        <v>206</v>
      </c>
      <c r="K16" s="142"/>
      <c r="L16" s="142"/>
      <c r="M16" s="378" t="s">
        <v>12</v>
      </c>
      <c r="N16" s="378" t="s">
        <v>13</v>
      </c>
      <c r="O16" s="383"/>
      <c r="Q16" s="483">
        <v>1</v>
      </c>
      <c r="R16" s="407">
        <f ca="1">MasterTables!CF21</f>
        <v>0</v>
      </c>
      <c r="S16" s="407">
        <f>MasterTables!CG21</f>
        <v>0</v>
      </c>
      <c r="T16" s="496"/>
      <c r="U16" s="410">
        <f>MasterTables!BX21</f>
        <v>6</v>
      </c>
      <c r="Z16" s="393"/>
      <c r="AA16" s="394"/>
      <c r="AB16" s="427" t="s">
        <v>24</v>
      </c>
      <c r="AC16" s="395"/>
      <c r="AD16" s="497">
        <f>C6</f>
        <v>2</v>
      </c>
      <c r="AE16" s="534">
        <f ca="1">C7</f>
        <v>2</v>
      </c>
      <c r="AG16" s="394"/>
      <c r="AH16" s="428" t="s">
        <v>31</v>
      </c>
      <c r="AI16" s="396"/>
      <c r="AJ16" s="497">
        <f>C6</f>
        <v>2</v>
      </c>
      <c r="AK16" s="534">
        <f ca="1">C7</f>
        <v>2</v>
      </c>
      <c r="AU16" s="455"/>
      <c r="AV16" s="455"/>
      <c r="GB16" s="17">
        <v>12</v>
      </c>
      <c r="GC16" s="46" t="s">
        <v>20</v>
      </c>
      <c r="GD16" s="15"/>
      <c r="GE16" s="15"/>
      <c r="GG16" s="17">
        <v>3</v>
      </c>
      <c r="GH16" s="142" t="s">
        <v>20</v>
      </c>
      <c r="GI16" s="142" t="s">
        <v>20</v>
      </c>
      <c r="GJ16" s="142" t="s">
        <v>19</v>
      </c>
      <c r="GK16" s="142" t="s">
        <v>14</v>
      </c>
      <c r="GL16" s="142" t="s">
        <v>20</v>
      </c>
      <c r="GM16" s="142" t="s">
        <v>14</v>
      </c>
      <c r="GN16" s="142" t="s">
        <v>20</v>
      </c>
      <c r="GO16" s="142" t="s">
        <v>20</v>
      </c>
      <c r="GP16" s="142" t="s">
        <v>20</v>
      </c>
      <c r="GR16" s="17" t="s">
        <v>29</v>
      </c>
      <c r="GS16" s="17">
        <v>4</v>
      </c>
      <c r="GU16" s="17">
        <v>3</v>
      </c>
      <c r="GV16" s="28" t="s">
        <v>23</v>
      </c>
      <c r="GX16" s="17"/>
      <c r="GY16" s="17"/>
      <c r="GZ16" s="28">
        <f>COUNTIFS(C14:T14,GZ12)</f>
        <v>0</v>
      </c>
      <c r="HA16" s="28">
        <f>COUNTIFS(C14:T14,HA12)</f>
        <v>0</v>
      </c>
      <c r="HB16" s="28">
        <f>COUNTIFS(C14:T14,HB12)</f>
        <v>0</v>
      </c>
      <c r="HC16" s="28">
        <f>COUNTIFS(C14:T14,HC12)</f>
        <v>0</v>
      </c>
      <c r="HD16" s="28">
        <f>COUNTIFS(C14:T14,HD12)</f>
        <v>0</v>
      </c>
      <c r="HG16" s="29">
        <v>43834</v>
      </c>
      <c r="HH16" s="30" t="str">
        <f t="shared" si="3"/>
        <v>04-Jan</v>
      </c>
      <c r="HI16" s="30" t="s">
        <v>113</v>
      </c>
      <c r="HJ16" s="16" t="s">
        <v>130</v>
      </c>
      <c r="HK16" s="16" t="str">
        <f t="shared" si="2"/>
        <v>Capricorn - Earth</v>
      </c>
    </row>
    <row r="17" spans="1:219" ht="15" thickBot="1">
      <c r="A17" s="31" t="s">
        <v>30</v>
      </c>
      <c r="B17" s="429" t="s">
        <v>295</v>
      </c>
      <c r="C17" s="21"/>
      <c r="D17" s="498">
        <f>MasterTables!AM4</f>
        <v>23</v>
      </c>
      <c r="E17" s="50">
        <f t="shared" ref="E17:E18" si="4">IF(D17&lt;10,D17,((LEFT(D17,1))+(RIGHT(D17,1))))</f>
        <v>5</v>
      </c>
      <c r="F17" s="499"/>
      <c r="G17" s="73"/>
      <c r="J17" s="384" t="s">
        <v>18</v>
      </c>
      <c r="K17" s="142"/>
      <c r="L17" s="379">
        <f>C6</f>
        <v>2</v>
      </c>
      <c r="M17" s="142">
        <f ca="1">IF(N5&lt;=35,"Active",0)</f>
        <v>0</v>
      </c>
      <c r="N17" s="378" t="str">
        <f ca="1">IF(N5&gt;35,"Active",0)</f>
        <v>Active</v>
      </c>
      <c r="O17" s="327"/>
      <c r="Q17" s="483">
        <v>2</v>
      </c>
      <c r="R17" s="407">
        <f>MasterTables!CF22</f>
        <v>0</v>
      </c>
      <c r="S17" s="407">
        <f>MasterTables!CG22</f>
        <v>0</v>
      </c>
      <c r="T17" s="496"/>
      <c r="U17" s="410">
        <f>MasterTables!BX22</f>
        <v>2</v>
      </c>
      <c r="Z17" s="393"/>
      <c r="AA17" s="397"/>
      <c r="AB17" s="398">
        <f>D16</f>
        <v>14</v>
      </c>
      <c r="AC17" s="400"/>
      <c r="AD17" s="711" t="s">
        <v>24</v>
      </c>
      <c r="AE17" s="712"/>
      <c r="AG17" s="397"/>
      <c r="AH17" s="399">
        <f>D19</f>
        <v>57</v>
      </c>
      <c r="AI17" s="401"/>
      <c r="AJ17" s="713" t="s">
        <v>31</v>
      </c>
      <c r="AK17" s="714"/>
      <c r="AU17" s="455"/>
      <c r="AV17" s="455"/>
      <c r="GB17" s="17">
        <v>13</v>
      </c>
      <c r="GC17" s="46" t="s">
        <v>20</v>
      </c>
      <c r="GD17" s="15"/>
      <c r="GE17" s="15"/>
      <c r="GG17" s="17">
        <v>4</v>
      </c>
      <c r="GH17" s="142" t="s">
        <v>21</v>
      </c>
      <c r="GI17" s="142" t="s">
        <v>20</v>
      </c>
      <c r="GJ17" s="142" t="s">
        <v>14</v>
      </c>
      <c r="GK17" s="142" t="s">
        <v>19</v>
      </c>
      <c r="GL17" s="142" t="s">
        <v>20</v>
      </c>
      <c r="GM17" s="142" t="s">
        <v>20</v>
      </c>
      <c r="GN17" s="142" t="s">
        <v>20</v>
      </c>
      <c r="GO17" s="142" t="s">
        <v>14</v>
      </c>
      <c r="GP17" s="137" t="s">
        <v>96</v>
      </c>
      <c r="GR17" s="17" t="s">
        <v>19</v>
      </c>
      <c r="GS17" s="17">
        <v>5</v>
      </c>
      <c r="GU17" s="17">
        <v>4</v>
      </c>
      <c r="GV17" s="28" t="s">
        <v>23</v>
      </c>
      <c r="GX17" s="17"/>
      <c r="GY17" s="17"/>
      <c r="GZ17" s="28"/>
      <c r="HA17" s="28"/>
      <c r="HB17" s="28"/>
      <c r="HC17" s="28"/>
      <c r="HD17" s="28"/>
      <c r="HG17" s="29">
        <v>43835</v>
      </c>
      <c r="HH17" s="30" t="str">
        <f t="shared" si="3"/>
        <v>05-Jan</v>
      </c>
      <c r="HI17" s="30" t="s">
        <v>113</v>
      </c>
      <c r="HJ17" s="16" t="s">
        <v>130</v>
      </c>
      <c r="HK17" s="16" t="str">
        <f t="shared" si="2"/>
        <v>Capricorn - Earth</v>
      </c>
    </row>
    <row r="18" spans="1:219" ht="15" thickBot="1">
      <c r="A18" s="31" t="s">
        <v>37</v>
      </c>
      <c r="B18" s="429" t="s">
        <v>296</v>
      </c>
      <c r="C18" s="21"/>
      <c r="D18" s="498">
        <f>MasterTables!AM6</f>
        <v>20</v>
      </c>
      <c r="E18" s="50">
        <f t="shared" si="4"/>
        <v>2</v>
      </c>
      <c r="F18" s="499"/>
      <c r="G18" s="73"/>
      <c r="J18" s="384" t="s">
        <v>25</v>
      </c>
      <c r="K18" s="142"/>
      <c r="L18" s="379">
        <f ca="1">C7</f>
        <v>2</v>
      </c>
      <c r="M18" s="142"/>
      <c r="N18" s="142"/>
      <c r="O18" s="327"/>
      <c r="Q18" s="483">
        <v>3</v>
      </c>
      <c r="R18" s="407">
        <f ca="1">MasterTables!CF23</f>
        <v>0</v>
      </c>
      <c r="S18" s="407">
        <f>MasterTables!CG23</f>
        <v>0</v>
      </c>
      <c r="T18" s="496"/>
      <c r="U18" s="410">
        <f>MasterTables!BX23</f>
        <v>3</v>
      </c>
      <c r="Z18" s="97"/>
      <c r="AA18" s="402">
        <v>1</v>
      </c>
      <c r="AB18" s="381">
        <f t="shared" ref="AB18:AB27" si="5">IF(ISERROR(INDEX(GB:GB,MATCH(AB17,$GB$1:$GB$102,1)+1,1)),"",INDEX(GB:GB,MATCH(AB17,$GB$1:$GB$102,1)+1,1))</f>
        <v>15</v>
      </c>
      <c r="AC18" s="403">
        <f t="shared" ref="AC18:AC27" si="6">MOD(AB18-1,9)+1</f>
        <v>6</v>
      </c>
      <c r="AD18" s="397" t="str">
        <f t="shared" ref="AD18:AD27" si="7">INDEX($AH$2:$AQ$11,MATCH(AC18,$AH$2:$AQ$2,0),MATCH($AD$16,$AH$2:$AH$11,0))</f>
        <v>G</v>
      </c>
      <c r="AE18" s="500" t="str">
        <f t="shared" ref="AE18:AE27" ca="1" si="8">INDEX($AH$2:$AQ$11,MATCH(AC18,$AH$2:$AQ$2,0),MATCH($AE$16,$AH$2:$AH$11,0))</f>
        <v>G</v>
      </c>
      <c r="AG18" s="402">
        <v>1</v>
      </c>
      <c r="AH18" s="385">
        <f t="shared" ref="AH18:AH27" si="9">IF(ISERROR(INDEX(GB:GB,MATCH(AH17,$GB$1:$GB$102,1)+1,1)),"",INDEX(GB:GB,MATCH(AH17,$GB$1:$GB$102,1)+1,1))</f>
        <v>59</v>
      </c>
      <c r="AI18" s="399">
        <f t="shared" ref="AI18:AI27" si="10">MOD(AH18-1,9)+1</f>
        <v>5</v>
      </c>
      <c r="AJ18" s="397" t="str">
        <f t="shared" ref="AJ18:AJ27" si="11">INDEX($AH$2:$AQ$11,MATCH(AI18,$AH$2:$AQ$2,0),MATCH($AJ$16,$AH$2:$AH$11,0))</f>
        <v>F</v>
      </c>
      <c r="AK18" s="500" t="str">
        <f t="shared" ref="AK18:AK27" ca="1" si="12">INDEX($AH$2:$AQ$11,MATCH(AI18,$AH$2:$AQ$2,0),MATCH($AK$16,$AH$2:$AH$11,0))</f>
        <v>F</v>
      </c>
      <c r="AU18" s="455"/>
      <c r="AV18" s="455"/>
      <c r="GB18" s="17">
        <v>14</v>
      </c>
      <c r="GC18" s="46" t="s">
        <v>20</v>
      </c>
      <c r="GD18" s="15"/>
      <c r="GE18" s="15"/>
      <c r="GG18" s="17">
        <v>5</v>
      </c>
      <c r="GH18" s="142" t="s">
        <v>20</v>
      </c>
      <c r="GI18" s="142" t="s">
        <v>21</v>
      </c>
      <c r="GJ18" s="142" t="s">
        <v>20</v>
      </c>
      <c r="GK18" s="142" t="s">
        <v>20</v>
      </c>
      <c r="GL18" s="142" t="s">
        <v>19</v>
      </c>
      <c r="GM18" s="142" t="s">
        <v>21</v>
      </c>
      <c r="GN18" s="142" t="s">
        <v>20</v>
      </c>
      <c r="GO18" s="142" t="s">
        <v>26</v>
      </c>
      <c r="GP18" s="142" t="s">
        <v>21</v>
      </c>
      <c r="GR18" s="17" t="s">
        <v>21</v>
      </c>
      <c r="GS18" s="17">
        <v>8</v>
      </c>
      <c r="GU18" s="17">
        <v>5</v>
      </c>
      <c r="GV18" s="46" t="s">
        <v>33</v>
      </c>
      <c r="GX18" s="16" t="s">
        <v>34</v>
      </c>
      <c r="GY18" s="17">
        <f ca="1">(GZ18*GZ19)+(HA18*HA19)+(HB18*HB19)+(HC18*HC19)+(HD18*HD19)</f>
        <v>0</v>
      </c>
      <c r="GZ18" s="39">
        <f ca="1">IFERROR((HLOOKUP(GZ12,C16:Z17,2,0)),0)</f>
        <v>0</v>
      </c>
      <c r="HA18" s="39">
        <f ca="1">IFERROR((HLOOKUP(HA12,C16:Z17,2,0)),0)</f>
        <v>0</v>
      </c>
      <c r="HB18" s="39">
        <f ca="1">IFERROR((HLOOKUP(HB12,C16:Z17,2,0)),0)</f>
        <v>0</v>
      </c>
      <c r="HC18" s="39">
        <f ca="1">IFERROR((HLOOKUP(HC12,C16:Z17,2,0)),0)</f>
        <v>0</v>
      </c>
      <c r="HD18" s="39">
        <f ca="1">IFERROR((HLOOKUP(HD12,C16:Z17,2,0)),0)</f>
        <v>0</v>
      </c>
      <c r="HG18" s="29">
        <v>43836</v>
      </c>
      <c r="HH18" s="30" t="str">
        <f t="shared" si="3"/>
        <v>06-Jan</v>
      </c>
      <c r="HI18" s="30" t="s">
        <v>113</v>
      </c>
      <c r="HJ18" s="16" t="s">
        <v>130</v>
      </c>
      <c r="HK18" s="16" t="str">
        <f t="shared" si="2"/>
        <v>Capricorn - Earth</v>
      </c>
    </row>
    <row r="19" spans="1:219" ht="15" thickBot="1">
      <c r="A19" s="31" t="s">
        <v>269</v>
      </c>
      <c r="B19" s="429"/>
      <c r="C19" s="59"/>
      <c r="D19" s="501">
        <f>MasterTables!AM7</f>
        <v>57</v>
      </c>
      <c r="E19" s="494">
        <f>SUM(E16:E18)</f>
        <v>12</v>
      </c>
      <c r="F19" s="495" t="str">
        <f>MasterTables!AO7</f>
        <v>EXP</v>
      </c>
      <c r="G19" s="449" t="str">
        <f>MasterTables!AP7</f>
        <v>√</v>
      </c>
      <c r="J19" s="384" t="s">
        <v>24</v>
      </c>
      <c r="K19" s="380">
        <f>D16</f>
        <v>14</v>
      </c>
      <c r="L19" s="379">
        <f>MOD(K19-1,9)+1</f>
        <v>5</v>
      </c>
      <c r="M19" s="380" t="str">
        <f>INDEX($AH$2:$AQ$11,MATCH(L19,$AH$2:$AQ$2,0),MATCH($L$17,$AH$2:$AH$11,0))</f>
        <v>F</v>
      </c>
      <c r="N19" s="380" t="str">
        <f ca="1">INDEX($AH$2:$AQ$11,MATCH(L19,$AH$2:$AQ$2,0),MATCH($L$18,$AH$2:$AH$11,0))</f>
        <v>F</v>
      </c>
      <c r="O19" s="385"/>
      <c r="Q19" s="483">
        <v>4</v>
      </c>
      <c r="R19" s="407">
        <f ca="1">MasterTables!CF24</f>
        <v>0</v>
      </c>
      <c r="S19" s="407">
        <f>MasterTables!CG24</f>
        <v>0</v>
      </c>
      <c r="T19" s="496"/>
      <c r="U19" s="410">
        <f>MasterTables!BX24</f>
        <v>2</v>
      </c>
      <c r="Z19" s="97"/>
      <c r="AA19" s="402">
        <v>2</v>
      </c>
      <c r="AB19" s="381">
        <f t="shared" si="5"/>
        <v>17</v>
      </c>
      <c r="AC19" s="402">
        <f t="shared" si="6"/>
        <v>8</v>
      </c>
      <c r="AD19" s="397" t="str">
        <f t="shared" si="7"/>
        <v>A</v>
      </c>
      <c r="AE19" s="500" t="str">
        <f t="shared" ca="1" si="8"/>
        <v>A</v>
      </c>
      <c r="AG19" s="402">
        <v>2</v>
      </c>
      <c r="AH19" s="385">
        <f t="shared" si="9"/>
        <v>60</v>
      </c>
      <c r="AI19" s="385">
        <f t="shared" si="10"/>
        <v>6</v>
      </c>
      <c r="AJ19" s="397" t="str">
        <f t="shared" si="11"/>
        <v>G</v>
      </c>
      <c r="AK19" s="500" t="str">
        <f t="shared" ca="1" si="12"/>
        <v>G</v>
      </c>
      <c r="AU19" s="455"/>
      <c r="AV19" s="455"/>
      <c r="GB19" s="17">
        <v>15</v>
      </c>
      <c r="GC19" s="46" t="s">
        <v>20</v>
      </c>
      <c r="GD19" s="48"/>
      <c r="GE19" s="48"/>
      <c r="GG19" s="17">
        <v>6</v>
      </c>
      <c r="GH19" s="142" t="s">
        <v>21</v>
      </c>
      <c r="GI19" s="142" t="s">
        <v>20</v>
      </c>
      <c r="GJ19" s="142" t="s">
        <v>14</v>
      </c>
      <c r="GK19" s="142" t="s">
        <v>20</v>
      </c>
      <c r="GL19" s="142" t="s">
        <v>21</v>
      </c>
      <c r="GM19" s="142" t="s">
        <v>19</v>
      </c>
      <c r="GN19" s="142" t="s">
        <v>20</v>
      </c>
      <c r="GO19" s="142" t="s">
        <v>20</v>
      </c>
      <c r="GP19" s="142" t="s">
        <v>20</v>
      </c>
      <c r="GR19" s="17" t="s">
        <v>20</v>
      </c>
      <c r="GS19" s="17">
        <v>3</v>
      </c>
      <c r="GU19" s="17">
        <v>6</v>
      </c>
      <c r="GV19" s="46" t="s">
        <v>33</v>
      </c>
      <c r="GZ19" s="28">
        <f ca="1">COUNTIFS(C16:Z16,GZ12)</f>
        <v>0</v>
      </c>
      <c r="HA19" s="28">
        <f ca="1">COUNTIFS(C16:Z16,HA12)</f>
        <v>0</v>
      </c>
      <c r="HB19" s="28">
        <f ca="1">COUNTIFS(C16:Z16,HB12)</f>
        <v>0</v>
      </c>
      <c r="HC19" s="28">
        <f ca="1">COUNTIFS(C16:Z16,HC12)</f>
        <v>0</v>
      </c>
      <c r="HD19" s="28">
        <f ca="1">COUNTIFS(C16:Z16,HD12)</f>
        <v>0</v>
      </c>
      <c r="HG19" s="29">
        <v>43837</v>
      </c>
      <c r="HH19" s="30" t="str">
        <f t="shared" si="3"/>
        <v>07-Jan</v>
      </c>
      <c r="HI19" s="30" t="s">
        <v>113</v>
      </c>
      <c r="HJ19" s="16" t="s">
        <v>130</v>
      </c>
      <c r="HK19" s="16" t="str">
        <f t="shared" si="2"/>
        <v>Capricorn - Earth</v>
      </c>
    </row>
    <row r="20" spans="1:219">
      <c r="J20" s="386" t="s">
        <v>31</v>
      </c>
      <c r="K20" s="380">
        <f>D19</f>
        <v>57</v>
      </c>
      <c r="L20" s="379">
        <f>MOD(K20-1,9)+1</f>
        <v>3</v>
      </c>
      <c r="M20" s="380" t="str">
        <f>INDEX($AH$2:$AQ$11,MATCH(L20,$AH$2:$AQ$2,0),MATCH($L$17,$AH$2:$AH$11,0))</f>
        <v>G</v>
      </c>
      <c r="N20" s="380" t="str">
        <f ca="1">INDEX($AH$2:$AQ$11,MATCH(L20,$AH$2:$AQ$2,0),MATCH($L$18,$AH$2:$AH$11,0))</f>
        <v>G</v>
      </c>
      <c r="O20" s="385"/>
      <c r="Q20" s="483">
        <v>5</v>
      </c>
      <c r="R20" s="407">
        <f ca="1">MasterTables!CF25</f>
        <v>0</v>
      </c>
      <c r="S20" s="407">
        <f>MasterTables!CG25</f>
        <v>0</v>
      </c>
      <c r="T20" s="496"/>
      <c r="U20" s="410">
        <f>MasterTables!BX25</f>
        <v>6</v>
      </c>
      <c r="Z20" s="97"/>
      <c r="AA20" s="402">
        <v>3</v>
      </c>
      <c r="AB20" s="381">
        <f t="shared" si="5"/>
        <v>19</v>
      </c>
      <c r="AC20" s="402">
        <f t="shared" si="6"/>
        <v>1</v>
      </c>
      <c r="AD20" s="397" t="str">
        <f t="shared" si="7"/>
        <v>G</v>
      </c>
      <c r="AE20" s="500" t="str">
        <f t="shared" ca="1" si="8"/>
        <v>G</v>
      </c>
      <c r="AG20" s="402">
        <v>3</v>
      </c>
      <c r="AH20" s="385">
        <f t="shared" si="9"/>
        <v>64</v>
      </c>
      <c r="AI20" s="385">
        <f t="shared" si="10"/>
        <v>1</v>
      </c>
      <c r="AJ20" s="397" t="str">
        <f t="shared" si="11"/>
        <v>G</v>
      </c>
      <c r="AK20" s="500" t="str">
        <f t="shared" ca="1" si="12"/>
        <v>G</v>
      </c>
      <c r="AU20" s="455"/>
      <c r="AV20" s="455"/>
      <c r="GB20" s="17">
        <v>17</v>
      </c>
      <c r="GC20" s="46" t="s">
        <v>20</v>
      </c>
      <c r="GD20" s="15"/>
      <c r="GE20" s="15"/>
      <c r="GG20" s="17">
        <v>7</v>
      </c>
      <c r="GH20" s="142" t="s">
        <v>20</v>
      </c>
      <c r="GI20" s="142" t="s">
        <v>26</v>
      </c>
      <c r="GJ20" s="142" t="s">
        <v>20</v>
      </c>
      <c r="GK20" s="142" t="s">
        <v>20</v>
      </c>
      <c r="GL20" s="142" t="s">
        <v>20</v>
      </c>
      <c r="GM20" s="142" t="s">
        <v>20</v>
      </c>
      <c r="GN20" s="142" t="s">
        <v>19</v>
      </c>
      <c r="GO20" s="142" t="s">
        <v>14</v>
      </c>
      <c r="GP20" s="142" t="s">
        <v>14</v>
      </c>
      <c r="GR20" s="17" t="s">
        <v>41</v>
      </c>
      <c r="GS20" s="17">
        <v>5</v>
      </c>
      <c r="GU20" s="17">
        <v>7</v>
      </c>
      <c r="GV20" s="28" t="s">
        <v>23</v>
      </c>
      <c r="HG20" s="29">
        <v>43838</v>
      </c>
      <c r="HH20" s="30" t="str">
        <f t="shared" si="3"/>
        <v>08-Jan</v>
      </c>
      <c r="HI20" s="30" t="s">
        <v>113</v>
      </c>
      <c r="HJ20" s="16" t="s">
        <v>130</v>
      </c>
      <c r="HK20" s="16" t="str">
        <f t="shared" si="2"/>
        <v>Capricorn - Earth</v>
      </c>
    </row>
    <row r="21" spans="1:219" ht="15" thickBot="1">
      <c r="J21" s="386" t="s">
        <v>32</v>
      </c>
      <c r="K21" s="380">
        <f>MasterTables!AQ8</f>
        <v>20</v>
      </c>
      <c r="L21" s="379">
        <f>MOD(K21-1,9)+1</f>
        <v>2</v>
      </c>
      <c r="M21" s="380" t="str">
        <f>INDEX($AH$2:$AQ$11,MATCH(L21,$AH$2:$AQ$2,0),MATCH($L$17,$AH$2:$AH$11,0))</f>
        <v>E</v>
      </c>
      <c r="N21" s="380" t="str">
        <f ca="1">INDEX($AH$2:$AQ$11,MATCH(L21,$AH$2:$AQ$2,0),MATCH($L$18,$AH$2:$AH$11,0))</f>
        <v>E</v>
      </c>
      <c r="O21" s="385"/>
      <c r="Q21" s="483">
        <v>6</v>
      </c>
      <c r="R21" s="407">
        <f ca="1">MasterTables!CF26</f>
        <v>6</v>
      </c>
      <c r="S21" s="407">
        <f ca="1">MasterTables!CG26</f>
        <v>0</v>
      </c>
      <c r="T21" s="496"/>
      <c r="U21" s="410">
        <f>MasterTables!BX26</f>
        <v>0</v>
      </c>
      <c r="Z21" s="97"/>
      <c r="AA21" s="402">
        <v>4</v>
      </c>
      <c r="AB21" s="381">
        <f t="shared" si="5"/>
        <v>20</v>
      </c>
      <c r="AC21" s="402">
        <f t="shared" si="6"/>
        <v>2</v>
      </c>
      <c r="AD21" s="397" t="str">
        <f t="shared" si="7"/>
        <v>E</v>
      </c>
      <c r="AE21" s="500" t="str">
        <f t="shared" ca="1" si="8"/>
        <v>E</v>
      </c>
      <c r="AG21" s="402">
        <v>4</v>
      </c>
      <c r="AH21" s="385">
        <f t="shared" si="9"/>
        <v>66</v>
      </c>
      <c r="AI21" s="385">
        <f t="shared" si="10"/>
        <v>3</v>
      </c>
      <c r="AJ21" s="397" t="str">
        <f t="shared" si="11"/>
        <v>G</v>
      </c>
      <c r="AK21" s="500" t="str">
        <f t="shared" ca="1" si="12"/>
        <v>G</v>
      </c>
      <c r="AU21" s="455"/>
      <c r="AV21" s="455"/>
      <c r="GB21" s="17">
        <v>19</v>
      </c>
      <c r="GC21" s="28" t="s">
        <v>64</v>
      </c>
      <c r="GD21" s="15"/>
      <c r="GE21" s="15"/>
      <c r="GG21" s="17">
        <v>8</v>
      </c>
      <c r="GH21" s="142" t="s">
        <v>21</v>
      </c>
      <c r="GI21" s="142" t="s">
        <v>14</v>
      </c>
      <c r="GJ21" s="142" t="s">
        <v>20</v>
      </c>
      <c r="GK21" s="142" t="s">
        <v>14</v>
      </c>
      <c r="GL21" s="142" t="s">
        <v>26</v>
      </c>
      <c r="GM21" s="142" t="s">
        <v>20</v>
      </c>
      <c r="GN21" s="142" t="s">
        <v>14</v>
      </c>
      <c r="GO21" s="142" t="s">
        <v>19</v>
      </c>
      <c r="GP21" s="137" t="s">
        <v>96</v>
      </c>
      <c r="GR21" s="17" t="s">
        <v>43</v>
      </c>
      <c r="GS21" s="17">
        <v>1</v>
      </c>
      <c r="GU21" s="17">
        <v>8</v>
      </c>
      <c r="GV21" s="28" t="s">
        <v>23</v>
      </c>
      <c r="GX21" s="17" t="s">
        <v>44</v>
      </c>
      <c r="GY21" s="17">
        <f ca="1">(GZ21*GZ22)+(HA21*HA22)+(HB21*HB22)+(HC21*HC22)+(HD21*HD22)</f>
        <v>0</v>
      </c>
      <c r="GZ21" s="39">
        <f ca="1">IFERROR((HLOOKUP(GZ12,C18:Z19,2,0)),0)</f>
        <v>0</v>
      </c>
      <c r="HA21" s="39">
        <f ca="1">IFERROR((HLOOKUP(HA12,C18:Z19,2,0)),0)</f>
        <v>0</v>
      </c>
      <c r="HB21" s="39">
        <f ca="1">IFERROR((HLOOKUP(HB12,C18:Z19,2,0)),0)</f>
        <v>0</v>
      </c>
      <c r="HC21" s="39">
        <f ca="1">IFERROR((HLOOKUP(HC12,C18:Z19,2,0)),0)</f>
        <v>0</v>
      </c>
      <c r="HD21" s="39">
        <f ca="1">IFERROR((HLOOKUP(HD12,C18:Z19,2,0)),0)</f>
        <v>0</v>
      </c>
      <c r="HG21" s="29">
        <v>43839</v>
      </c>
      <c r="HH21" s="30" t="str">
        <f t="shared" si="3"/>
        <v>09-Jan</v>
      </c>
      <c r="HI21" s="30" t="s">
        <v>113</v>
      </c>
      <c r="HJ21" s="16" t="s">
        <v>130</v>
      </c>
      <c r="HK21" s="16" t="str">
        <f t="shared" si="2"/>
        <v>Capricorn - Earth</v>
      </c>
    </row>
    <row r="22" spans="1:219" ht="15" thickBot="1">
      <c r="D22" s="502" t="s">
        <v>211</v>
      </c>
      <c r="E22" s="269">
        <f ca="1">IF($N$5&gt;35,(MOD(L18+L20-1,9)+1),0)</f>
        <v>5</v>
      </c>
      <c r="J22" s="387" t="s">
        <v>35</v>
      </c>
      <c r="K22" s="388">
        <f>K20-K21</f>
        <v>37</v>
      </c>
      <c r="L22" s="389">
        <f>MOD(K22-1,9)+1</f>
        <v>1</v>
      </c>
      <c r="M22" s="388" t="str">
        <f>INDEX($AH$2:$AQ$11,MATCH(L22,$AH$2:$AQ$2,0),MATCH($L$17,$AH$2:$AH$11,0))</f>
        <v>G</v>
      </c>
      <c r="N22" s="388" t="str">
        <f ca="1">INDEX($AH$2:$AQ$11,MATCH(L22,$AH$2:$AQ$2,0),MATCH($L$18,$AH$2:$AH$11,0))</f>
        <v>G</v>
      </c>
      <c r="O22" s="390"/>
      <c r="Q22" s="483">
        <v>7</v>
      </c>
      <c r="R22" s="407">
        <f ca="1">MasterTables!CF27</f>
        <v>7</v>
      </c>
      <c r="S22" s="407">
        <f ca="1">MasterTables!CG27</f>
        <v>0</v>
      </c>
      <c r="T22" s="496"/>
      <c r="U22" s="410">
        <f>MasterTables!BX27</f>
        <v>0</v>
      </c>
      <c r="Z22" s="97"/>
      <c r="AA22" s="402">
        <v>5</v>
      </c>
      <c r="AB22" s="381">
        <f t="shared" si="5"/>
        <v>21</v>
      </c>
      <c r="AC22" s="402">
        <f t="shared" si="6"/>
        <v>3</v>
      </c>
      <c r="AD22" s="397" t="str">
        <f t="shared" si="7"/>
        <v>G</v>
      </c>
      <c r="AE22" s="500" t="str">
        <f t="shared" ca="1" si="8"/>
        <v>G</v>
      </c>
      <c r="AG22" s="402">
        <v>5</v>
      </c>
      <c r="AH22" s="385">
        <f t="shared" si="9"/>
        <v>68</v>
      </c>
      <c r="AI22" s="385">
        <f t="shared" si="10"/>
        <v>5</v>
      </c>
      <c r="AJ22" s="397" t="str">
        <f t="shared" si="11"/>
        <v>F</v>
      </c>
      <c r="AK22" s="500" t="str">
        <f t="shared" ca="1" si="12"/>
        <v>F</v>
      </c>
      <c r="AU22" s="455"/>
      <c r="AV22" s="455"/>
      <c r="GB22" s="17">
        <v>20</v>
      </c>
      <c r="GC22" s="46" t="s">
        <v>20</v>
      </c>
      <c r="GD22" s="15"/>
      <c r="GE22" s="15"/>
      <c r="GG22" s="17">
        <v>9</v>
      </c>
      <c r="GH22" s="142" t="s">
        <v>14</v>
      </c>
      <c r="GI22" s="142" t="s">
        <v>14</v>
      </c>
      <c r="GJ22" s="142" t="s">
        <v>20</v>
      </c>
      <c r="GK22" s="137" t="s">
        <v>96</v>
      </c>
      <c r="GL22" s="142" t="s">
        <v>21</v>
      </c>
      <c r="GM22" s="142" t="s">
        <v>20</v>
      </c>
      <c r="GN22" s="142" t="s">
        <v>14</v>
      </c>
      <c r="GO22" s="137" t="s">
        <v>96</v>
      </c>
      <c r="GP22" s="142" t="s">
        <v>19</v>
      </c>
      <c r="GR22" s="17" t="s">
        <v>46</v>
      </c>
      <c r="GS22" s="17">
        <v>1</v>
      </c>
      <c r="GU22" s="17">
        <v>9</v>
      </c>
      <c r="GV22" s="28" t="s">
        <v>23</v>
      </c>
      <c r="GX22" s="17"/>
      <c r="GY22" s="17"/>
      <c r="GZ22" s="28">
        <f ca="1">COUNTIFS(C18:Z18,GZ12)</f>
        <v>0</v>
      </c>
      <c r="HA22" s="28">
        <f ca="1">COUNTIFS(C18:Z18,HA12)</f>
        <v>0</v>
      </c>
      <c r="HB22" s="28">
        <f ca="1">COUNTIFS(C18:Z18,HB12)</f>
        <v>0</v>
      </c>
      <c r="HC22" s="28">
        <f ca="1">COUNTIFS(C18:Z18,HC12)</f>
        <v>0</v>
      </c>
      <c r="HD22" s="28">
        <f ca="1">COUNTIFS(C18:Z18,HD12)</f>
        <v>0</v>
      </c>
      <c r="HG22" s="29">
        <v>43840</v>
      </c>
      <c r="HH22" s="30" t="str">
        <f t="shared" si="3"/>
        <v>10-Jan</v>
      </c>
      <c r="HI22" s="30" t="s">
        <v>113</v>
      </c>
      <c r="HJ22" s="16" t="s">
        <v>130</v>
      </c>
      <c r="HK22" s="16" t="str">
        <f t="shared" si="2"/>
        <v>Capricorn - Earth</v>
      </c>
    </row>
    <row r="23" spans="1:219">
      <c r="Q23" s="483">
        <v>8</v>
      </c>
      <c r="R23" s="407">
        <f ca="1">MasterTables!CF28</f>
        <v>8</v>
      </c>
      <c r="S23" s="407">
        <f ca="1">MasterTables!CG28</f>
        <v>0</v>
      </c>
      <c r="T23" s="496"/>
      <c r="U23" s="410">
        <f>MasterTables!BX28</f>
        <v>0</v>
      </c>
      <c r="Z23" s="97"/>
      <c r="AA23" s="402">
        <v>6</v>
      </c>
      <c r="AB23" s="381">
        <f t="shared" si="5"/>
        <v>23</v>
      </c>
      <c r="AC23" s="402">
        <f t="shared" si="6"/>
        <v>5</v>
      </c>
      <c r="AD23" s="397" t="str">
        <f t="shared" si="7"/>
        <v>F</v>
      </c>
      <c r="AE23" s="500" t="str">
        <f t="shared" ca="1" si="8"/>
        <v>F</v>
      </c>
      <c r="AG23" s="402">
        <v>6</v>
      </c>
      <c r="AH23" s="385">
        <f t="shared" si="9"/>
        <v>69</v>
      </c>
      <c r="AI23" s="385">
        <f t="shared" si="10"/>
        <v>6</v>
      </c>
      <c r="AJ23" s="397" t="str">
        <f t="shared" si="11"/>
        <v>G</v>
      </c>
      <c r="AK23" s="500" t="str">
        <f t="shared" ca="1" si="12"/>
        <v>G</v>
      </c>
      <c r="AU23" s="455"/>
      <c r="AV23" s="455"/>
      <c r="GB23" s="17">
        <v>21</v>
      </c>
      <c r="GC23" s="28" t="s">
        <v>64</v>
      </c>
      <c r="GD23" s="15"/>
      <c r="GE23" s="15"/>
      <c r="GG23" s="17"/>
      <c r="GH23" s="17"/>
      <c r="GI23" s="17"/>
      <c r="GJ23" s="17"/>
      <c r="GK23" s="17"/>
      <c r="GL23" s="17"/>
      <c r="GM23" s="17"/>
      <c r="GN23" s="17"/>
      <c r="GO23" s="17"/>
      <c r="GP23" s="17"/>
      <c r="GR23" s="17" t="s">
        <v>50</v>
      </c>
      <c r="GS23" s="17">
        <v>2</v>
      </c>
      <c r="GU23" s="17">
        <v>10</v>
      </c>
      <c r="GV23" s="46" t="s">
        <v>33</v>
      </c>
      <c r="HG23" s="29">
        <v>43841</v>
      </c>
      <c r="HH23" s="30" t="str">
        <f t="shared" si="3"/>
        <v>11-Jan</v>
      </c>
      <c r="HI23" s="30" t="s">
        <v>113</v>
      </c>
      <c r="HJ23" s="16" t="s">
        <v>130</v>
      </c>
      <c r="HK23" s="16" t="str">
        <f t="shared" si="2"/>
        <v>Capricorn - Earth</v>
      </c>
    </row>
    <row r="24" spans="1:219">
      <c r="Q24" s="483">
        <v>9</v>
      </c>
      <c r="R24" s="407">
        <f ca="1">MasterTables!CF29</f>
        <v>9</v>
      </c>
      <c r="S24" s="407">
        <f ca="1">MasterTables!CG29</f>
        <v>0</v>
      </c>
      <c r="T24" s="496"/>
      <c r="U24" s="496"/>
      <c r="Z24" s="97"/>
      <c r="AA24" s="402">
        <v>7</v>
      </c>
      <c r="AB24" s="381">
        <f t="shared" si="5"/>
        <v>24</v>
      </c>
      <c r="AC24" s="402">
        <f t="shared" si="6"/>
        <v>6</v>
      </c>
      <c r="AD24" s="397" t="str">
        <f t="shared" si="7"/>
        <v>G</v>
      </c>
      <c r="AE24" s="500" t="str">
        <f t="shared" ca="1" si="8"/>
        <v>G</v>
      </c>
      <c r="AG24" s="402">
        <v>7</v>
      </c>
      <c r="AH24" s="385">
        <f t="shared" si="9"/>
        <v>73</v>
      </c>
      <c r="AI24" s="385">
        <f t="shared" si="10"/>
        <v>1</v>
      </c>
      <c r="AJ24" s="397" t="str">
        <f t="shared" si="11"/>
        <v>G</v>
      </c>
      <c r="AK24" s="500" t="str">
        <f t="shared" ca="1" si="12"/>
        <v>G</v>
      </c>
      <c r="AU24" s="289"/>
      <c r="AV24" s="14"/>
      <c r="GB24" s="17">
        <v>23</v>
      </c>
      <c r="GC24" s="28" t="s">
        <v>64</v>
      </c>
      <c r="GD24" s="15"/>
      <c r="GE24" s="15"/>
      <c r="GG24" s="17"/>
      <c r="GH24" s="17" t="s">
        <v>14</v>
      </c>
      <c r="GI24" s="17" t="s">
        <v>22</v>
      </c>
      <c r="GJ24" s="17" t="s">
        <v>27</v>
      </c>
      <c r="GK24" s="17" t="s">
        <v>29</v>
      </c>
      <c r="GL24" s="17" t="s">
        <v>19</v>
      </c>
      <c r="GM24" s="17" t="s">
        <v>51</v>
      </c>
      <c r="GN24" s="17" t="s">
        <v>52</v>
      </c>
      <c r="GO24" s="17" t="s">
        <v>21</v>
      </c>
      <c r="GP24" s="17"/>
      <c r="GR24" s="17" t="s">
        <v>53</v>
      </c>
      <c r="GS24" s="17">
        <v>3</v>
      </c>
      <c r="GU24" s="17">
        <v>11</v>
      </c>
      <c r="GV24" s="28" t="s">
        <v>23</v>
      </c>
      <c r="HG24" s="29">
        <v>43842</v>
      </c>
      <c r="HH24" s="30" t="str">
        <f t="shared" si="3"/>
        <v>12-Jan</v>
      </c>
      <c r="HI24" s="30" t="s">
        <v>113</v>
      </c>
      <c r="HJ24" s="16" t="s">
        <v>130</v>
      </c>
      <c r="HK24" s="16" t="str">
        <f t="shared" si="2"/>
        <v>Capricorn - Earth</v>
      </c>
    </row>
    <row r="25" spans="1:219">
      <c r="Z25" s="287"/>
      <c r="AA25" s="402">
        <v>8</v>
      </c>
      <c r="AB25" s="381">
        <f t="shared" si="5"/>
        <v>25</v>
      </c>
      <c r="AC25" s="402">
        <f t="shared" si="6"/>
        <v>7</v>
      </c>
      <c r="AD25" s="397" t="str">
        <f t="shared" si="7"/>
        <v>VG</v>
      </c>
      <c r="AE25" s="500" t="str">
        <f t="shared" ca="1" si="8"/>
        <v>VG</v>
      </c>
      <c r="AG25" s="402">
        <v>8</v>
      </c>
      <c r="AH25" s="385">
        <f t="shared" si="9"/>
        <v>75</v>
      </c>
      <c r="AI25" s="385">
        <f t="shared" si="10"/>
        <v>3</v>
      </c>
      <c r="AJ25" s="397" t="str">
        <f t="shared" si="11"/>
        <v>G</v>
      </c>
      <c r="AK25" s="500" t="str">
        <f t="shared" ca="1" si="12"/>
        <v>G</v>
      </c>
      <c r="AU25" s="14"/>
      <c r="AV25" s="14"/>
      <c r="GB25" s="17">
        <v>24</v>
      </c>
      <c r="GC25" s="28" t="s">
        <v>64</v>
      </c>
      <c r="GD25" s="15"/>
      <c r="GE25" s="15"/>
      <c r="GG25" s="17"/>
      <c r="GH25" s="17" t="s">
        <v>43</v>
      </c>
      <c r="GI25" s="17" t="s">
        <v>50</v>
      </c>
      <c r="GJ25" s="17" t="s">
        <v>20</v>
      </c>
      <c r="GK25" s="17" t="s">
        <v>47</v>
      </c>
      <c r="GL25" s="17" t="s">
        <v>41</v>
      </c>
      <c r="GM25" s="17" t="s">
        <v>56</v>
      </c>
      <c r="GN25" s="17" t="s">
        <v>57</v>
      </c>
      <c r="GO25" s="17" t="s">
        <v>58</v>
      </c>
      <c r="GP25" s="17"/>
      <c r="GR25" s="17" t="s">
        <v>47</v>
      </c>
      <c r="GS25" s="17">
        <v>4</v>
      </c>
      <c r="GU25" s="17">
        <v>12</v>
      </c>
      <c r="GV25" s="46" t="s">
        <v>33</v>
      </c>
      <c r="HG25" s="29">
        <v>43843</v>
      </c>
      <c r="HH25" s="30" t="str">
        <f t="shared" si="3"/>
        <v>13-Jan</v>
      </c>
      <c r="HI25" s="30" t="s">
        <v>113</v>
      </c>
      <c r="HJ25" s="16" t="s">
        <v>130</v>
      </c>
      <c r="HK25" s="16" t="str">
        <f t="shared" si="2"/>
        <v>Capricorn - Earth</v>
      </c>
    </row>
    <row r="26" spans="1:219">
      <c r="Z26" s="287"/>
      <c r="AA26" s="402">
        <v>9</v>
      </c>
      <c r="AB26" s="381">
        <f t="shared" si="5"/>
        <v>27</v>
      </c>
      <c r="AC26" s="402">
        <f t="shared" si="6"/>
        <v>9</v>
      </c>
      <c r="AD26" s="397" t="str">
        <f t="shared" si="7"/>
        <v>A</v>
      </c>
      <c r="AE26" s="500" t="str">
        <f t="shared" ca="1" si="8"/>
        <v>A</v>
      </c>
      <c r="AG26" s="402">
        <v>9</v>
      </c>
      <c r="AH26" s="385">
        <f t="shared" si="9"/>
        <v>77</v>
      </c>
      <c r="AI26" s="385">
        <f t="shared" si="10"/>
        <v>5</v>
      </c>
      <c r="AJ26" s="397" t="str">
        <f t="shared" si="11"/>
        <v>F</v>
      </c>
      <c r="AK26" s="500" t="str">
        <f t="shared" ca="1" si="12"/>
        <v>F</v>
      </c>
      <c r="GB26" s="17">
        <v>25</v>
      </c>
      <c r="GC26" s="46" t="s">
        <v>20</v>
      </c>
      <c r="GD26" s="15"/>
      <c r="GE26" s="15"/>
      <c r="GG26" s="17"/>
      <c r="GH26" s="17" t="s">
        <v>46</v>
      </c>
      <c r="GI26" s="17" t="s">
        <v>59</v>
      </c>
      <c r="GJ26" s="17" t="s">
        <v>53</v>
      </c>
      <c r="GK26" s="17" t="s">
        <v>60</v>
      </c>
      <c r="GL26" s="17" t="s">
        <v>61</v>
      </c>
      <c r="GM26" s="17" t="s">
        <v>62</v>
      </c>
      <c r="GN26" s="17"/>
      <c r="GO26" s="17"/>
      <c r="GP26" s="17"/>
      <c r="GR26" s="17" t="s">
        <v>61</v>
      </c>
      <c r="GS26" s="17">
        <v>5</v>
      </c>
      <c r="GU26" s="17">
        <v>13</v>
      </c>
      <c r="GV26" s="46" t="s">
        <v>33</v>
      </c>
      <c r="HG26" s="29">
        <v>43844</v>
      </c>
      <c r="HH26" s="30" t="str">
        <f t="shared" si="3"/>
        <v>14-Jan</v>
      </c>
      <c r="HI26" s="30" t="s">
        <v>113</v>
      </c>
      <c r="HJ26" s="16" t="s">
        <v>130</v>
      </c>
      <c r="HK26" s="16" t="str">
        <f t="shared" si="2"/>
        <v>Capricorn - Earth</v>
      </c>
    </row>
    <row r="27" spans="1:219" ht="15" thickBot="1">
      <c r="Q27" s="408" t="s">
        <v>15</v>
      </c>
      <c r="R27" s="408" t="s">
        <v>194</v>
      </c>
      <c r="S27" s="408" t="s">
        <v>195</v>
      </c>
      <c r="T27" s="496"/>
      <c r="U27" s="409" t="s">
        <v>198</v>
      </c>
      <c r="Z27" s="287"/>
      <c r="AA27" s="404">
        <v>10</v>
      </c>
      <c r="AB27" s="405">
        <f t="shared" si="5"/>
        <v>30</v>
      </c>
      <c r="AC27" s="404">
        <f t="shared" si="6"/>
        <v>3</v>
      </c>
      <c r="AD27" s="503" t="str">
        <f t="shared" si="7"/>
        <v>G</v>
      </c>
      <c r="AE27" s="504" t="str">
        <f t="shared" ca="1" si="8"/>
        <v>G</v>
      </c>
      <c r="AG27" s="404">
        <v>10</v>
      </c>
      <c r="AH27" s="390">
        <f t="shared" si="9"/>
        <v>78</v>
      </c>
      <c r="AI27" s="390">
        <f t="shared" si="10"/>
        <v>6</v>
      </c>
      <c r="AJ27" s="503" t="str">
        <f t="shared" si="11"/>
        <v>G</v>
      </c>
      <c r="AK27" s="504" t="str">
        <f t="shared" ca="1" si="12"/>
        <v>G</v>
      </c>
      <c r="GB27" s="17">
        <v>27</v>
      </c>
      <c r="GC27" s="46" t="s">
        <v>20</v>
      </c>
      <c r="GD27" s="15"/>
      <c r="GE27" s="15"/>
      <c r="GG27" s="17"/>
      <c r="GH27" s="17" t="s">
        <v>63</v>
      </c>
      <c r="GI27" s="17"/>
      <c r="GJ27" s="17" t="s">
        <v>64</v>
      </c>
      <c r="GK27" s="17"/>
      <c r="GL27" s="17" t="s">
        <v>23</v>
      </c>
      <c r="GM27" s="17"/>
      <c r="GN27" s="17"/>
      <c r="GO27" s="17"/>
      <c r="GP27" s="17"/>
      <c r="GR27" s="17" t="s">
        <v>52</v>
      </c>
      <c r="GS27" s="17">
        <v>7</v>
      </c>
      <c r="GU27" s="17">
        <v>14</v>
      </c>
      <c r="GV27" s="46" t="s">
        <v>33</v>
      </c>
      <c r="HG27" s="29">
        <v>43845</v>
      </c>
      <c r="HH27" s="30" t="str">
        <f t="shared" si="3"/>
        <v>15-Jan</v>
      </c>
      <c r="HI27" s="30" t="s">
        <v>113</v>
      </c>
      <c r="HJ27" s="16" t="s">
        <v>130</v>
      </c>
      <c r="HK27" s="16" t="str">
        <f t="shared" si="2"/>
        <v>Capricorn - Earth</v>
      </c>
    </row>
    <row r="28" spans="1:219" ht="15" thickBot="1">
      <c r="Q28" s="483">
        <v>1</v>
      </c>
      <c r="R28" s="407">
        <f ca="1">MasterTables!CF42</f>
        <v>0</v>
      </c>
      <c r="S28" s="407">
        <f>MasterTables!CG42</f>
        <v>0</v>
      </c>
      <c r="T28" s="496"/>
      <c r="U28" s="410">
        <f>MasterTables!BX42</f>
        <v>2</v>
      </c>
      <c r="GB28" s="17">
        <v>30</v>
      </c>
      <c r="GC28" s="28" t="s">
        <v>64</v>
      </c>
      <c r="GD28" s="15"/>
      <c r="GE28" s="15"/>
      <c r="GG28" s="17"/>
      <c r="GH28" s="17" t="s">
        <v>48</v>
      </c>
      <c r="GI28" s="17"/>
      <c r="GJ28" s="17"/>
      <c r="GK28" s="17"/>
      <c r="GL28" s="17"/>
      <c r="GM28" s="17"/>
      <c r="GN28" s="17"/>
      <c r="GO28" s="17"/>
      <c r="GP28" s="17"/>
      <c r="GR28" s="17" t="s">
        <v>58</v>
      </c>
      <c r="GS28" s="17">
        <v>8</v>
      </c>
      <c r="GU28" s="17">
        <v>15</v>
      </c>
      <c r="GV28" s="46" t="s">
        <v>33</v>
      </c>
      <c r="HG28" s="29">
        <v>43846</v>
      </c>
      <c r="HH28" s="30" t="str">
        <f t="shared" si="3"/>
        <v>16-Jan</v>
      </c>
      <c r="HI28" s="30" t="s">
        <v>113</v>
      </c>
      <c r="HJ28" s="16" t="s">
        <v>130</v>
      </c>
      <c r="HK28" s="16" t="str">
        <f t="shared" si="2"/>
        <v>Capricorn - Earth</v>
      </c>
    </row>
    <row r="29" spans="1:219" ht="15" thickBot="1">
      <c r="A29" s="709" t="s">
        <v>191</v>
      </c>
      <c r="B29" s="710"/>
      <c r="C29" s="12"/>
      <c r="D29" s="259"/>
      <c r="E29" s="489"/>
      <c r="F29" s="12"/>
      <c r="G29" s="490"/>
      <c r="H29" s="54"/>
      <c r="I29" s="54"/>
      <c r="J29" s="391"/>
      <c r="K29" s="392"/>
      <c r="L29" s="392"/>
      <c r="M29" s="707" t="s">
        <v>241</v>
      </c>
      <c r="N29" s="708"/>
      <c r="O29" s="491"/>
      <c r="Q29" s="483">
        <v>2</v>
      </c>
      <c r="R29" s="407">
        <f>MasterTables!CF43</f>
        <v>0</v>
      </c>
      <c r="S29" s="407">
        <f>MasterTables!CG43</f>
        <v>0</v>
      </c>
      <c r="T29" s="496"/>
      <c r="U29" s="410">
        <f>MasterTables!BX43</f>
        <v>1</v>
      </c>
      <c r="GB29" s="17">
        <v>32</v>
      </c>
      <c r="GC29" s="46" t="s">
        <v>20</v>
      </c>
      <c r="GD29" s="15"/>
      <c r="GE29" s="15"/>
      <c r="GR29" s="17" t="s">
        <v>63</v>
      </c>
      <c r="GS29" s="17">
        <v>1</v>
      </c>
      <c r="GU29" s="17">
        <v>16</v>
      </c>
      <c r="GV29" s="28" t="s">
        <v>23</v>
      </c>
      <c r="GX29" s="17"/>
      <c r="GY29" s="533" t="s">
        <v>4</v>
      </c>
      <c r="GZ29" s="18" t="s">
        <v>5</v>
      </c>
      <c r="HA29" s="18" t="s">
        <v>6</v>
      </c>
      <c r="HB29" s="18" t="s">
        <v>7</v>
      </c>
      <c r="HC29" s="18" t="s">
        <v>8</v>
      </c>
      <c r="HD29" s="18" t="s">
        <v>9</v>
      </c>
      <c r="HG29" s="29">
        <v>43847</v>
      </c>
      <c r="HH29" s="30" t="str">
        <f t="shared" si="3"/>
        <v>17-Jan</v>
      </c>
      <c r="HI29" s="30" t="s">
        <v>113</v>
      </c>
      <c r="HJ29" s="16" t="s">
        <v>130</v>
      </c>
      <c r="HK29" s="16" t="str">
        <f t="shared" si="2"/>
        <v>Capricorn - Earth</v>
      </c>
    </row>
    <row r="30" spans="1:219" ht="15" thickBot="1">
      <c r="A30" s="31" t="s">
        <v>17</v>
      </c>
      <c r="B30" s="429" t="s">
        <v>297</v>
      </c>
      <c r="C30" s="21"/>
      <c r="D30" s="493">
        <f>MasterTables!AM13</f>
        <v>24</v>
      </c>
      <c r="E30" s="494">
        <f>IF(D30&lt;10,D30,((LEFT(D30,1))+(RIGHT(D30,1))))</f>
        <v>6</v>
      </c>
      <c r="F30" s="495" t="s">
        <v>24</v>
      </c>
      <c r="G30" s="449" t="str">
        <f>MasterTables!AP13</f>
        <v>*</v>
      </c>
      <c r="J30" s="382" t="s">
        <v>190</v>
      </c>
      <c r="K30" s="142"/>
      <c r="L30" s="142"/>
      <c r="M30" s="378" t="s">
        <v>12</v>
      </c>
      <c r="N30" s="378" t="s">
        <v>13</v>
      </c>
      <c r="O30" s="383"/>
      <c r="Q30" s="483">
        <v>3</v>
      </c>
      <c r="R30" s="407">
        <f ca="1">MasterTables!CF44</f>
        <v>0</v>
      </c>
      <c r="S30" s="407">
        <f>MasterTables!CG44</f>
        <v>0</v>
      </c>
      <c r="T30" s="496"/>
      <c r="U30" s="410">
        <f>MasterTables!BX44</f>
        <v>2</v>
      </c>
      <c r="GB30" s="17">
        <v>33</v>
      </c>
      <c r="GC30" s="46" t="s">
        <v>20</v>
      </c>
      <c r="GD30" s="15"/>
      <c r="GE30" s="15"/>
      <c r="GR30" s="17" t="s">
        <v>59</v>
      </c>
      <c r="GS30" s="17">
        <v>2</v>
      </c>
      <c r="GU30" s="17">
        <v>17</v>
      </c>
      <c r="GV30" s="46" t="s">
        <v>33</v>
      </c>
      <c r="GX30" s="17"/>
      <c r="GY30" s="533" t="s">
        <v>4</v>
      </c>
      <c r="GZ30" s="18" t="s">
        <v>5</v>
      </c>
      <c r="HA30" s="18" t="s">
        <v>6</v>
      </c>
      <c r="HB30" s="18" t="s">
        <v>7</v>
      </c>
      <c r="HC30" s="18" t="s">
        <v>8</v>
      </c>
      <c r="HD30" s="18" t="s">
        <v>9</v>
      </c>
      <c r="HG30" s="29">
        <v>43848</v>
      </c>
      <c r="HH30" s="30" t="str">
        <f t="shared" si="3"/>
        <v>18-Jan</v>
      </c>
      <c r="HI30" s="30" t="s">
        <v>113</v>
      </c>
      <c r="HJ30" s="16" t="s">
        <v>130</v>
      </c>
      <c r="HK30" s="16" t="str">
        <f t="shared" si="2"/>
        <v>Capricorn - Earth</v>
      </c>
    </row>
    <row r="31" spans="1:219">
      <c r="A31" s="31" t="s">
        <v>30</v>
      </c>
      <c r="B31" s="429"/>
      <c r="C31" s="21"/>
      <c r="D31" s="498">
        <f>MasterTables!AM15</f>
        <v>0</v>
      </c>
      <c r="E31" s="50">
        <f t="shared" ref="E31:E32" si="13">IF(D31&lt;10,D31,((LEFT(D31,1))+(RIGHT(D31,1))))</f>
        <v>0</v>
      </c>
      <c r="F31" s="499"/>
      <c r="G31" s="73"/>
      <c r="J31" s="384" t="s">
        <v>18</v>
      </c>
      <c r="K31" s="142"/>
      <c r="L31" s="379">
        <f>C6</f>
        <v>2</v>
      </c>
      <c r="M31" s="142">
        <f ca="1">IF(N5&lt;=35,"Active",0)</f>
        <v>0</v>
      </c>
      <c r="N31" s="378" t="str">
        <f ca="1">IF(N5&gt;35,"Active",0)</f>
        <v>Active</v>
      </c>
      <c r="O31" s="327"/>
      <c r="Q31" s="483">
        <v>4</v>
      </c>
      <c r="R31" s="407">
        <f ca="1">MasterTables!CF45</f>
        <v>0</v>
      </c>
      <c r="S31" s="407">
        <f>MasterTables!CG45</f>
        <v>0</v>
      </c>
      <c r="T31" s="496"/>
      <c r="U31" s="410">
        <f>MasterTables!BX45</f>
        <v>1</v>
      </c>
      <c r="GB31" s="17">
        <v>34</v>
      </c>
      <c r="GC31" s="28" t="s">
        <v>64</v>
      </c>
      <c r="GD31" s="15"/>
      <c r="GE31" s="15"/>
      <c r="GR31" s="17" t="s">
        <v>64</v>
      </c>
      <c r="GS31" s="17">
        <v>3</v>
      </c>
      <c r="GU31" s="17">
        <v>18</v>
      </c>
      <c r="GV31" s="28" t="s">
        <v>23</v>
      </c>
      <c r="GX31" s="17"/>
      <c r="GY31" s="17"/>
      <c r="GZ31" s="28">
        <v>1</v>
      </c>
      <c r="HA31" s="28">
        <v>5</v>
      </c>
      <c r="HB31" s="28">
        <v>1</v>
      </c>
      <c r="HC31" s="28">
        <v>7</v>
      </c>
      <c r="HD31" s="28">
        <v>6</v>
      </c>
      <c r="HG31" s="29">
        <v>43849</v>
      </c>
      <c r="HH31" s="30" t="str">
        <f t="shared" si="3"/>
        <v>19-Jan</v>
      </c>
      <c r="HI31" s="30" t="s">
        <v>113</v>
      </c>
      <c r="HJ31" s="16" t="s">
        <v>130</v>
      </c>
      <c r="HK31" s="16" t="str">
        <f t="shared" si="2"/>
        <v>Capricorn - Earth</v>
      </c>
    </row>
    <row r="32" spans="1:219" ht="15" thickBot="1">
      <c r="A32" s="31" t="s">
        <v>37</v>
      </c>
      <c r="B32" s="429"/>
      <c r="C32" s="21"/>
      <c r="D32" s="498">
        <f>MasterTables!AM17</f>
        <v>0</v>
      </c>
      <c r="E32" s="50">
        <f t="shared" si="13"/>
        <v>0</v>
      </c>
      <c r="F32" s="499"/>
      <c r="G32" s="73"/>
      <c r="J32" s="384" t="s">
        <v>25</v>
      </c>
      <c r="K32" s="142"/>
      <c r="L32" s="379">
        <f ca="1">C7</f>
        <v>2</v>
      </c>
      <c r="M32" s="142"/>
      <c r="N32" s="142"/>
      <c r="O32" s="327"/>
      <c r="Q32" s="483">
        <v>5</v>
      </c>
      <c r="R32" s="407">
        <f ca="1">MasterTables!CF46</f>
        <v>0</v>
      </c>
      <c r="S32" s="407">
        <f>MasterTables!CG46</f>
        <v>0</v>
      </c>
      <c r="T32" s="496"/>
      <c r="U32" s="410">
        <f>MasterTables!BX46</f>
        <v>2</v>
      </c>
      <c r="GB32" s="17">
        <v>36</v>
      </c>
      <c r="GC32" s="46" t="s">
        <v>20</v>
      </c>
      <c r="GD32" s="15"/>
      <c r="GE32" s="15"/>
      <c r="GR32" s="17" t="s">
        <v>60</v>
      </c>
      <c r="GS32" s="17">
        <v>4</v>
      </c>
      <c r="GU32" s="17">
        <v>19</v>
      </c>
      <c r="GV32" s="28" t="s">
        <v>67</v>
      </c>
      <c r="GX32" s="17"/>
      <c r="GY32" s="17"/>
      <c r="GZ32" s="28"/>
      <c r="HA32" s="28"/>
      <c r="HB32" s="28"/>
      <c r="HC32" s="28"/>
      <c r="HD32" s="28"/>
      <c r="HG32" s="29">
        <v>43850</v>
      </c>
      <c r="HH32" s="30" t="str">
        <f t="shared" si="3"/>
        <v>20-Jan</v>
      </c>
      <c r="HI32" s="30" t="s">
        <v>114</v>
      </c>
      <c r="HJ32" s="16" t="s">
        <v>132</v>
      </c>
      <c r="HK32" s="16" t="str">
        <f t="shared" si="2"/>
        <v>Aquarius - Air</v>
      </c>
    </row>
    <row r="33" spans="1:219" ht="15" thickBot="1">
      <c r="A33" s="58"/>
      <c r="B33" s="87"/>
      <c r="C33" s="59"/>
      <c r="D33" s="493">
        <f>SUM(D30:D32)</f>
        <v>24</v>
      </c>
      <c r="E33" s="494">
        <f>SUM(E30:E32)</f>
        <v>6</v>
      </c>
      <c r="F33" s="495" t="s">
        <v>31</v>
      </c>
      <c r="G33" s="449" t="str">
        <f>MasterTables!AP18</f>
        <v>*</v>
      </c>
      <c r="J33" s="384" t="s">
        <v>24</v>
      </c>
      <c r="K33" s="380">
        <f>D30</f>
        <v>24</v>
      </c>
      <c r="L33" s="379">
        <f>MOD(K33-1,9)+1</f>
        <v>6</v>
      </c>
      <c r="M33" s="380" t="str">
        <f>INDEX($AH$2:$AQ$11,MATCH(L33,$AH$2:$AQ$2,0),MATCH($L$31,$AH$2:$AH$11,0))</f>
        <v>G</v>
      </c>
      <c r="N33" s="380" t="str">
        <f ca="1">INDEX($AH$2:$AQ$11,MATCH(L33,$AH$2:$AQ$2,0),MATCH($L$32,$AH$2:$AH$11,0))</f>
        <v>G</v>
      </c>
      <c r="O33" s="385"/>
      <c r="Q33" s="483">
        <v>6</v>
      </c>
      <c r="R33" s="407">
        <f ca="1">MasterTables!CF47</f>
        <v>0</v>
      </c>
      <c r="S33" s="407">
        <f ca="1">MasterTables!CG47</f>
        <v>6</v>
      </c>
      <c r="T33" s="496"/>
      <c r="U33" s="410">
        <f>MasterTables!BX47</f>
        <v>0</v>
      </c>
      <c r="GB33" s="17">
        <v>37</v>
      </c>
      <c r="GC33" s="46" t="s">
        <v>20</v>
      </c>
      <c r="GR33" s="17" t="s">
        <v>51</v>
      </c>
      <c r="GS33" s="17">
        <v>6</v>
      </c>
      <c r="GU33" s="17">
        <v>20</v>
      </c>
      <c r="GV33" s="46" t="s">
        <v>33</v>
      </c>
      <c r="GX33" s="17" t="s">
        <v>28</v>
      </c>
      <c r="GY33" s="17">
        <f ca="1">(GZ33*GZ34)+(HA33*HA34)+(HB33*HB34)+(HC33*HC34)+(HD33*HD34)</f>
        <v>0</v>
      </c>
      <c r="GZ33" s="39">
        <f ca="1">IFERROR((HLOOKUP(GZ30,C35:T36,2,0)),0)</f>
        <v>0</v>
      </c>
      <c r="HA33" s="39">
        <f ca="1">IFERROR((HLOOKUP(HA30,C35:T36,2,0)),0)</f>
        <v>0</v>
      </c>
      <c r="HB33" s="39">
        <f ca="1">IFERROR((HLOOKUP(HB30,C35:T36,2,0)),0)</f>
        <v>0</v>
      </c>
      <c r="HC33" s="39">
        <f ca="1">IFERROR((HLOOKUP(HC30,C35:T36,2,0)),0)</f>
        <v>0</v>
      </c>
      <c r="HD33" s="39">
        <f ca="1">IFERROR((HLOOKUP(HD30,C35:T36,2,0)),0)</f>
        <v>0</v>
      </c>
      <c r="HG33" s="29">
        <v>43851</v>
      </c>
      <c r="HH33" s="30" t="str">
        <f t="shared" si="3"/>
        <v>21-Jan</v>
      </c>
      <c r="HI33" s="30" t="s">
        <v>114</v>
      </c>
      <c r="HJ33" s="16" t="s">
        <v>132</v>
      </c>
      <c r="HK33" s="16" t="str">
        <f t="shared" si="2"/>
        <v>Aquarius - Air</v>
      </c>
    </row>
    <row r="34" spans="1:219" ht="15" thickBot="1">
      <c r="J34" s="386" t="s">
        <v>31</v>
      </c>
      <c r="K34" s="380">
        <f>D33</f>
        <v>24</v>
      </c>
      <c r="L34" s="379">
        <f>MOD(K34-1,9)+1</f>
        <v>6</v>
      </c>
      <c r="M34" s="380" t="str">
        <f>INDEX($AH$2:$AQ$11,MATCH(L34,$AH$2:$AQ$2,0),MATCH($L$31,$AH$2:$AH$11,0))</f>
        <v>G</v>
      </c>
      <c r="N34" s="380" t="str">
        <f ca="1">INDEX($AH$2:$AQ$11,MATCH(L34,$AH$2:$AQ$2,0),MATCH($L$32,$AH$2:$AH$11,0))</f>
        <v>G</v>
      </c>
      <c r="O34" s="385"/>
      <c r="Q34" s="483">
        <v>7</v>
      </c>
      <c r="R34" s="407">
        <f ca="1">MasterTables!CF48</f>
        <v>0</v>
      </c>
      <c r="S34" s="407">
        <f ca="1">MasterTables!CG48</f>
        <v>7</v>
      </c>
      <c r="T34" s="496"/>
      <c r="U34" s="410">
        <f>MasterTables!BX48</f>
        <v>0</v>
      </c>
      <c r="GB34" s="17">
        <v>38</v>
      </c>
      <c r="GC34" s="28" t="s">
        <v>64</v>
      </c>
      <c r="GR34" s="17" t="s">
        <v>56</v>
      </c>
      <c r="GS34" s="17">
        <v>6</v>
      </c>
      <c r="GU34" s="17">
        <v>21</v>
      </c>
      <c r="GV34" s="28" t="s">
        <v>67</v>
      </c>
      <c r="GX34" s="17"/>
      <c r="GY34" s="17"/>
      <c r="GZ34" s="28">
        <f ca="1">COUNTIFS(C35:T35,GZ30)</f>
        <v>0</v>
      </c>
      <c r="HA34" s="28">
        <f ca="1">COUNTIFS(C35:T35,HA30)</f>
        <v>0</v>
      </c>
      <c r="HB34" s="28">
        <f ca="1">COUNTIFS(C35:T35,HB30)</f>
        <v>0</v>
      </c>
      <c r="HC34" s="28">
        <f ca="1">COUNTIFS(C35:T35,HC30)</f>
        <v>0</v>
      </c>
      <c r="HD34" s="28">
        <f ca="1">COUNTIFS(C35:T35,HD30)</f>
        <v>0</v>
      </c>
      <c r="HG34" s="29">
        <v>43852</v>
      </c>
      <c r="HH34" s="30" t="str">
        <f t="shared" si="3"/>
        <v>22-Jan</v>
      </c>
      <c r="HI34" s="30" t="s">
        <v>114</v>
      </c>
      <c r="HJ34" s="16" t="s">
        <v>132</v>
      </c>
      <c r="HK34" s="16" t="str">
        <f t="shared" si="2"/>
        <v>Aquarius - Air</v>
      </c>
    </row>
    <row r="35" spans="1:219" ht="15" thickBot="1">
      <c r="D35" s="502" t="s">
        <v>211</v>
      </c>
      <c r="E35" s="269">
        <f ca="1">IF($N$5&gt;35,(MOD(L32+L34-1,9)+1),0)</f>
        <v>8</v>
      </c>
      <c r="J35" s="386" t="s">
        <v>32</v>
      </c>
      <c r="K35" s="380">
        <f>MasterTables!AQ19</f>
        <v>7</v>
      </c>
      <c r="L35" s="379">
        <f>MOD(K35-1,9)+1</f>
        <v>7</v>
      </c>
      <c r="M35" s="380" t="str">
        <f>INDEX($AH$2:$AQ$11,MATCH(L35,$AH$2:$AQ$2,0),MATCH($L$31,$AH$2:$AH$11,0))</f>
        <v>VG</v>
      </c>
      <c r="N35" s="380" t="str">
        <f ca="1">INDEX($AH$2:$AQ$11,MATCH(L35,$AH$2:$AQ$2,0),MATCH($L$32,$AH$2:$AH$11,0))</f>
        <v>VG</v>
      </c>
      <c r="O35" s="385"/>
      <c r="Q35" s="483">
        <v>8</v>
      </c>
      <c r="R35" s="407">
        <f ca="1">MasterTables!CF49</f>
        <v>0</v>
      </c>
      <c r="S35" s="407">
        <f ca="1">MasterTables!CG49</f>
        <v>8</v>
      </c>
      <c r="T35" s="496"/>
      <c r="U35" s="410">
        <f>MasterTables!BX49</f>
        <v>0</v>
      </c>
      <c r="GB35" s="17">
        <v>39</v>
      </c>
      <c r="GC35" s="28" t="s">
        <v>64</v>
      </c>
      <c r="GR35" s="17" t="s">
        <v>62</v>
      </c>
      <c r="GS35" s="17">
        <v>6</v>
      </c>
      <c r="GU35" s="17">
        <v>22</v>
      </c>
      <c r="GV35" s="28" t="s">
        <v>23</v>
      </c>
      <c r="GX35" s="17"/>
      <c r="GY35" s="17"/>
      <c r="GZ35" s="28"/>
      <c r="HA35" s="28"/>
      <c r="HB35" s="28"/>
      <c r="HC35" s="28"/>
      <c r="HD35" s="28"/>
      <c r="HG35" s="29">
        <v>43853</v>
      </c>
      <c r="HH35" s="30" t="str">
        <f t="shared" si="3"/>
        <v>23-Jan</v>
      </c>
      <c r="HI35" s="30" t="s">
        <v>114</v>
      </c>
      <c r="HJ35" s="16" t="s">
        <v>132</v>
      </c>
      <c r="HK35" s="16" t="str">
        <f t="shared" si="2"/>
        <v>Aquarius - Air</v>
      </c>
    </row>
    <row r="36" spans="1:219" ht="15" thickBot="1">
      <c r="J36" s="387" t="s">
        <v>35</v>
      </c>
      <c r="K36" s="388">
        <f>K34-K35</f>
        <v>17</v>
      </c>
      <c r="L36" s="389">
        <f>MOD(K36-1,9)+1</f>
        <v>8</v>
      </c>
      <c r="M36" s="388" t="str">
        <f>INDEX($AH$2:$AQ$11,MATCH(L36,$AH$2:$AQ$2,0),MATCH($L$31,$AH$2:$AH$11,0))</f>
        <v>A</v>
      </c>
      <c r="N36" s="388" t="str">
        <f ca="1">INDEX($AH$2:$AQ$11,MATCH(L36,$AH$2:$AQ$2,0),MATCH($L$32,$AH$2:$AH$11,0))</f>
        <v>A</v>
      </c>
      <c r="O36" s="390"/>
      <c r="Q36" s="483">
        <v>9</v>
      </c>
      <c r="R36" s="407">
        <f ca="1">MasterTables!CF50</f>
        <v>9</v>
      </c>
      <c r="S36" s="407">
        <f ca="1">MasterTables!CG50</f>
        <v>0</v>
      </c>
      <c r="T36" s="496"/>
      <c r="U36" s="496">
        <f>MasterTables!BX50</f>
        <v>0</v>
      </c>
      <c r="GB36" s="17">
        <v>41</v>
      </c>
      <c r="GC36" s="46" t="s">
        <v>20</v>
      </c>
      <c r="GR36" s="17" t="s">
        <v>23</v>
      </c>
      <c r="GS36" s="17">
        <v>5</v>
      </c>
      <c r="GU36" s="17">
        <v>23</v>
      </c>
      <c r="GV36" s="28" t="s">
        <v>67</v>
      </c>
      <c r="GX36" s="16" t="s">
        <v>34</v>
      </c>
      <c r="GY36" s="17">
        <f>(GZ36*GZ37)+(HA36*HA37)+(HB36*HB37)+(HC36*HC37)+(HD36*HD37)</f>
        <v>0</v>
      </c>
      <c r="GZ36" s="39">
        <f>IFERROR((HLOOKUP(GZ30,C37:T38,2,0)),0)</f>
        <v>0</v>
      </c>
      <c r="HA36" s="39">
        <f>IFERROR((HLOOKUP(HA30,C37:T38,2,0)),0)</f>
        <v>0</v>
      </c>
      <c r="HB36" s="39">
        <f>IFERROR((HLOOKUP(HB30,C37:T38,2,0)),0)</f>
        <v>0</v>
      </c>
      <c r="HC36" s="39">
        <f>IFERROR((HLOOKUP(HC30,C37:T38,2,0)),0)</f>
        <v>0</v>
      </c>
      <c r="HD36" s="39">
        <f>IFERROR((HLOOKUP(HD30,C37:T38,2,0)),0)</f>
        <v>0</v>
      </c>
      <c r="HG36" s="29">
        <v>43854</v>
      </c>
      <c r="HH36" s="30" t="str">
        <f t="shared" si="3"/>
        <v>24-Jan</v>
      </c>
      <c r="HI36" s="30" t="s">
        <v>114</v>
      </c>
      <c r="HJ36" s="16" t="s">
        <v>132</v>
      </c>
      <c r="HK36" s="16" t="str">
        <f t="shared" si="2"/>
        <v>Aquarius - Air</v>
      </c>
    </row>
    <row r="37" spans="1:219">
      <c r="GB37" s="17">
        <v>42</v>
      </c>
      <c r="GC37" s="46" t="s">
        <v>20</v>
      </c>
      <c r="GR37" s="17" t="s">
        <v>48</v>
      </c>
      <c r="GS37" s="17">
        <v>1</v>
      </c>
      <c r="GU37" s="17">
        <v>24</v>
      </c>
      <c r="GV37" s="28" t="s">
        <v>67</v>
      </c>
      <c r="GZ37" s="28">
        <f>COUNTIFS(C37:T37,GZ30)</f>
        <v>0</v>
      </c>
      <c r="HA37" s="28">
        <f>COUNTIFS(C37:T37,HA30)</f>
        <v>0</v>
      </c>
      <c r="HB37" s="28">
        <f>COUNTIFS(C37:T37,HB30)</f>
        <v>0</v>
      </c>
      <c r="HC37" s="28">
        <f>COUNTIFS(C37:T37,HC30)</f>
        <v>0</v>
      </c>
      <c r="HD37" s="28">
        <f>COUNTIFS(C37:T37,HD30)</f>
        <v>0</v>
      </c>
      <c r="HG37" s="29">
        <v>43855</v>
      </c>
      <c r="HH37" s="30" t="str">
        <f t="shared" si="3"/>
        <v>25-Jan</v>
      </c>
      <c r="HI37" s="30" t="s">
        <v>114</v>
      </c>
      <c r="HJ37" s="16" t="s">
        <v>132</v>
      </c>
      <c r="HK37" s="16" t="str">
        <f t="shared" si="2"/>
        <v>Aquarius - Air</v>
      </c>
    </row>
    <row r="38" spans="1:219" ht="15" thickBot="1">
      <c r="Q38" s="408" t="s">
        <v>15</v>
      </c>
      <c r="R38" s="408" t="s">
        <v>194</v>
      </c>
      <c r="S38" s="408" t="s">
        <v>195</v>
      </c>
      <c r="T38" s="496"/>
      <c r="U38" s="409" t="s">
        <v>198</v>
      </c>
      <c r="GB38" s="17">
        <v>43</v>
      </c>
      <c r="GC38" s="46" t="s">
        <v>20</v>
      </c>
      <c r="GR38" s="17" t="s">
        <v>57</v>
      </c>
      <c r="GS38" s="17">
        <v>7</v>
      </c>
      <c r="GU38" s="17">
        <v>25</v>
      </c>
      <c r="GV38" s="46" t="s">
        <v>33</v>
      </c>
      <c r="HG38" s="29">
        <v>43856</v>
      </c>
      <c r="HH38" s="30" t="str">
        <f t="shared" si="3"/>
        <v>26-Jan</v>
      </c>
      <c r="HI38" s="30" t="s">
        <v>114</v>
      </c>
      <c r="HJ38" s="16" t="s">
        <v>132</v>
      </c>
      <c r="HK38" s="16" t="str">
        <f t="shared" si="2"/>
        <v>Aquarius - Air</v>
      </c>
    </row>
    <row r="39" spans="1:219" ht="15" thickBot="1">
      <c r="A39" s="709" t="s">
        <v>192</v>
      </c>
      <c r="B39" s="710"/>
      <c r="C39" s="12"/>
      <c r="D39" s="259"/>
      <c r="E39" s="489"/>
      <c r="F39" s="12"/>
      <c r="G39" s="490"/>
      <c r="H39" s="54"/>
      <c r="I39" s="54"/>
      <c r="J39" s="391"/>
      <c r="K39" s="392"/>
      <c r="L39" s="392"/>
      <c r="M39" s="707" t="s">
        <v>242</v>
      </c>
      <c r="N39" s="708"/>
      <c r="O39" s="491"/>
      <c r="Q39" s="483">
        <v>1</v>
      </c>
      <c r="R39" s="407">
        <f ca="1">MasterTables!CF63</f>
        <v>0</v>
      </c>
      <c r="S39" s="407">
        <f>MasterTables!CG63</f>
        <v>0</v>
      </c>
      <c r="T39" s="496"/>
      <c r="U39" s="410">
        <f>MasterTables!BX63</f>
        <v>5</v>
      </c>
      <c r="GB39" s="17">
        <v>45</v>
      </c>
      <c r="GC39" s="28" t="s">
        <v>64</v>
      </c>
      <c r="GR39" s="213" t="s">
        <v>173</v>
      </c>
      <c r="GS39" s="17">
        <v>1</v>
      </c>
      <c r="GU39" s="17">
        <v>26</v>
      </c>
      <c r="GV39" s="28" t="s">
        <v>23</v>
      </c>
      <c r="GX39" s="17" t="s">
        <v>44</v>
      </c>
      <c r="GY39" s="17">
        <f ca="1">(GZ39*GZ40)+(HA39*HA40)+(HB39*HB40)+(HC39*HC40)+(HD39*HD40)</f>
        <v>0</v>
      </c>
      <c r="GZ39" s="39">
        <f ca="1">IFERROR((HLOOKUP(GZ30,C39:T40,2,0)),0)</f>
        <v>0</v>
      </c>
      <c r="HA39" s="39">
        <f ca="1">IFERROR((HLOOKUP(HA30,C39:T40,2,0)),0)</f>
        <v>0</v>
      </c>
      <c r="HB39" s="39">
        <f ca="1">IFERROR((HLOOKUP(HB30,C39:T40,2,0)),0)</f>
        <v>0</v>
      </c>
      <c r="HC39" s="39">
        <f ca="1">IFERROR((HLOOKUP(HC30,C39:T40,2,0)),0)</f>
        <v>0</v>
      </c>
      <c r="HD39" s="39">
        <f ca="1">IFERROR((HLOOKUP(HD30,C39:T40,2,0)),0)</f>
        <v>0</v>
      </c>
      <c r="HG39" s="29">
        <v>43857</v>
      </c>
      <c r="HH39" s="30" t="str">
        <f t="shared" si="3"/>
        <v>27-Jan</v>
      </c>
      <c r="HI39" s="30" t="s">
        <v>114</v>
      </c>
      <c r="HJ39" s="16" t="s">
        <v>132</v>
      </c>
      <c r="HK39" s="16" t="str">
        <f t="shared" si="2"/>
        <v>Aquarius - Air</v>
      </c>
    </row>
    <row r="40" spans="1:219" ht="15" thickBot="1">
      <c r="A40" s="31" t="s">
        <v>17</v>
      </c>
      <c r="B40" s="429" t="s">
        <v>295</v>
      </c>
      <c r="C40" s="21"/>
      <c r="D40" s="493">
        <f>MasterTables!AM23</f>
        <v>23</v>
      </c>
      <c r="E40" s="494">
        <f>IF(D40&lt;10,D40,((LEFT(D40,1))+(RIGHT(D40,1))))</f>
        <v>5</v>
      </c>
      <c r="F40" s="495" t="s">
        <v>24</v>
      </c>
      <c r="G40" s="449" t="str">
        <f>MasterTables!AP23</f>
        <v>*</v>
      </c>
      <c r="J40" s="382" t="s">
        <v>199</v>
      </c>
      <c r="K40" s="142"/>
      <c r="L40" s="142"/>
      <c r="M40" s="378" t="s">
        <v>12</v>
      </c>
      <c r="N40" s="378" t="s">
        <v>13</v>
      </c>
      <c r="O40" s="383"/>
      <c r="Q40" s="483">
        <v>2</v>
      </c>
      <c r="R40" s="407">
        <f>MasterTables!CF64</f>
        <v>0</v>
      </c>
      <c r="S40" s="407">
        <f>MasterTables!CG64</f>
        <v>0</v>
      </c>
      <c r="T40" s="496"/>
      <c r="U40" s="410">
        <f>MasterTables!BX64</f>
        <v>1</v>
      </c>
      <c r="GB40" s="17">
        <v>46</v>
      </c>
      <c r="GC40" s="28" t="s">
        <v>64</v>
      </c>
      <c r="GD40" s="533"/>
      <c r="GE40" s="533"/>
      <c r="GR40" s="213" t="s">
        <v>174</v>
      </c>
      <c r="GS40" s="17">
        <v>2</v>
      </c>
      <c r="GU40" s="17">
        <v>27</v>
      </c>
      <c r="GV40" s="46" t="s">
        <v>33</v>
      </c>
      <c r="GX40" s="17"/>
      <c r="GY40" s="17"/>
      <c r="GZ40" s="28">
        <f ca="1">COUNTIFS(C39:T39,GZ30)</f>
        <v>0</v>
      </c>
      <c r="HA40" s="28">
        <f ca="1">COUNTIFS(C39:T39,HA30)</f>
        <v>0</v>
      </c>
      <c r="HB40" s="28">
        <f ca="1">COUNTIFS(C39:T39,HB30)</f>
        <v>0</v>
      </c>
      <c r="HC40" s="28">
        <f ca="1">COUNTIFS(C39:T39,HC30)</f>
        <v>0</v>
      </c>
      <c r="HD40" s="28">
        <f ca="1">COUNTIFS(C39:T39,HD30)</f>
        <v>0</v>
      </c>
      <c r="HG40" s="29">
        <v>43858</v>
      </c>
      <c r="HH40" s="30" t="str">
        <f t="shared" si="3"/>
        <v>28-Jan</v>
      </c>
      <c r="HI40" s="30" t="s">
        <v>114</v>
      </c>
      <c r="HJ40" s="16" t="s">
        <v>132</v>
      </c>
      <c r="HK40" s="16" t="str">
        <f t="shared" si="2"/>
        <v>Aquarius - Air</v>
      </c>
    </row>
    <row r="41" spans="1:219">
      <c r="A41" s="31" t="s">
        <v>30</v>
      </c>
      <c r="B41" s="429" t="s">
        <v>298</v>
      </c>
      <c r="C41" s="21"/>
      <c r="D41" s="498">
        <f>MasterTables!AM25</f>
        <v>10</v>
      </c>
      <c r="E41" s="50">
        <f t="shared" ref="E41:E42" si="14">IF(D41&lt;10,D41,((LEFT(D41,1))+(RIGHT(D41,1))))</f>
        <v>1</v>
      </c>
      <c r="F41" s="499"/>
      <c r="G41" s="73"/>
      <c r="J41" s="384" t="s">
        <v>18</v>
      </c>
      <c r="K41" s="142"/>
      <c r="L41" s="379">
        <f>C6</f>
        <v>2</v>
      </c>
      <c r="M41" s="142">
        <f ca="1">IF(N5&lt;=35,"Active",0)</f>
        <v>0</v>
      </c>
      <c r="N41" s="378" t="str">
        <f ca="1">IF(N5&gt;35,"Active",0)</f>
        <v>Active</v>
      </c>
      <c r="O41" s="327"/>
      <c r="Q41" s="483">
        <v>3</v>
      </c>
      <c r="R41" s="407">
        <f ca="1">MasterTables!CF65</f>
        <v>0</v>
      </c>
      <c r="S41" s="407">
        <f>MasterTables!CG65</f>
        <v>0</v>
      </c>
      <c r="T41" s="496"/>
      <c r="U41" s="410">
        <f>MasterTables!BX65</f>
        <v>2</v>
      </c>
      <c r="GB41" s="17">
        <v>47</v>
      </c>
      <c r="GC41" s="28" t="s">
        <v>64</v>
      </c>
      <c r="GR41" s="214" t="s">
        <v>175</v>
      </c>
      <c r="GS41" s="69">
        <v>3</v>
      </c>
      <c r="GU41" s="17">
        <v>28</v>
      </c>
      <c r="GV41" s="28" t="s">
        <v>23</v>
      </c>
      <c r="HG41" s="29">
        <v>43859</v>
      </c>
      <c r="HH41" s="30" t="str">
        <f t="shared" si="3"/>
        <v>29-Jan</v>
      </c>
      <c r="HI41" s="30" t="s">
        <v>114</v>
      </c>
      <c r="HJ41" s="16" t="s">
        <v>132</v>
      </c>
      <c r="HK41" s="16" t="str">
        <f t="shared" si="2"/>
        <v>Aquarius - Air</v>
      </c>
    </row>
    <row r="42" spans="1:219" ht="15" thickBot="1">
      <c r="A42" s="31" t="s">
        <v>37</v>
      </c>
      <c r="B42" s="429"/>
      <c r="C42" s="21"/>
      <c r="D42" s="498">
        <f>MasterTables!AM27</f>
        <v>0</v>
      </c>
      <c r="E42" s="50">
        <f t="shared" si="14"/>
        <v>0</v>
      </c>
      <c r="F42" s="499"/>
      <c r="G42" s="73"/>
      <c r="J42" s="384" t="s">
        <v>25</v>
      </c>
      <c r="K42" s="142"/>
      <c r="L42" s="379">
        <f ca="1">C7</f>
        <v>2</v>
      </c>
      <c r="M42" s="142"/>
      <c r="N42" s="142"/>
      <c r="O42" s="327"/>
      <c r="Q42" s="483">
        <v>4</v>
      </c>
      <c r="R42" s="407">
        <f ca="1">MasterTables!CF66</f>
        <v>0</v>
      </c>
      <c r="S42" s="407">
        <f>MasterTables!CG66</f>
        <v>0</v>
      </c>
      <c r="T42" s="496"/>
      <c r="U42" s="410">
        <f>MasterTables!BX66</f>
        <v>1</v>
      </c>
      <c r="GB42" s="17">
        <v>50</v>
      </c>
      <c r="GC42" s="28" t="s">
        <v>64</v>
      </c>
      <c r="GR42" s="213" t="s">
        <v>176</v>
      </c>
      <c r="GS42" s="17">
        <v>4</v>
      </c>
      <c r="GU42" s="17">
        <v>29</v>
      </c>
      <c r="GV42" s="28" t="s">
        <v>23</v>
      </c>
      <c r="HG42" s="29">
        <v>43860</v>
      </c>
      <c r="HH42" s="30" t="str">
        <f t="shared" si="3"/>
        <v>30-Jan</v>
      </c>
      <c r="HI42" s="30" t="s">
        <v>114</v>
      </c>
      <c r="HJ42" s="16" t="s">
        <v>132</v>
      </c>
      <c r="HK42" s="16" t="str">
        <f t="shared" si="2"/>
        <v>Aquarius - Air</v>
      </c>
    </row>
    <row r="43" spans="1:219" ht="15" thickBot="1">
      <c r="A43" s="58"/>
      <c r="B43" s="87"/>
      <c r="C43" s="59"/>
      <c r="D43" s="493">
        <f>SUM(D40:D42)</f>
        <v>33</v>
      </c>
      <c r="E43" s="494">
        <f>SUM(E40:E42)</f>
        <v>6</v>
      </c>
      <c r="F43" s="495" t="s">
        <v>31</v>
      </c>
      <c r="G43" s="449" t="str">
        <f>MasterTables!AP28</f>
        <v>√</v>
      </c>
      <c r="J43" s="384" t="s">
        <v>24</v>
      </c>
      <c r="K43" s="380">
        <f>D40</f>
        <v>23</v>
      </c>
      <c r="L43" s="379">
        <f>MOD(K43-1,9)+1</f>
        <v>5</v>
      </c>
      <c r="M43" s="380" t="str">
        <f>INDEX($AH$2:$AQ$11,MATCH(L43,$AH$2:$AQ$2,0),MATCH($L$17,$AH$2:$AH$11,0))</f>
        <v>F</v>
      </c>
      <c r="N43" s="380" t="str">
        <f ca="1">INDEX($AH$2:$AQ$11,MATCH(L43,$AH$2:$AQ$2,0),MATCH($L$18,$AH$2:$AH$11,0))</f>
        <v>F</v>
      </c>
      <c r="O43" s="385"/>
      <c r="Q43" s="483">
        <v>5</v>
      </c>
      <c r="R43" s="407">
        <f ca="1">MasterTables!CF67</f>
        <v>0</v>
      </c>
      <c r="S43" s="407">
        <f>MasterTables!CG67</f>
        <v>0</v>
      </c>
      <c r="T43" s="496"/>
      <c r="U43" s="410">
        <f>MasterTables!BX67</f>
        <v>2</v>
      </c>
      <c r="GB43" s="17">
        <v>51</v>
      </c>
      <c r="GC43" s="28" t="s">
        <v>64</v>
      </c>
      <c r="GR43" s="213" t="s">
        <v>177</v>
      </c>
      <c r="GS43" s="17">
        <v>5</v>
      </c>
      <c r="GU43" s="17">
        <v>30</v>
      </c>
      <c r="GV43" s="28" t="s">
        <v>67</v>
      </c>
      <c r="HG43" s="29">
        <v>43861</v>
      </c>
      <c r="HH43" s="30" t="str">
        <f t="shared" si="3"/>
        <v>31-Jan</v>
      </c>
      <c r="HI43" s="30" t="s">
        <v>114</v>
      </c>
      <c r="HJ43" s="16" t="s">
        <v>132</v>
      </c>
      <c r="HK43" s="16" t="str">
        <f t="shared" si="2"/>
        <v>Aquarius - Air</v>
      </c>
    </row>
    <row r="44" spans="1:219" ht="15" thickBot="1">
      <c r="J44" s="386" t="s">
        <v>31</v>
      </c>
      <c r="K44" s="380">
        <f>D43</f>
        <v>33</v>
      </c>
      <c r="L44" s="379">
        <f>MOD(K44-1,9)+1</f>
        <v>6</v>
      </c>
      <c r="M44" s="380" t="str">
        <f>INDEX($AH$2:$AQ$11,MATCH(L44,$AH$2:$AQ$2,0),MATCH($L$17,$AH$2:$AH$11,0))</f>
        <v>G</v>
      </c>
      <c r="N44" s="380" t="str">
        <f ca="1">INDEX($AH$2:$AQ$11,MATCH(L44,$AH$2:$AQ$2,0),MATCH($L$18,$AH$2:$AH$11,0))</f>
        <v>G</v>
      </c>
      <c r="O44" s="385"/>
      <c r="Q44" s="483">
        <v>6</v>
      </c>
      <c r="R44" s="407">
        <f ca="1">MasterTables!CF68</f>
        <v>0</v>
      </c>
      <c r="S44" s="407">
        <f>MasterTables!CG68</f>
        <v>0</v>
      </c>
      <c r="T44" s="496"/>
      <c r="U44" s="410">
        <f>MasterTables!BX68</f>
        <v>1</v>
      </c>
      <c r="GB44" s="17">
        <v>52</v>
      </c>
      <c r="GC44" s="28" t="s">
        <v>64</v>
      </c>
      <c r="GR44" s="213" t="s">
        <v>178</v>
      </c>
      <c r="GS44" s="17">
        <v>6</v>
      </c>
      <c r="GU44" s="17">
        <v>31</v>
      </c>
      <c r="GV44" s="28" t="s">
        <v>23</v>
      </c>
      <c r="HG44" s="29">
        <v>43862</v>
      </c>
      <c r="HH44" s="30" t="str">
        <f t="shared" si="3"/>
        <v>01-Feb</v>
      </c>
      <c r="HI44" s="30" t="s">
        <v>114</v>
      </c>
      <c r="HJ44" s="16" t="s">
        <v>132</v>
      </c>
      <c r="HK44" s="16" t="str">
        <f t="shared" si="2"/>
        <v>Aquarius - Air</v>
      </c>
    </row>
    <row r="45" spans="1:219" ht="15" thickBot="1">
      <c r="D45" s="502" t="s">
        <v>211</v>
      </c>
      <c r="E45" s="269">
        <f ca="1">IF($N$5&gt;35,(MOD(L42+L44-1,9)+1),0)</f>
        <v>8</v>
      </c>
      <c r="J45" s="386" t="s">
        <v>32</v>
      </c>
      <c r="K45" s="380">
        <f>MasterTables!AQ29</f>
        <v>8</v>
      </c>
      <c r="L45" s="379">
        <f>MOD(K45-1,9)+1</f>
        <v>8</v>
      </c>
      <c r="M45" s="380" t="str">
        <f>INDEX($AH$2:$AQ$11,MATCH(L45,$AH$2:$AQ$2,0),MATCH($L$17,$AH$2:$AH$11,0))</f>
        <v>A</v>
      </c>
      <c r="N45" s="380" t="str">
        <f ca="1">INDEX($AH$2:$AQ$11,MATCH(L45,$AH$2:$AQ$2,0),MATCH($L$18,$AH$2:$AH$11,0))</f>
        <v>A</v>
      </c>
      <c r="O45" s="385"/>
      <c r="Q45" s="483">
        <v>7</v>
      </c>
      <c r="R45" s="407">
        <f ca="1">MasterTables!CF69</f>
        <v>0</v>
      </c>
      <c r="S45" s="407">
        <f ca="1">MasterTables!CG69</f>
        <v>7</v>
      </c>
      <c r="T45" s="496"/>
      <c r="U45" s="410">
        <f>MasterTables!BX69</f>
        <v>0</v>
      </c>
      <c r="GB45" s="16">
        <v>55</v>
      </c>
      <c r="GR45" s="213" t="s">
        <v>179</v>
      </c>
      <c r="GS45" s="17">
        <v>7</v>
      </c>
      <c r="GU45" s="17">
        <v>32</v>
      </c>
      <c r="GV45" s="46" t="s">
        <v>33</v>
      </c>
      <c r="HG45" s="29">
        <v>43863</v>
      </c>
      <c r="HH45" s="30" t="str">
        <f t="shared" si="3"/>
        <v>02-Feb</v>
      </c>
      <c r="HI45" s="30" t="s">
        <v>114</v>
      </c>
      <c r="HJ45" s="16" t="s">
        <v>132</v>
      </c>
      <c r="HK45" s="16" t="str">
        <f t="shared" si="2"/>
        <v>Aquarius - Air</v>
      </c>
    </row>
    <row r="46" spans="1:219" ht="15" thickBot="1">
      <c r="J46" s="387" t="s">
        <v>35</v>
      </c>
      <c r="K46" s="388">
        <f>K44-K45</f>
        <v>25</v>
      </c>
      <c r="L46" s="389">
        <f>MOD(K46-1,9)+1</f>
        <v>7</v>
      </c>
      <c r="M46" s="388" t="str">
        <f>INDEX($AH$2:$AQ$11,MATCH(L46,$AH$2:$AQ$2,0),MATCH($L$17,$AH$2:$AH$11,0))</f>
        <v>VG</v>
      </c>
      <c r="N46" s="388" t="str">
        <f ca="1">INDEX($AH$2:$AQ$11,MATCH(L46,$AH$2:$AQ$2,0),MATCH($L$18,$AH$2:$AH$11,0))</f>
        <v>VG</v>
      </c>
      <c r="O46" s="390"/>
      <c r="Q46" s="483">
        <v>8</v>
      </c>
      <c r="R46" s="407">
        <f ca="1">MasterTables!CF70</f>
        <v>0</v>
      </c>
      <c r="S46" s="407">
        <f ca="1">MasterTables!CG70</f>
        <v>8</v>
      </c>
      <c r="T46" s="496"/>
      <c r="U46" s="410">
        <f>MasterTables!BX70</f>
        <v>0</v>
      </c>
      <c r="GB46" s="16">
        <v>57</v>
      </c>
      <c r="GR46" s="213" t="s">
        <v>180</v>
      </c>
      <c r="GS46" s="17">
        <v>8</v>
      </c>
      <c r="GU46" s="17">
        <v>33</v>
      </c>
      <c r="GV46" s="46" t="s">
        <v>33</v>
      </c>
      <c r="HG46" s="29">
        <v>43864</v>
      </c>
      <c r="HH46" s="30" t="str">
        <f t="shared" si="3"/>
        <v>03-Feb</v>
      </c>
      <c r="HI46" s="30" t="s">
        <v>114</v>
      </c>
      <c r="HJ46" s="16" t="s">
        <v>132</v>
      </c>
      <c r="HK46" s="16" t="str">
        <f t="shared" si="2"/>
        <v>Aquarius - Air</v>
      </c>
    </row>
    <row r="47" spans="1:219">
      <c r="Q47" s="483">
        <v>9</v>
      </c>
      <c r="R47" s="407">
        <f ca="1">MasterTables!CF71</f>
        <v>9</v>
      </c>
      <c r="S47" s="407">
        <f ca="1">MasterTables!CG71</f>
        <v>0</v>
      </c>
      <c r="T47" s="496"/>
      <c r="U47" s="496">
        <f>MasterTables!BX71</f>
        <v>0</v>
      </c>
      <c r="GB47" s="16">
        <v>59</v>
      </c>
      <c r="GR47" s="213" t="s">
        <v>181</v>
      </c>
      <c r="GS47" s="17">
        <v>9</v>
      </c>
      <c r="GU47" s="17">
        <v>34</v>
      </c>
      <c r="GV47" s="28" t="s">
        <v>67</v>
      </c>
      <c r="HG47" s="29">
        <v>43865</v>
      </c>
      <c r="HH47" s="30" t="str">
        <f t="shared" si="3"/>
        <v>04-Feb</v>
      </c>
      <c r="HI47" s="30" t="s">
        <v>114</v>
      </c>
      <c r="HJ47" s="16" t="s">
        <v>132</v>
      </c>
      <c r="HK47" s="16" t="str">
        <f t="shared" si="2"/>
        <v>Aquarius - Air</v>
      </c>
    </row>
    <row r="48" spans="1:219">
      <c r="GB48" s="16">
        <v>60</v>
      </c>
      <c r="GR48" s="213" t="s">
        <v>182</v>
      </c>
      <c r="GS48" s="17">
        <v>0</v>
      </c>
      <c r="GU48" s="17">
        <v>35</v>
      </c>
      <c r="GV48" s="28" t="s">
        <v>23</v>
      </c>
      <c r="HG48" s="29">
        <v>43866</v>
      </c>
      <c r="HH48" s="30" t="str">
        <f t="shared" si="3"/>
        <v>05-Feb</v>
      </c>
      <c r="HI48" s="30" t="s">
        <v>114</v>
      </c>
      <c r="HJ48" s="16" t="s">
        <v>132</v>
      </c>
      <c r="HK48" s="16" t="str">
        <f t="shared" si="2"/>
        <v>Aquarius - Air</v>
      </c>
    </row>
    <row r="49" spans="1:219" ht="15" thickBot="1">
      <c r="Q49" s="408" t="s">
        <v>15</v>
      </c>
      <c r="R49" s="408" t="s">
        <v>194</v>
      </c>
      <c r="S49" s="408" t="s">
        <v>195</v>
      </c>
      <c r="T49" s="496"/>
      <c r="U49" s="409" t="s">
        <v>198</v>
      </c>
      <c r="V49" s="14"/>
      <c r="W49" s="14"/>
      <c r="GB49" s="16">
        <v>64</v>
      </c>
      <c r="GR49" s="16"/>
      <c r="GS49" s="16"/>
      <c r="GU49" s="17">
        <v>36</v>
      </c>
      <c r="GV49" s="46" t="s">
        <v>33</v>
      </c>
      <c r="HG49" s="29">
        <v>43867</v>
      </c>
      <c r="HH49" s="30" t="str">
        <f t="shared" si="3"/>
        <v>06-Feb</v>
      </c>
      <c r="HI49" s="30" t="s">
        <v>114</v>
      </c>
      <c r="HJ49" s="16" t="s">
        <v>132</v>
      </c>
      <c r="HK49" s="16" t="str">
        <f t="shared" si="2"/>
        <v>Aquarius - Air</v>
      </c>
    </row>
    <row r="50" spans="1:219" ht="15" customHeight="1" thickBot="1">
      <c r="A50" s="709" t="s">
        <v>193</v>
      </c>
      <c r="B50" s="710"/>
      <c r="C50" s="12"/>
      <c r="D50" s="259"/>
      <c r="E50" s="489"/>
      <c r="F50" s="12"/>
      <c r="G50" s="490"/>
      <c r="H50" s="54"/>
      <c r="I50" s="54"/>
      <c r="J50" s="391"/>
      <c r="K50" s="392"/>
      <c r="L50" s="392"/>
      <c r="M50" s="707" t="s">
        <v>243</v>
      </c>
      <c r="N50" s="708"/>
      <c r="O50" s="491"/>
      <c r="Q50" s="483">
        <v>1</v>
      </c>
      <c r="R50" s="407">
        <f ca="1">MasterTables!CF83</f>
        <v>1</v>
      </c>
      <c r="S50" s="407">
        <f ca="1">MasterTables!CG83</f>
        <v>0</v>
      </c>
      <c r="T50" s="496"/>
      <c r="U50" s="410">
        <f>MasterTables!BX83</f>
        <v>0</v>
      </c>
      <c r="V50" s="14"/>
      <c r="W50" s="14"/>
      <c r="GB50" s="16">
        <v>66</v>
      </c>
      <c r="GR50" s="16"/>
      <c r="GS50" s="16"/>
      <c r="GU50" s="17">
        <v>37</v>
      </c>
      <c r="GV50" s="46" t="s">
        <v>33</v>
      </c>
      <c r="HG50" s="29">
        <v>43868</v>
      </c>
      <c r="HH50" s="30" t="str">
        <f t="shared" si="3"/>
        <v>07-Feb</v>
      </c>
      <c r="HI50" s="30" t="s">
        <v>114</v>
      </c>
      <c r="HJ50" s="16" t="s">
        <v>132</v>
      </c>
      <c r="HK50" s="16" t="str">
        <f t="shared" si="2"/>
        <v>Aquarius - Air</v>
      </c>
    </row>
    <row r="51" spans="1:219" ht="15" thickBot="1">
      <c r="A51" s="31" t="s">
        <v>17</v>
      </c>
      <c r="B51" s="429"/>
      <c r="C51" s="21"/>
      <c r="D51" s="493">
        <f>MasterTables!AM33</f>
        <v>0</v>
      </c>
      <c r="E51" s="494">
        <f>IF(D51&lt;10,D51,((LEFT(D51,1))+(RIGHT(D51,1))))</f>
        <v>0</v>
      </c>
      <c r="F51" s="495" t="s">
        <v>24</v>
      </c>
      <c r="G51" s="449" t="e">
        <f>MasterTables!AP33</f>
        <v>#N/A</v>
      </c>
      <c r="J51" s="382" t="s">
        <v>200</v>
      </c>
      <c r="K51" s="142"/>
      <c r="L51" s="142"/>
      <c r="M51" s="378" t="s">
        <v>12</v>
      </c>
      <c r="N51" s="378" t="s">
        <v>13</v>
      </c>
      <c r="O51" s="383"/>
      <c r="Q51" s="483">
        <v>2</v>
      </c>
      <c r="R51" s="407">
        <f>MasterTables!CF84</f>
        <v>0</v>
      </c>
      <c r="S51" s="407">
        <f>MasterTables!CG84</f>
        <v>2</v>
      </c>
      <c r="T51" s="496"/>
      <c r="U51" s="410">
        <f>MasterTables!BX84</f>
        <v>0</v>
      </c>
      <c r="V51" s="14"/>
      <c r="W51" s="14"/>
      <c r="GB51" s="16">
        <v>68</v>
      </c>
      <c r="GR51" s="16"/>
      <c r="GS51" s="16"/>
      <c r="GU51" s="17">
        <v>38</v>
      </c>
      <c r="GV51" s="28" t="s">
        <v>67</v>
      </c>
      <c r="HG51" s="29">
        <v>43869</v>
      </c>
      <c r="HH51" s="30" t="str">
        <f t="shared" si="3"/>
        <v>08-Feb</v>
      </c>
      <c r="HI51" s="30" t="s">
        <v>114</v>
      </c>
      <c r="HJ51" s="16" t="s">
        <v>132</v>
      </c>
      <c r="HK51" s="16" t="str">
        <f t="shared" si="2"/>
        <v>Aquarius - Air</v>
      </c>
    </row>
    <row r="52" spans="1:219">
      <c r="A52" s="31" t="s">
        <v>30</v>
      </c>
      <c r="B52" s="429"/>
      <c r="C52" s="21"/>
      <c r="D52" s="498">
        <f>MasterTables!AM35</f>
        <v>0</v>
      </c>
      <c r="E52" s="50">
        <f t="shared" ref="E52:E53" si="15">IF(D52&lt;10,D52,((LEFT(D52,1))+(RIGHT(D52,1))))</f>
        <v>0</v>
      </c>
      <c r="F52" s="499"/>
      <c r="G52" s="73"/>
      <c r="J52" s="384" t="s">
        <v>18</v>
      </c>
      <c r="K52" s="142"/>
      <c r="L52" s="379">
        <f>C6</f>
        <v>2</v>
      </c>
      <c r="M52" s="142">
        <f ca="1">IF(N5&lt;=35,"Active",0)</f>
        <v>0</v>
      </c>
      <c r="N52" s="378" t="str">
        <f ca="1">IF(N5&gt;35,"Active",0)</f>
        <v>Active</v>
      </c>
      <c r="O52" s="327"/>
      <c r="Q52" s="483">
        <v>3</v>
      </c>
      <c r="R52" s="407">
        <f ca="1">MasterTables!CF85</f>
        <v>3</v>
      </c>
      <c r="S52" s="407">
        <f ca="1">MasterTables!CG85</f>
        <v>0</v>
      </c>
      <c r="T52" s="496"/>
      <c r="U52" s="410">
        <f>MasterTables!BX85</f>
        <v>0</v>
      </c>
      <c r="V52" s="14"/>
      <c r="W52" s="14"/>
      <c r="GB52" s="16">
        <v>69</v>
      </c>
      <c r="GU52" s="17">
        <v>39</v>
      </c>
      <c r="GV52" s="28" t="s">
        <v>67</v>
      </c>
      <c r="HG52" s="29">
        <v>43870</v>
      </c>
      <c r="HH52" s="30" t="str">
        <f t="shared" si="3"/>
        <v>09-Feb</v>
      </c>
      <c r="HI52" s="30" t="s">
        <v>114</v>
      </c>
      <c r="HJ52" s="16" t="s">
        <v>132</v>
      </c>
      <c r="HK52" s="16" t="str">
        <f t="shared" si="2"/>
        <v>Aquarius - Air</v>
      </c>
    </row>
    <row r="53" spans="1:219" ht="15" thickBot="1">
      <c r="A53" s="31" t="s">
        <v>37</v>
      </c>
      <c r="B53" s="429"/>
      <c r="C53" s="21"/>
      <c r="D53" s="498">
        <f>MasterTables!AM37</f>
        <v>0</v>
      </c>
      <c r="E53" s="50">
        <f t="shared" si="15"/>
        <v>0</v>
      </c>
      <c r="F53" s="499"/>
      <c r="G53" s="73"/>
      <c r="J53" s="384" t="s">
        <v>25</v>
      </c>
      <c r="K53" s="142"/>
      <c r="L53" s="379">
        <f ca="1">C7</f>
        <v>2</v>
      </c>
      <c r="M53" s="142"/>
      <c r="N53" s="142"/>
      <c r="O53" s="327"/>
      <c r="Q53" s="483">
        <v>4</v>
      </c>
      <c r="R53" s="407">
        <f ca="1">MasterTables!CF86</f>
        <v>4</v>
      </c>
      <c r="S53" s="407">
        <f ca="1">MasterTables!CG86</f>
        <v>0</v>
      </c>
      <c r="T53" s="496"/>
      <c r="U53" s="410">
        <f>MasterTables!BX86</f>
        <v>0</v>
      </c>
      <c r="V53" s="14"/>
      <c r="W53" s="14"/>
      <c r="GB53" s="16">
        <v>73</v>
      </c>
      <c r="GU53" s="17">
        <v>40</v>
      </c>
      <c r="GV53" s="28" t="s">
        <v>23</v>
      </c>
      <c r="HG53" s="29">
        <v>43871</v>
      </c>
      <c r="HH53" s="30" t="str">
        <f t="shared" si="3"/>
        <v>10-Feb</v>
      </c>
      <c r="HI53" s="30" t="s">
        <v>114</v>
      </c>
      <c r="HJ53" s="16" t="s">
        <v>132</v>
      </c>
      <c r="HK53" s="16" t="str">
        <f t="shared" si="2"/>
        <v>Aquarius - Air</v>
      </c>
    </row>
    <row r="54" spans="1:219" ht="15" thickBot="1">
      <c r="A54" s="58"/>
      <c r="B54" s="87"/>
      <c r="C54" s="59"/>
      <c r="D54" s="493">
        <f>SUM(D51:D53)</f>
        <v>0</v>
      </c>
      <c r="E54" s="494">
        <f>SUM(E51:E53)</f>
        <v>0</v>
      </c>
      <c r="F54" s="495" t="s">
        <v>31</v>
      </c>
      <c r="G54" s="449" t="e">
        <f>MasterTables!AP38</f>
        <v>#N/A</v>
      </c>
      <c r="J54" s="384" t="s">
        <v>24</v>
      </c>
      <c r="K54" s="380">
        <f>D51</f>
        <v>0</v>
      </c>
      <c r="L54" s="379">
        <f>MOD(K54-1,9)+1</f>
        <v>9</v>
      </c>
      <c r="M54" s="380" t="str">
        <f>INDEX($AH$2:$AQ$11,MATCH(L54,$AH$2:$AQ$2,0),MATCH($L$17,$AH$2:$AH$11,0))</f>
        <v>A</v>
      </c>
      <c r="N54" s="380" t="str">
        <f ca="1">INDEX($AH$2:$AQ$11,MATCH(L54,$AH$2:$AQ$2,0),MATCH($L$18,$AH$2:$AH$11,0))</f>
        <v>A</v>
      </c>
      <c r="O54" s="385"/>
      <c r="Q54" s="483">
        <v>5</v>
      </c>
      <c r="R54" s="407">
        <f ca="1">MasterTables!CF87</f>
        <v>5</v>
      </c>
      <c r="S54" s="407">
        <f ca="1">MasterTables!CG87</f>
        <v>0</v>
      </c>
      <c r="T54" s="496"/>
      <c r="U54" s="410">
        <f>MasterTables!BX87</f>
        <v>0</v>
      </c>
      <c r="V54" s="14"/>
      <c r="W54" s="14"/>
      <c r="GB54" s="16">
        <v>75</v>
      </c>
      <c r="GU54" s="17">
        <v>41</v>
      </c>
      <c r="GV54" s="46" t="s">
        <v>33</v>
      </c>
      <c r="HG54" s="29">
        <v>43872</v>
      </c>
      <c r="HH54" s="30" t="str">
        <f t="shared" si="3"/>
        <v>11-Feb</v>
      </c>
      <c r="HI54" s="30" t="s">
        <v>114</v>
      </c>
      <c r="HJ54" s="16" t="s">
        <v>132</v>
      </c>
      <c r="HK54" s="16" t="str">
        <f t="shared" si="2"/>
        <v>Aquarius - Air</v>
      </c>
    </row>
    <row r="55" spans="1:219" ht="15" thickBot="1">
      <c r="J55" s="386" t="s">
        <v>31</v>
      </c>
      <c r="K55" s="380">
        <f>D54</f>
        <v>0</v>
      </c>
      <c r="L55" s="379">
        <f>MOD(K55-1,9)+1</f>
        <v>9</v>
      </c>
      <c r="M55" s="380" t="str">
        <f>INDEX($AH$2:$AQ$11,MATCH(L55,$AH$2:$AQ$2,0),MATCH($L$17,$AH$2:$AH$11,0))</f>
        <v>A</v>
      </c>
      <c r="N55" s="380" t="str">
        <f ca="1">INDEX($AH$2:$AQ$11,MATCH(L55,$AH$2:$AQ$2,0),MATCH($L$18,$AH$2:$AH$11,0))</f>
        <v>A</v>
      </c>
      <c r="O55" s="385"/>
      <c r="Q55" s="483">
        <v>6</v>
      </c>
      <c r="R55" s="407">
        <f ca="1">MasterTables!CF88</f>
        <v>6</v>
      </c>
      <c r="S55" s="407">
        <f ca="1">MasterTables!CG88</f>
        <v>0</v>
      </c>
      <c r="T55" s="496"/>
      <c r="U55" s="410">
        <f>MasterTables!BX88</f>
        <v>0</v>
      </c>
      <c r="V55" s="14"/>
      <c r="W55" s="14"/>
      <c r="GB55" s="16">
        <v>77</v>
      </c>
      <c r="GU55" s="17">
        <v>42</v>
      </c>
      <c r="GV55" s="46" t="s">
        <v>33</v>
      </c>
      <c r="HG55" s="29">
        <v>43873</v>
      </c>
      <c r="HH55" s="30" t="str">
        <f t="shared" si="3"/>
        <v>12-Feb</v>
      </c>
      <c r="HI55" s="30" t="s">
        <v>114</v>
      </c>
      <c r="HJ55" s="16" t="s">
        <v>132</v>
      </c>
      <c r="HK55" s="16" t="str">
        <f t="shared" si="2"/>
        <v>Aquarius - Air</v>
      </c>
    </row>
    <row r="56" spans="1:219" ht="15" thickBot="1">
      <c r="D56" s="502" t="s">
        <v>211</v>
      </c>
      <c r="E56" s="269">
        <f ca="1">IF($N$5&gt;35,(MOD(L53+L55-1,9)+1),0)</f>
        <v>2</v>
      </c>
      <c r="J56" s="386" t="s">
        <v>32</v>
      </c>
      <c r="K56" s="380">
        <f>MasterTables!AQ39</f>
        <v>0</v>
      </c>
      <c r="L56" s="379">
        <f>MOD(K56-1,9)+1</f>
        <v>9</v>
      </c>
      <c r="M56" s="380" t="str">
        <f>INDEX($AH$2:$AQ$11,MATCH(L56,$AH$2:$AQ$2,0),MATCH($L$17,$AH$2:$AH$11,0))</f>
        <v>A</v>
      </c>
      <c r="N56" s="380" t="str">
        <f ca="1">INDEX($AH$2:$AQ$11,MATCH(L56,$AH$2:$AQ$2,0),MATCH($L$18,$AH$2:$AH$11,0))</f>
        <v>A</v>
      </c>
      <c r="O56" s="385"/>
      <c r="Q56" s="483">
        <v>7</v>
      </c>
      <c r="R56" s="407">
        <f ca="1">MasterTables!CF89</f>
        <v>7</v>
      </c>
      <c r="S56" s="407">
        <f ca="1">MasterTables!CG89</f>
        <v>0</v>
      </c>
      <c r="T56" s="496"/>
      <c r="U56" s="410">
        <f>MasterTables!BX89</f>
        <v>0</v>
      </c>
      <c r="V56" s="14"/>
      <c r="W56" s="14"/>
      <c r="GB56" s="16">
        <v>78</v>
      </c>
      <c r="GU56" s="17">
        <v>43</v>
      </c>
      <c r="GV56" s="46" t="s">
        <v>33</v>
      </c>
      <c r="HG56" s="29">
        <v>43874</v>
      </c>
      <c r="HH56" s="30" t="str">
        <f t="shared" si="3"/>
        <v>13-Feb</v>
      </c>
      <c r="HI56" s="30" t="s">
        <v>114</v>
      </c>
      <c r="HJ56" s="16" t="s">
        <v>132</v>
      </c>
      <c r="HK56" s="16" t="str">
        <f t="shared" si="2"/>
        <v>Aquarius - Air</v>
      </c>
    </row>
    <row r="57" spans="1:219" ht="15" thickBot="1">
      <c r="J57" s="387" t="s">
        <v>35</v>
      </c>
      <c r="K57" s="388">
        <f>K55-K56</f>
        <v>0</v>
      </c>
      <c r="L57" s="389">
        <f>MOD(K57-1,9)+1</f>
        <v>9</v>
      </c>
      <c r="M57" s="388" t="str">
        <f>INDEX($AH$2:$AQ$11,MATCH(L57,$AH$2:$AQ$2,0),MATCH($L$17,$AH$2:$AH$11,0))</f>
        <v>A</v>
      </c>
      <c r="N57" s="388" t="str">
        <f ca="1">INDEX($AH$2:$AQ$11,MATCH(L57,$AH$2:$AQ$2,0),MATCH($L$18,$AH$2:$AH$11,0))</f>
        <v>A</v>
      </c>
      <c r="O57" s="390"/>
      <c r="Q57" s="483">
        <v>8</v>
      </c>
      <c r="R57" s="407">
        <f ca="1">MasterTables!CF90</f>
        <v>8</v>
      </c>
      <c r="S57" s="407">
        <f ca="1">MasterTables!CG90</f>
        <v>0</v>
      </c>
      <c r="T57" s="496"/>
      <c r="U57" s="410">
        <f>MasterTables!BX90</f>
        <v>0</v>
      </c>
      <c r="V57" s="14"/>
      <c r="W57" s="14"/>
      <c r="GB57" s="16">
        <v>82</v>
      </c>
      <c r="GU57" s="17">
        <v>44</v>
      </c>
      <c r="GV57" s="28" t="s">
        <v>23</v>
      </c>
      <c r="HG57" s="29">
        <v>43875</v>
      </c>
      <c r="HH57" s="30" t="str">
        <f t="shared" si="3"/>
        <v>14-Feb</v>
      </c>
      <c r="HI57" s="30" t="s">
        <v>114</v>
      </c>
      <c r="HJ57" s="16" t="s">
        <v>132</v>
      </c>
      <c r="HK57" s="16" t="str">
        <f t="shared" si="2"/>
        <v>Aquarius - Air</v>
      </c>
    </row>
    <row r="58" spans="1:219">
      <c r="Q58" s="483">
        <v>9</v>
      </c>
      <c r="R58" s="407">
        <f ca="1">MasterTables!CF91</f>
        <v>0</v>
      </c>
      <c r="S58" s="407">
        <f ca="1">MasterTables!CG91</f>
        <v>9</v>
      </c>
      <c r="T58" s="496"/>
      <c r="U58" s="496">
        <f>MasterTables!BX91</f>
        <v>0</v>
      </c>
      <c r="V58" s="14"/>
      <c r="W58" s="14"/>
      <c r="GB58" s="16">
        <v>84</v>
      </c>
      <c r="GU58" s="17">
        <v>45</v>
      </c>
      <c r="GV58" s="28" t="s">
        <v>67</v>
      </c>
      <c r="HG58" s="29">
        <v>43876</v>
      </c>
      <c r="HH58" s="30" t="str">
        <f t="shared" si="3"/>
        <v>15-Feb</v>
      </c>
      <c r="HI58" s="30" t="s">
        <v>114</v>
      </c>
      <c r="HJ58" s="16" t="s">
        <v>132</v>
      </c>
      <c r="HK58" s="16" t="str">
        <f t="shared" si="2"/>
        <v>Aquarius - Air</v>
      </c>
    </row>
    <row r="59" spans="1:219">
      <c r="GB59" s="16">
        <v>86</v>
      </c>
      <c r="GU59" s="17">
        <v>46</v>
      </c>
      <c r="GV59" s="28" t="s">
        <v>67</v>
      </c>
      <c r="HG59" s="29">
        <v>43877</v>
      </c>
      <c r="HH59" s="30" t="str">
        <f t="shared" si="3"/>
        <v>16-Feb</v>
      </c>
      <c r="HI59" s="30" t="s">
        <v>114</v>
      </c>
      <c r="HJ59" s="16" t="s">
        <v>132</v>
      </c>
      <c r="HK59" s="16" t="str">
        <f t="shared" si="2"/>
        <v>Aquarius - Air</v>
      </c>
    </row>
    <row r="60" spans="1:219" ht="15" thickBot="1">
      <c r="GB60" s="16">
        <v>87</v>
      </c>
      <c r="GU60" s="17">
        <v>47</v>
      </c>
      <c r="GV60" s="28" t="s">
        <v>67</v>
      </c>
      <c r="HG60" s="29">
        <v>43878</v>
      </c>
      <c r="HH60" s="30" t="str">
        <f t="shared" si="3"/>
        <v>17-Feb</v>
      </c>
      <c r="HI60" s="30" t="s">
        <v>114</v>
      </c>
      <c r="HJ60" s="16" t="s">
        <v>132</v>
      </c>
      <c r="HK60" s="16" t="str">
        <f t="shared" si="2"/>
        <v>Aquarius - Air</v>
      </c>
    </row>
    <row r="61" spans="1:219" ht="15.5">
      <c r="A61" s="695" t="s">
        <v>70</v>
      </c>
      <c r="B61" s="696"/>
      <c r="C61" s="696"/>
      <c r="D61" s="723"/>
      <c r="GB61" s="16">
        <v>91</v>
      </c>
      <c r="GU61" s="17">
        <v>48</v>
      </c>
      <c r="GV61" s="28" t="s">
        <v>23</v>
      </c>
      <c r="HG61" s="29">
        <v>43879</v>
      </c>
      <c r="HH61" s="30" t="str">
        <f t="shared" si="3"/>
        <v>18-Feb</v>
      </c>
      <c r="HI61" s="30" t="s">
        <v>114</v>
      </c>
      <c r="HJ61" s="16" t="s">
        <v>132</v>
      </c>
      <c r="HK61" s="16" t="str">
        <f t="shared" si="2"/>
        <v>Aquarius - Air</v>
      </c>
    </row>
    <row r="62" spans="1:219">
      <c r="A62" s="76" t="s">
        <v>201</v>
      </c>
      <c r="B62" s="246">
        <f>ABS(C6-F6)</f>
        <v>1</v>
      </c>
      <c r="C62" s="57">
        <f>IF(LEN(B62)&gt;1,LEFT(B62,1)+RIGHT(B62,1),B62)</f>
        <v>1</v>
      </c>
      <c r="D62" s="411" t="s">
        <v>73</v>
      </c>
      <c r="GB62" s="16">
        <v>93</v>
      </c>
      <c r="GU62" s="17">
        <v>49</v>
      </c>
      <c r="GV62" s="28" t="s">
        <v>23</v>
      </c>
      <c r="HG62" s="29">
        <v>43880</v>
      </c>
      <c r="HH62" s="30" t="str">
        <f t="shared" si="3"/>
        <v>19-Feb</v>
      </c>
      <c r="HI62" s="30" t="s">
        <v>115</v>
      </c>
      <c r="HJ62" s="16" t="s">
        <v>131</v>
      </c>
      <c r="HK62" s="16" t="str">
        <f t="shared" si="2"/>
        <v>Pisces - Water</v>
      </c>
    </row>
    <row r="63" spans="1:219">
      <c r="A63" s="76" t="s">
        <v>203</v>
      </c>
      <c r="B63" s="246">
        <f ca="1">ABS(C6-I6)</f>
        <v>6</v>
      </c>
      <c r="C63" s="57">
        <f ca="1">IF(LEN(B63)&gt;1,LEFT(B63,1)+RIGHT(B63,1),B63)</f>
        <v>6</v>
      </c>
      <c r="D63" s="411" t="s">
        <v>76</v>
      </c>
      <c r="GB63" s="16">
        <v>96</v>
      </c>
      <c r="GU63" s="17">
        <v>50</v>
      </c>
      <c r="GV63" s="28" t="s">
        <v>67</v>
      </c>
      <c r="HG63" s="29">
        <v>43881</v>
      </c>
      <c r="HH63" s="30" t="str">
        <f t="shared" si="3"/>
        <v>20-Feb</v>
      </c>
      <c r="HI63" s="30" t="s">
        <v>115</v>
      </c>
      <c r="HJ63" s="16" t="s">
        <v>131</v>
      </c>
      <c r="HK63" s="16" t="str">
        <f t="shared" si="2"/>
        <v>Pisces - Water</v>
      </c>
    </row>
    <row r="64" spans="1:219">
      <c r="A64" s="76" t="s">
        <v>204</v>
      </c>
      <c r="B64" s="246">
        <f ca="1">ABS(B62-B63)</f>
        <v>5</v>
      </c>
      <c r="C64" s="57">
        <f ca="1">IF(LEN(B64)&gt;1,LEFT(B64,1)+RIGHT(B64,1),B64)</f>
        <v>5</v>
      </c>
      <c r="D64" s="411" t="s">
        <v>78</v>
      </c>
      <c r="GB64" s="16">
        <v>100</v>
      </c>
      <c r="GU64" s="17">
        <v>51</v>
      </c>
      <c r="GV64" s="28" t="s">
        <v>67</v>
      </c>
      <c r="HG64" s="29">
        <v>43882</v>
      </c>
      <c r="HH64" s="30" t="str">
        <f t="shared" si="3"/>
        <v>21-Feb</v>
      </c>
      <c r="HI64" s="30" t="s">
        <v>115</v>
      </c>
      <c r="HJ64" s="16" t="s">
        <v>131</v>
      </c>
      <c r="HK64" s="16" t="str">
        <f t="shared" si="2"/>
        <v>Pisces - Water</v>
      </c>
    </row>
    <row r="65" spans="1:228" ht="15" thickBot="1">
      <c r="A65" s="84" t="s">
        <v>202</v>
      </c>
      <c r="B65" s="207">
        <f ca="1">ABS(F6-I6)</f>
        <v>7</v>
      </c>
      <c r="C65" s="85">
        <f ca="1">IF(LEN(B65)&gt;1,LEFT(B65,1)+RIGHT(B65,1),B65)</f>
        <v>7</v>
      </c>
      <c r="D65" s="412" t="s">
        <v>80</v>
      </c>
      <c r="GU65" s="17">
        <v>52</v>
      </c>
      <c r="GV65" s="28" t="s">
        <v>67</v>
      </c>
      <c r="HG65" s="29">
        <v>43883</v>
      </c>
      <c r="HH65" s="30" t="str">
        <f t="shared" si="3"/>
        <v>22-Feb</v>
      </c>
      <c r="HI65" s="30" t="s">
        <v>115</v>
      </c>
      <c r="HJ65" s="16" t="s">
        <v>131</v>
      </c>
      <c r="HK65" s="16" t="str">
        <f t="shared" si="2"/>
        <v>Pisces - Water</v>
      </c>
    </row>
    <row r="66" spans="1:228" ht="15" thickBot="1">
      <c r="HG66" s="29">
        <v>43884</v>
      </c>
      <c r="HH66" s="30" t="str">
        <f t="shared" si="3"/>
        <v>23-Feb</v>
      </c>
      <c r="HI66" s="30" t="s">
        <v>115</v>
      </c>
      <c r="HJ66" s="16" t="s">
        <v>131</v>
      </c>
      <c r="HK66" s="16" t="str">
        <f t="shared" si="2"/>
        <v>Pisces - Water</v>
      </c>
    </row>
    <row r="67" spans="1:228" ht="15.5">
      <c r="A67" s="79" t="s">
        <v>81</v>
      </c>
      <c r="B67" s="80"/>
      <c r="C67" s="80"/>
      <c r="D67" s="81" t="s">
        <v>133</v>
      </c>
      <c r="E67" s="82" t="s">
        <v>134</v>
      </c>
      <c r="HG67" s="29">
        <v>43885</v>
      </c>
      <c r="HH67" s="30" t="str">
        <f t="shared" si="3"/>
        <v>24-Feb</v>
      </c>
      <c r="HI67" s="30" t="s">
        <v>115</v>
      </c>
      <c r="HJ67" s="16" t="s">
        <v>131</v>
      </c>
      <c r="HK67" s="16" t="str">
        <f t="shared" si="2"/>
        <v>Pisces - Water</v>
      </c>
    </row>
    <row r="68" spans="1:228" ht="16" customHeight="1">
      <c r="A68" s="76" t="s">
        <v>82</v>
      </c>
      <c r="B68" s="57">
        <f>ABS(C6+F6)</f>
        <v>3</v>
      </c>
      <c r="C68" s="532">
        <f>MOD(B68-1,9)+1</f>
        <v>3</v>
      </c>
      <c r="D68" s="50">
        <v>0</v>
      </c>
      <c r="E68" s="83">
        <f ca="1">36-C7</f>
        <v>34</v>
      </c>
      <c r="HG68" s="29">
        <v>43886</v>
      </c>
      <c r="HH68" s="30" t="str">
        <f t="shared" si="3"/>
        <v>25-Feb</v>
      </c>
      <c r="HI68" s="30" t="s">
        <v>115</v>
      </c>
      <c r="HJ68" s="16" t="s">
        <v>131</v>
      </c>
      <c r="HK68" s="16" t="str">
        <f t="shared" si="2"/>
        <v>Pisces - Water</v>
      </c>
    </row>
    <row r="69" spans="1:228">
      <c r="A69" s="76" t="s">
        <v>83</v>
      </c>
      <c r="B69" s="57">
        <f ca="1">ABS(C6+I6)</f>
        <v>10</v>
      </c>
      <c r="C69" s="532">
        <f ca="1">MOD(B69-1,9)+1</f>
        <v>1</v>
      </c>
      <c r="D69" s="50">
        <f ca="1">IF(C7=1,36,IF(C7=2,35,IF(C7=3,34,IF(C7=4,33,IF(C7=5,32,IF(C7=6,31,IF(C7=7,30,IF(C7=8,29,IF(C7=9,28,0)))))))))</f>
        <v>35</v>
      </c>
      <c r="E69" s="83">
        <f ca="1">IF(C7=1,44,IF(C7=2,43,IF(C7=3,42,IF(C7=4,41,IF(C7=5,40,IF(C7=6,39,IF(C7=7,38,IF(C7=8,37,IF(C7=9,36,0)))))))))</f>
        <v>43</v>
      </c>
      <c r="HG69" s="29">
        <v>43887</v>
      </c>
      <c r="HH69" s="30" t="str">
        <f t="shared" si="3"/>
        <v>26-Feb</v>
      </c>
      <c r="HI69" s="30" t="s">
        <v>115</v>
      </c>
      <c r="HJ69" s="16" t="s">
        <v>131</v>
      </c>
      <c r="HK69" s="16" t="str">
        <f t="shared" si="2"/>
        <v>Pisces - Water</v>
      </c>
    </row>
    <row r="70" spans="1:228">
      <c r="A70" s="76" t="s">
        <v>84</v>
      </c>
      <c r="B70" s="57">
        <f ca="1">ABS(B68+B69)</f>
        <v>13</v>
      </c>
      <c r="C70" s="532">
        <f ca="1">MOD(B70-1,9)+1</f>
        <v>4</v>
      </c>
      <c r="D70" s="50">
        <f ca="1">E69+1</f>
        <v>44</v>
      </c>
      <c r="E70" s="83">
        <f ca="1">IF(C7=1,53,IF(C7=2,52,IF(C7=3,51,IF(C7=4,50,IF(C7=5,49,IF(C7=6,48,IF(C7=7,47,IF(C7=8,46,IF(C7=9,45,0)))))))))</f>
        <v>52</v>
      </c>
      <c r="GU70" s="16" t="s">
        <v>89</v>
      </c>
      <c r="GV70" s="91" t="s">
        <v>16</v>
      </c>
      <c r="HG70" s="29">
        <v>43888</v>
      </c>
      <c r="HH70" s="30" t="str">
        <f t="shared" si="3"/>
        <v>27-Feb</v>
      </c>
      <c r="HI70" s="30" t="s">
        <v>115</v>
      </c>
      <c r="HJ70" s="16" t="s">
        <v>131</v>
      </c>
      <c r="HK70" s="16" t="str">
        <f t="shared" si="2"/>
        <v>Pisces - Water</v>
      </c>
    </row>
    <row r="71" spans="1:228">
      <c r="A71" s="76" t="s">
        <v>85</v>
      </c>
      <c r="B71" s="57">
        <f ca="1">ABS(F6+I6)</f>
        <v>9</v>
      </c>
      <c r="C71" s="638">
        <f ca="1">MOD(B71-1,9)+1</f>
        <v>9</v>
      </c>
      <c r="D71" s="50">
        <f ca="1">E70+1</f>
        <v>53</v>
      </c>
      <c r="E71" s="83" t="s">
        <v>207</v>
      </c>
      <c r="G71"/>
      <c r="H71"/>
      <c r="I71"/>
      <c r="J71"/>
      <c r="K71"/>
      <c r="GU71" s="16">
        <v>1</v>
      </c>
      <c r="GV71" s="28" t="s">
        <v>67</v>
      </c>
      <c r="HG71" s="29">
        <v>43889</v>
      </c>
      <c r="HH71" s="30" t="str">
        <f t="shared" si="3"/>
        <v>28-Feb</v>
      </c>
      <c r="HI71" s="30" t="s">
        <v>115</v>
      </c>
      <c r="HJ71" s="16" t="s">
        <v>131</v>
      </c>
      <c r="HK71" s="16" t="str">
        <f t="shared" si="2"/>
        <v>Pisces - Water</v>
      </c>
    </row>
    <row r="72" spans="1:228">
      <c r="A72" s="21"/>
      <c r="B72" s="21"/>
      <c r="C72" s="21"/>
      <c r="D72" s="287"/>
      <c r="E72" s="50"/>
      <c r="F72" s="21"/>
      <c r="G72" s="21"/>
      <c r="H72" s="21"/>
      <c r="I72" s="21"/>
      <c r="GU72" s="16">
        <v>3</v>
      </c>
      <c r="GV72" s="28" t="s">
        <v>67</v>
      </c>
      <c r="HG72" s="29">
        <v>43890</v>
      </c>
      <c r="HH72" s="30" t="str">
        <f t="shared" si="3"/>
        <v>29-Feb</v>
      </c>
      <c r="HI72" s="30" t="s">
        <v>115</v>
      </c>
      <c r="HJ72" s="16" t="s">
        <v>131</v>
      </c>
      <c r="HK72" s="16" t="str">
        <f t="shared" si="2"/>
        <v>Pisces - Water</v>
      </c>
    </row>
    <row r="73" spans="1:228" ht="15" thickBot="1">
      <c r="A73" s="21"/>
      <c r="B73" s="21"/>
      <c r="C73" s="21"/>
      <c r="D73" s="287"/>
      <c r="E73" s="50"/>
      <c r="F73" s="21"/>
      <c r="G73" s="21"/>
      <c r="H73" s="21"/>
      <c r="I73" s="21"/>
      <c r="GU73" s="16">
        <v>5</v>
      </c>
      <c r="GV73" s="28" t="s">
        <v>67</v>
      </c>
      <c r="HG73" s="29">
        <v>43891</v>
      </c>
      <c r="HH73" s="30" t="str">
        <f t="shared" si="3"/>
        <v>01-Mar</v>
      </c>
      <c r="HI73" s="30" t="s">
        <v>115</v>
      </c>
      <c r="HJ73" s="16" t="s">
        <v>131</v>
      </c>
      <c r="HK73" s="16" t="str">
        <f t="shared" si="2"/>
        <v>Pisces - Water</v>
      </c>
    </row>
    <row r="74" spans="1:228" ht="15.5">
      <c r="A74" s="720" t="s">
        <v>258</v>
      </c>
      <c r="B74" s="721"/>
      <c r="C74" s="721"/>
      <c r="D74" s="721"/>
      <c r="E74" s="721"/>
      <c r="F74" s="721"/>
      <c r="G74" s="722"/>
      <c r="J74"/>
      <c r="K74"/>
      <c r="L74"/>
      <c r="M74"/>
      <c r="N74"/>
      <c r="O74"/>
      <c r="P74"/>
      <c r="Q74"/>
      <c r="GU74" s="16">
        <v>6</v>
      </c>
      <c r="GV74" s="28" t="s">
        <v>67</v>
      </c>
      <c r="HG74" s="29">
        <v>43892</v>
      </c>
      <c r="HH74" s="30" t="str">
        <f t="shared" si="3"/>
        <v>02-Mar</v>
      </c>
      <c r="HI74" s="30" t="s">
        <v>115</v>
      </c>
      <c r="HJ74" s="16" t="s">
        <v>131</v>
      </c>
      <c r="HK74" s="16" t="str">
        <f t="shared" si="2"/>
        <v>Pisces - Water</v>
      </c>
    </row>
    <row r="75" spans="1:228" ht="16" customHeight="1" thickBot="1">
      <c r="A75" s="641" t="s">
        <v>259</v>
      </c>
      <c r="B75" s="716" t="s">
        <v>261</v>
      </c>
      <c r="C75" s="717"/>
      <c r="D75" s="716" t="s">
        <v>260</v>
      </c>
      <c r="E75" s="717"/>
      <c r="F75" s="718" t="s">
        <v>262</v>
      </c>
      <c r="G75" s="719"/>
      <c r="H75"/>
      <c r="I75"/>
      <c r="J75"/>
      <c r="K75"/>
      <c r="L75"/>
      <c r="M75"/>
      <c r="N75"/>
      <c r="O75"/>
      <c r="P75"/>
      <c r="Q75"/>
      <c r="S75" s="393"/>
      <c r="GA75" s="49"/>
      <c r="GB75" s="49"/>
      <c r="GC75" s="49"/>
      <c r="GD75" s="30"/>
      <c r="GR75" s="16"/>
      <c r="GS75" s="16"/>
      <c r="GU75" s="17"/>
      <c r="GV75" s="17"/>
      <c r="GX75" s="16">
        <v>2</v>
      </c>
      <c r="GY75" s="46" t="s">
        <v>33</v>
      </c>
      <c r="HJ75" s="29">
        <v>43893</v>
      </c>
      <c r="HK75" s="30" t="str">
        <f t="shared" si="3"/>
        <v>03-Mar</v>
      </c>
      <c r="HL75" s="30" t="s">
        <v>115</v>
      </c>
      <c r="HM75" s="16" t="s">
        <v>131</v>
      </c>
      <c r="HN75" s="16" t="str">
        <f t="shared" si="2"/>
        <v>Pisces - Water</v>
      </c>
      <c r="HR75" s="30"/>
      <c r="HS75" s="30"/>
      <c r="HT75" s="30"/>
    </row>
    <row r="76" spans="1:228">
      <c r="A76" s="76">
        <f ca="1">C7</f>
        <v>2</v>
      </c>
      <c r="B76" s="644">
        <v>0</v>
      </c>
      <c r="C76" s="640"/>
      <c r="D76" s="645"/>
      <c r="E76" s="640"/>
      <c r="F76" s="645"/>
      <c r="G76" s="640" t="s">
        <v>263</v>
      </c>
      <c r="H76"/>
      <c r="I76"/>
      <c r="J76"/>
      <c r="K76"/>
      <c r="L76"/>
      <c r="M76"/>
      <c r="N76"/>
      <c r="O76"/>
      <c r="P76"/>
      <c r="Q76"/>
      <c r="S76" s="393"/>
      <c r="GA76" s="49"/>
      <c r="GB76" s="49"/>
      <c r="GC76" s="49"/>
      <c r="GD76" s="30"/>
      <c r="GR76" s="16"/>
      <c r="GS76" s="16"/>
      <c r="GU76" s="17"/>
      <c r="GV76" s="17"/>
      <c r="GX76" s="16">
        <v>7</v>
      </c>
      <c r="GY76" s="46" t="s">
        <v>33</v>
      </c>
      <c r="HJ76" s="29">
        <v>43894</v>
      </c>
      <c r="HK76" s="30" t="str">
        <f t="shared" si="3"/>
        <v>04-Mar</v>
      </c>
      <c r="HL76" s="30" t="s">
        <v>115</v>
      </c>
      <c r="HM76" s="16" t="s">
        <v>131</v>
      </c>
      <c r="HN76" s="16" t="str">
        <f t="shared" ref="HK76:HN141" si="16">HL76&amp;" - "&amp;HM76</f>
        <v>Pisces - Water</v>
      </c>
      <c r="HR76" s="30"/>
      <c r="HS76" s="30"/>
      <c r="HT76" s="30"/>
    </row>
    <row r="77" spans="1:228">
      <c r="A77" s="76">
        <f ca="1">ABS(MAX(IF(A76&gt;0,A76-1,0)))</f>
        <v>1</v>
      </c>
      <c r="B77" s="76">
        <v>0</v>
      </c>
      <c r="C77" s="642"/>
      <c r="D77" s="646"/>
      <c r="E77" s="642"/>
      <c r="F77" s="646"/>
      <c r="G77" s="642" t="s">
        <v>263</v>
      </c>
      <c r="H77"/>
      <c r="I77"/>
      <c r="J77"/>
      <c r="K77"/>
      <c r="L77"/>
      <c r="M77"/>
      <c r="N77"/>
      <c r="O77"/>
      <c r="P77"/>
      <c r="Q77"/>
      <c r="S77" s="393"/>
      <c r="GA77" s="49"/>
      <c r="GB77" s="49"/>
      <c r="GC77" s="49"/>
      <c r="GD77" s="30"/>
      <c r="GR77" s="16"/>
      <c r="GS77" s="16"/>
      <c r="GU77" s="17"/>
      <c r="GV77" s="17"/>
      <c r="GX77" s="16">
        <v>4</v>
      </c>
      <c r="GY77" s="28" t="s">
        <v>23</v>
      </c>
      <c r="HJ77" s="29">
        <v>43895</v>
      </c>
      <c r="HK77" s="30" t="str">
        <f t="shared" si="3"/>
        <v>05-Mar</v>
      </c>
      <c r="HL77" s="30" t="s">
        <v>115</v>
      </c>
      <c r="HM77" s="16" t="s">
        <v>131</v>
      </c>
      <c r="HN77" s="16" t="str">
        <f t="shared" si="16"/>
        <v>Pisces - Water</v>
      </c>
      <c r="HR77" s="30"/>
      <c r="HS77" s="30"/>
      <c r="HT77" s="30"/>
    </row>
    <row r="78" spans="1:228">
      <c r="A78" s="76">
        <f t="shared" ref="A78:A84" ca="1" si="17">ABS(MAX(IF(A77&gt;0,A77-1,0)))</f>
        <v>0</v>
      </c>
      <c r="B78" s="76">
        <v>0</v>
      </c>
      <c r="C78" s="642"/>
      <c r="D78" s="646"/>
      <c r="E78" s="642"/>
      <c r="F78" s="646"/>
      <c r="G78" s="642" t="s">
        <v>263</v>
      </c>
      <c r="H78"/>
      <c r="I78"/>
      <c r="J78"/>
      <c r="K78"/>
      <c r="L78"/>
      <c r="M78"/>
      <c r="N78"/>
      <c r="O78"/>
      <c r="P78"/>
      <c r="Q78"/>
      <c r="S78" s="393"/>
      <c r="GA78" s="49"/>
      <c r="GB78" s="49"/>
      <c r="GC78" s="49"/>
      <c r="GD78" s="30"/>
      <c r="GR78" s="16"/>
      <c r="GS78" s="16"/>
      <c r="GU78" s="17"/>
      <c r="GV78" s="17"/>
      <c r="GX78" s="16">
        <v>8</v>
      </c>
      <c r="GY78" s="28" t="s">
        <v>23</v>
      </c>
      <c r="HJ78" s="29">
        <v>43896</v>
      </c>
      <c r="HK78" s="30" t="str">
        <f t="shared" ref="HH78:HK143" si="18">TEXT(HJ78,"DD-MMM")</f>
        <v>06-Mar</v>
      </c>
      <c r="HL78" s="30" t="s">
        <v>115</v>
      </c>
      <c r="HM78" s="16" t="s">
        <v>131</v>
      </c>
      <c r="HN78" s="16" t="str">
        <f t="shared" si="16"/>
        <v>Pisces - Water</v>
      </c>
      <c r="HR78" s="30"/>
      <c r="HS78" s="30"/>
      <c r="HT78" s="30"/>
    </row>
    <row r="79" spans="1:228">
      <c r="A79" s="76">
        <f t="shared" ca="1" si="17"/>
        <v>0</v>
      </c>
      <c r="B79" s="76">
        <v>0</v>
      </c>
      <c r="C79" s="642"/>
      <c r="D79" s="646"/>
      <c r="E79" s="642"/>
      <c r="F79" s="646"/>
      <c r="G79" s="642" t="s">
        <v>263</v>
      </c>
      <c r="H79"/>
      <c r="I79"/>
      <c r="J79"/>
      <c r="K79"/>
      <c r="L79"/>
      <c r="M79"/>
      <c r="N79"/>
      <c r="O79"/>
      <c r="P79"/>
      <c r="Q79"/>
      <c r="S79" s="393"/>
      <c r="GA79" s="49"/>
      <c r="GB79" s="49"/>
      <c r="GC79" s="49"/>
      <c r="GD79" s="30"/>
      <c r="GR79" s="16"/>
      <c r="GS79" s="16"/>
      <c r="GU79" s="17"/>
      <c r="GV79" s="17"/>
      <c r="GX79" s="16">
        <v>9</v>
      </c>
      <c r="GY79" s="46" t="s">
        <v>33</v>
      </c>
      <c r="HJ79" s="29">
        <v>43897</v>
      </c>
      <c r="HK79" s="30" t="str">
        <f t="shared" si="18"/>
        <v>07-Mar</v>
      </c>
      <c r="HL79" s="30" t="s">
        <v>115</v>
      </c>
      <c r="HM79" s="16" t="s">
        <v>131</v>
      </c>
      <c r="HN79" s="16" t="str">
        <f t="shared" si="16"/>
        <v>Pisces - Water</v>
      </c>
      <c r="HR79" s="30"/>
      <c r="HS79" s="30"/>
      <c r="HT79" s="30"/>
    </row>
    <row r="80" spans="1:228">
      <c r="A80" s="76">
        <f t="shared" ca="1" si="17"/>
        <v>0</v>
      </c>
      <c r="B80" s="76">
        <v>0</v>
      </c>
      <c r="C80" s="642"/>
      <c r="D80" s="646"/>
      <c r="E80" s="642"/>
      <c r="F80" s="646"/>
      <c r="G80" s="642" t="s">
        <v>263</v>
      </c>
      <c r="H80"/>
      <c r="I80"/>
      <c r="J80"/>
      <c r="K80"/>
      <c r="L80"/>
      <c r="M80"/>
      <c r="N80"/>
      <c r="O80"/>
      <c r="P80"/>
      <c r="Q80"/>
      <c r="S80" s="393"/>
      <c r="GA80" s="49"/>
      <c r="GB80" s="49"/>
      <c r="GC80" s="49"/>
      <c r="GD80" s="30"/>
      <c r="GR80" s="16"/>
      <c r="GS80" s="16"/>
      <c r="GU80" s="17"/>
      <c r="GV80" s="17"/>
      <c r="GY80" s="91"/>
      <c r="HJ80" s="29">
        <v>43898</v>
      </c>
      <c r="HK80" s="30" t="str">
        <f t="shared" si="18"/>
        <v>08-Mar</v>
      </c>
      <c r="HL80" s="30" t="s">
        <v>115</v>
      </c>
      <c r="HM80" s="16" t="s">
        <v>131</v>
      </c>
      <c r="HN80" s="16" t="str">
        <f t="shared" si="16"/>
        <v>Pisces - Water</v>
      </c>
      <c r="HR80" s="30"/>
      <c r="HS80" s="30"/>
      <c r="HT80" s="30"/>
    </row>
    <row r="81" spans="1:228">
      <c r="A81" s="76">
        <f t="shared" ca="1" si="17"/>
        <v>0</v>
      </c>
      <c r="B81" s="76">
        <v>0</v>
      </c>
      <c r="C81" s="642"/>
      <c r="D81" s="646"/>
      <c r="E81" s="642"/>
      <c r="F81" s="646"/>
      <c r="G81" s="642" t="s">
        <v>263</v>
      </c>
      <c r="H81"/>
      <c r="I81"/>
      <c r="J81"/>
      <c r="K81"/>
      <c r="L81"/>
      <c r="M81"/>
      <c r="N81"/>
      <c r="O81"/>
      <c r="P81"/>
      <c r="Q81"/>
      <c r="S81" s="393"/>
      <c r="GA81" s="49"/>
      <c r="GB81" s="49"/>
      <c r="GC81" s="49"/>
      <c r="GD81" s="30"/>
      <c r="GR81" s="16"/>
      <c r="GS81" s="16"/>
      <c r="GU81" s="17"/>
      <c r="GV81" s="17"/>
      <c r="GY81" s="91"/>
      <c r="HJ81" s="29">
        <v>43899</v>
      </c>
      <c r="HK81" s="30" t="str">
        <f t="shared" si="18"/>
        <v>09-Mar</v>
      </c>
      <c r="HL81" s="30" t="s">
        <v>115</v>
      </c>
      <c r="HM81" s="16" t="s">
        <v>131</v>
      </c>
      <c r="HN81" s="16" t="str">
        <f t="shared" si="16"/>
        <v>Pisces - Water</v>
      </c>
      <c r="HR81" s="30"/>
      <c r="HS81" s="30"/>
      <c r="HT81" s="30"/>
    </row>
    <row r="82" spans="1:228">
      <c r="A82" s="76">
        <f t="shared" ca="1" si="17"/>
        <v>0</v>
      </c>
      <c r="B82" s="76">
        <v>0</v>
      </c>
      <c r="C82" s="642"/>
      <c r="D82" s="646"/>
      <c r="E82" s="642"/>
      <c r="F82" s="646"/>
      <c r="G82" s="642" t="s">
        <v>263</v>
      </c>
      <c r="H82"/>
      <c r="I82"/>
      <c r="J82"/>
      <c r="K82"/>
      <c r="L82"/>
      <c r="M82"/>
      <c r="N82"/>
      <c r="O82"/>
      <c r="P82"/>
      <c r="Q82"/>
      <c r="S82" s="393"/>
      <c r="GA82" s="49"/>
      <c r="GB82" s="49"/>
      <c r="GC82" s="49"/>
      <c r="GD82" s="30"/>
      <c r="GR82" s="16"/>
      <c r="GS82" s="16"/>
      <c r="GU82" s="17"/>
      <c r="GV82" s="17"/>
      <c r="GY82" s="91"/>
      <c r="HJ82" s="29">
        <v>43900</v>
      </c>
      <c r="HK82" s="30" t="str">
        <f t="shared" si="18"/>
        <v>10-Mar</v>
      </c>
      <c r="HL82" s="30" t="s">
        <v>115</v>
      </c>
      <c r="HM82" s="16" t="s">
        <v>131</v>
      </c>
      <c r="HN82" s="16" t="str">
        <f t="shared" si="16"/>
        <v>Pisces - Water</v>
      </c>
      <c r="HR82" s="30"/>
      <c r="HS82" s="30"/>
      <c r="HT82" s="30"/>
    </row>
    <row r="83" spans="1:228">
      <c r="A83" s="76">
        <f t="shared" ca="1" si="17"/>
        <v>0</v>
      </c>
      <c r="B83" s="76">
        <v>0</v>
      </c>
      <c r="C83" s="642"/>
      <c r="D83" s="646"/>
      <c r="E83" s="642"/>
      <c r="F83" s="646"/>
      <c r="G83" s="642" t="s">
        <v>263</v>
      </c>
      <c r="H83"/>
      <c r="I83"/>
      <c r="J83"/>
      <c r="K83"/>
      <c r="L83"/>
      <c r="M83"/>
      <c r="N83"/>
      <c r="O83"/>
      <c r="P83"/>
      <c r="Q83"/>
      <c r="S83" s="393"/>
      <c r="GA83" s="49"/>
      <c r="GB83" s="49"/>
      <c r="GC83" s="49"/>
      <c r="GD83" s="30"/>
      <c r="GR83" s="16"/>
      <c r="GS83" s="16"/>
      <c r="GU83" s="17"/>
      <c r="GV83" s="17"/>
      <c r="GY83" s="91"/>
      <c r="HJ83" s="29">
        <v>43901</v>
      </c>
      <c r="HK83" s="30" t="str">
        <f t="shared" si="18"/>
        <v>11-Mar</v>
      </c>
      <c r="HL83" s="30" t="s">
        <v>115</v>
      </c>
      <c r="HM83" s="16" t="s">
        <v>131</v>
      </c>
      <c r="HN83" s="16" t="str">
        <f t="shared" si="16"/>
        <v>Pisces - Water</v>
      </c>
      <c r="HR83" s="30"/>
      <c r="HS83" s="30"/>
      <c r="HT83" s="30"/>
    </row>
    <row r="84" spans="1:228" ht="15" thickBot="1">
      <c r="A84" s="76">
        <f t="shared" ca="1" si="17"/>
        <v>0</v>
      </c>
      <c r="B84" s="84">
        <v>0</v>
      </c>
      <c r="C84" s="643"/>
      <c r="D84" s="647"/>
      <c r="E84" s="643"/>
      <c r="F84" s="647"/>
      <c r="G84" s="643" t="s">
        <v>263</v>
      </c>
      <c r="H84"/>
      <c r="I84"/>
      <c r="J84"/>
      <c r="K84"/>
      <c r="L84"/>
      <c r="M84"/>
      <c r="N84"/>
      <c r="O84"/>
      <c r="P84"/>
      <c r="Q84"/>
      <c r="S84" s="393"/>
      <c r="GA84" s="49"/>
      <c r="GB84" s="49"/>
      <c r="GC84" s="49"/>
      <c r="GD84" s="30"/>
      <c r="GR84" s="16"/>
      <c r="GS84" s="16"/>
      <c r="GU84" s="17"/>
      <c r="GV84" s="17"/>
      <c r="GY84" s="91"/>
      <c r="HJ84" s="29">
        <v>43902</v>
      </c>
      <c r="HK84" s="30" t="str">
        <f t="shared" si="18"/>
        <v>12-Mar</v>
      </c>
      <c r="HL84" s="30" t="s">
        <v>115</v>
      </c>
      <c r="HM84" s="16" t="s">
        <v>131</v>
      </c>
      <c r="HN84" s="16" t="str">
        <f t="shared" si="16"/>
        <v>Pisces - Water</v>
      </c>
      <c r="HR84" s="30"/>
      <c r="HS84" s="30"/>
      <c r="HT84" s="30"/>
    </row>
    <row r="85" spans="1:228">
      <c r="F85" s="291"/>
      <c r="H85"/>
      <c r="I85"/>
      <c r="P85" s="49"/>
      <c r="Q85" s="393"/>
      <c r="GA85" s="49"/>
      <c r="GB85" s="30"/>
      <c r="GR85" s="16"/>
      <c r="GT85" s="17"/>
      <c r="GV85" s="16"/>
      <c r="GW85" s="91"/>
      <c r="HH85" s="29">
        <v>43903</v>
      </c>
      <c r="HI85" s="30" t="str">
        <f t="shared" si="18"/>
        <v>13-Mar</v>
      </c>
      <c r="HJ85" s="30" t="s">
        <v>115</v>
      </c>
      <c r="HK85" s="16" t="s">
        <v>131</v>
      </c>
      <c r="HL85" s="16" t="str">
        <f t="shared" si="16"/>
        <v>Pisces - Water</v>
      </c>
      <c r="HR85" s="30"/>
    </row>
    <row r="86" spans="1:228" ht="15" thickBot="1">
      <c r="F86" s="291"/>
      <c r="H86"/>
      <c r="I86"/>
      <c r="P86" s="49"/>
      <c r="Q86" s="393"/>
      <c r="GA86" s="49"/>
      <c r="GB86" s="30"/>
      <c r="GR86" s="16"/>
      <c r="GT86" s="17"/>
      <c r="GV86" s="16"/>
      <c r="GW86" s="91"/>
      <c r="HH86" s="29"/>
      <c r="HI86" s="30"/>
      <c r="HJ86" s="30"/>
      <c r="HL86" s="16"/>
      <c r="HR86" s="30"/>
    </row>
    <row r="87" spans="1:228" ht="15.5">
      <c r="F87" s="291"/>
      <c r="G87" s="79" t="s">
        <v>265</v>
      </c>
      <c r="H87" s="80"/>
      <c r="I87" s="80"/>
      <c r="J87" s="639" t="s">
        <v>133</v>
      </c>
      <c r="K87" s="82" t="s">
        <v>134</v>
      </c>
      <c r="P87" s="49"/>
      <c r="Q87" s="393"/>
      <c r="GA87" s="49"/>
      <c r="GB87" s="30"/>
      <c r="GR87" s="16"/>
      <c r="GT87" s="17"/>
      <c r="GV87" s="16"/>
      <c r="GW87" s="91"/>
      <c r="HH87" s="29"/>
      <c r="HI87" s="30"/>
      <c r="HJ87" s="30"/>
      <c r="HL87" s="16"/>
      <c r="HR87" s="30"/>
    </row>
    <row r="88" spans="1:228">
      <c r="G88" s="76" t="s">
        <v>266</v>
      </c>
      <c r="H88" s="729">
        <f>ABS(F6)</f>
        <v>1</v>
      </c>
      <c r="I88" s="729"/>
      <c r="J88" s="50">
        <v>0</v>
      </c>
      <c r="K88" s="83">
        <f ca="1">IF(C7=9,C94,IF(C7=8,C95,IF(C7=7,C96,IF(C7=6,C97,IF(C7=5,C98,IF(C7=4,C99,IF(C7=3,C100,IF(C7=2,C101,IF(C7=1,C102,0)))))))))</f>
        <v>25</v>
      </c>
      <c r="HG88" s="29">
        <v>43904</v>
      </c>
      <c r="HH88" s="30" t="str">
        <f t="shared" si="18"/>
        <v>14-Mar</v>
      </c>
      <c r="HI88" s="30" t="s">
        <v>115</v>
      </c>
      <c r="HJ88" s="16" t="s">
        <v>131</v>
      </c>
      <c r="HK88" s="16" t="str">
        <f t="shared" si="16"/>
        <v>Pisces - Water</v>
      </c>
    </row>
    <row r="89" spans="1:228">
      <c r="G89" s="76" t="s">
        <v>267</v>
      </c>
      <c r="H89" s="729">
        <f>ABS(C6)</f>
        <v>2</v>
      </c>
      <c r="I89" s="729"/>
      <c r="J89" s="50">
        <f ca="1">IF(C7=9,D94,IF(C7=8,D95,IF(A96=7,D96,IF(C7=6,D97,IF(C7=5,D98,IF(C7=4,D99,IF(C7=3,D100,IF(C7=2,D101,IF(C7=1,D102,0)))))))))</f>
        <v>30</v>
      </c>
      <c r="K89" s="83">
        <f ca="1">IF(C7=9,E94,IF(C7=8,E95,IF(C7=7,E96,IF(C7=6,E97,IF(C7=5,E98,IF(C7=4,E99,IF(C7=3,E100,IF(C7=2,E101,IF(C7=1,E102,0)))))))))</f>
        <v>52</v>
      </c>
      <c r="HG89" s="29">
        <v>43905</v>
      </c>
      <c r="HH89" s="30" t="str">
        <f t="shared" si="18"/>
        <v>15-Mar</v>
      </c>
      <c r="HI89" s="30" t="s">
        <v>115</v>
      </c>
      <c r="HJ89" s="16" t="s">
        <v>131</v>
      </c>
      <c r="HK89" s="16" t="str">
        <f t="shared" si="16"/>
        <v>Pisces - Water</v>
      </c>
    </row>
    <row r="90" spans="1:228">
      <c r="G90" s="76" t="s">
        <v>268</v>
      </c>
      <c r="H90" s="729">
        <f ca="1">ABS(I5)</f>
        <v>8</v>
      </c>
      <c r="I90" s="729"/>
      <c r="J90" s="50">
        <f ca="1">IF(C7=9,F94,IF(C7=8,F95,IF(A96=7,F96,IF(C7=6,F97,IF(C7=5,F98,IF(C7=4,F99,IF(C7=3,F100,IF(C7=2,F101,IF(C7=1,F102,0)))))))))</f>
        <v>57</v>
      </c>
      <c r="K90" s="83" t="s">
        <v>263</v>
      </c>
      <c r="HG90" s="29">
        <v>43906</v>
      </c>
      <c r="HH90" s="30" t="str">
        <f t="shared" si="18"/>
        <v>16-Mar</v>
      </c>
      <c r="HI90" s="30" t="s">
        <v>115</v>
      </c>
      <c r="HJ90" s="16" t="s">
        <v>131</v>
      </c>
      <c r="HK90" s="16" t="str">
        <f t="shared" si="16"/>
        <v>Pisces - Water</v>
      </c>
    </row>
    <row r="91" spans="1:228" ht="15" thickBot="1">
      <c r="HG91" s="29">
        <v>43907</v>
      </c>
      <c r="HH91" s="30" t="str">
        <f t="shared" si="18"/>
        <v>17-Mar</v>
      </c>
      <c r="HI91" s="30" t="s">
        <v>115</v>
      </c>
      <c r="HJ91" s="16" t="s">
        <v>131</v>
      </c>
      <c r="HK91" s="16" t="str">
        <f t="shared" si="16"/>
        <v>Pisces - Water</v>
      </c>
    </row>
    <row r="92" spans="1:228" ht="16" customHeight="1">
      <c r="A92" s="720" t="s">
        <v>258</v>
      </c>
      <c r="B92" s="721"/>
      <c r="C92" s="721"/>
      <c r="D92" s="721"/>
      <c r="E92" s="721"/>
      <c r="F92" s="721"/>
      <c r="G92" s="722"/>
      <c r="HG92" s="29">
        <v>43908</v>
      </c>
      <c r="HH92" s="30" t="str">
        <f t="shared" si="18"/>
        <v>18-Mar</v>
      </c>
      <c r="HI92" s="30" t="s">
        <v>115</v>
      </c>
      <c r="HJ92" s="16" t="s">
        <v>131</v>
      </c>
      <c r="HK92" s="16" t="str">
        <f t="shared" si="16"/>
        <v>Pisces - Water</v>
      </c>
    </row>
    <row r="93" spans="1:228" ht="16" thickBot="1">
      <c r="A93" s="641" t="s">
        <v>259</v>
      </c>
      <c r="B93" s="716" t="s">
        <v>261</v>
      </c>
      <c r="C93" s="717"/>
      <c r="D93" s="716" t="s">
        <v>260</v>
      </c>
      <c r="E93" s="717"/>
      <c r="F93" s="718" t="s">
        <v>262</v>
      </c>
      <c r="G93" s="719"/>
      <c r="HG93" s="29">
        <v>43909</v>
      </c>
      <c r="HH93" s="30" t="str">
        <f t="shared" si="18"/>
        <v>19-Mar</v>
      </c>
      <c r="HI93" s="30" t="s">
        <v>115</v>
      </c>
      <c r="HJ93" s="16" t="s">
        <v>131</v>
      </c>
      <c r="HK93" s="16" t="str">
        <f t="shared" si="16"/>
        <v>Pisces - Water</v>
      </c>
    </row>
    <row r="94" spans="1:228">
      <c r="A94" s="76">
        <v>9</v>
      </c>
      <c r="B94" s="644">
        <v>0</v>
      </c>
      <c r="C94" s="640">
        <v>27</v>
      </c>
      <c r="D94" s="645">
        <v>28</v>
      </c>
      <c r="E94" s="640">
        <v>54</v>
      </c>
      <c r="F94" s="645">
        <v>55</v>
      </c>
      <c r="G94" s="640" t="s">
        <v>263</v>
      </c>
      <c r="HG94" s="29">
        <v>43910</v>
      </c>
      <c r="HH94" s="30" t="str">
        <f t="shared" si="18"/>
        <v>20-Mar</v>
      </c>
      <c r="HI94" s="30" t="s">
        <v>115</v>
      </c>
      <c r="HJ94" s="16" t="s">
        <v>131</v>
      </c>
      <c r="HK94" s="16" t="str">
        <f t="shared" si="16"/>
        <v>Pisces - Water</v>
      </c>
    </row>
    <row r="95" spans="1:228">
      <c r="A95" s="76">
        <v>8</v>
      </c>
      <c r="B95" s="76">
        <v>0</v>
      </c>
      <c r="C95" s="642">
        <v>28</v>
      </c>
      <c r="D95" s="646">
        <v>29</v>
      </c>
      <c r="E95" s="642">
        <v>55</v>
      </c>
      <c r="F95" s="646">
        <v>56</v>
      </c>
      <c r="G95" s="642" t="s">
        <v>263</v>
      </c>
      <c r="HG95" s="29">
        <v>43911</v>
      </c>
      <c r="HH95" s="30" t="str">
        <f t="shared" si="18"/>
        <v>21-Mar</v>
      </c>
      <c r="HI95" s="30" t="s">
        <v>116</v>
      </c>
      <c r="HJ95" s="16" t="s">
        <v>129</v>
      </c>
      <c r="HK95" s="16" t="str">
        <f t="shared" si="16"/>
        <v>Aries - Fire</v>
      </c>
    </row>
    <row r="96" spans="1:228">
      <c r="A96" s="76">
        <v>7</v>
      </c>
      <c r="B96" s="76">
        <v>0</v>
      </c>
      <c r="C96" s="642">
        <v>29</v>
      </c>
      <c r="D96" s="646">
        <v>30</v>
      </c>
      <c r="E96" s="642">
        <v>56</v>
      </c>
      <c r="F96" s="646">
        <v>57</v>
      </c>
      <c r="G96" s="642" t="s">
        <v>263</v>
      </c>
      <c r="HG96" s="29">
        <v>43912</v>
      </c>
      <c r="HH96" s="30" t="str">
        <f t="shared" si="18"/>
        <v>22-Mar</v>
      </c>
      <c r="HI96" s="30" t="s">
        <v>116</v>
      </c>
      <c r="HJ96" s="16" t="s">
        <v>129</v>
      </c>
      <c r="HK96" s="16" t="str">
        <f t="shared" si="16"/>
        <v>Aries - Fire</v>
      </c>
    </row>
    <row r="97" spans="1:219">
      <c r="A97" s="76">
        <v>6</v>
      </c>
      <c r="B97" s="76">
        <v>0</v>
      </c>
      <c r="C97" s="642">
        <v>30</v>
      </c>
      <c r="D97" s="646">
        <v>31</v>
      </c>
      <c r="E97" s="642">
        <v>57</v>
      </c>
      <c r="F97" s="646">
        <v>58</v>
      </c>
      <c r="G97" s="642" t="s">
        <v>263</v>
      </c>
      <c r="HG97" s="29">
        <v>43913</v>
      </c>
      <c r="HH97" s="30" t="str">
        <f t="shared" si="18"/>
        <v>23-Mar</v>
      </c>
      <c r="HI97" s="30" t="s">
        <v>116</v>
      </c>
      <c r="HJ97" s="16" t="s">
        <v>129</v>
      </c>
      <c r="HK97" s="16" t="str">
        <f t="shared" si="16"/>
        <v>Aries - Fire</v>
      </c>
    </row>
    <row r="98" spans="1:219">
      <c r="A98" s="76">
        <v>5</v>
      </c>
      <c r="B98" s="76">
        <v>0</v>
      </c>
      <c r="C98" s="642">
        <v>31</v>
      </c>
      <c r="D98" s="646">
        <v>32</v>
      </c>
      <c r="E98" s="642">
        <v>58</v>
      </c>
      <c r="F98" s="646">
        <v>59</v>
      </c>
      <c r="G98" s="642" t="s">
        <v>263</v>
      </c>
      <c r="HG98" s="29">
        <v>43914</v>
      </c>
      <c r="HH98" s="30" t="str">
        <f t="shared" si="18"/>
        <v>24-Mar</v>
      </c>
      <c r="HI98" s="30" t="s">
        <v>116</v>
      </c>
      <c r="HJ98" s="16" t="s">
        <v>129</v>
      </c>
      <c r="HK98" s="16" t="str">
        <f t="shared" si="16"/>
        <v>Aries - Fire</v>
      </c>
    </row>
    <row r="99" spans="1:219">
      <c r="A99" s="76">
        <v>4</v>
      </c>
      <c r="B99" s="76">
        <v>0</v>
      </c>
      <c r="C99" s="642">
        <v>23</v>
      </c>
      <c r="D99" s="646">
        <v>24</v>
      </c>
      <c r="E99" s="642">
        <v>59</v>
      </c>
      <c r="F99" s="646">
        <v>60</v>
      </c>
      <c r="G99" s="642" t="s">
        <v>263</v>
      </c>
      <c r="HG99" s="29">
        <v>43915</v>
      </c>
      <c r="HH99" s="30" t="str">
        <f t="shared" si="18"/>
        <v>25-Mar</v>
      </c>
      <c r="HI99" s="30" t="s">
        <v>116</v>
      </c>
      <c r="HJ99" s="16" t="s">
        <v>129</v>
      </c>
      <c r="HK99" s="16" t="str">
        <f t="shared" si="16"/>
        <v>Aries - Fire</v>
      </c>
    </row>
    <row r="100" spans="1:219">
      <c r="A100" s="76">
        <v>3</v>
      </c>
      <c r="B100" s="76">
        <v>0</v>
      </c>
      <c r="C100" s="642">
        <v>24</v>
      </c>
      <c r="D100" s="646">
        <v>25</v>
      </c>
      <c r="E100" s="642">
        <v>51</v>
      </c>
      <c r="F100" s="646">
        <v>52</v>
      </c>
      <c r="G100" s="642" t="s">
        <v>263</v>
      </c>
      <c r="HG100" s="29">
        <v>43916</v>
      </c>
      <c r="HH100" s="30" t="str">
        <f t="shared" si="18"/>
        <v>26-Mar</v>
      </c>
      <c r="HI100" s="30" t="s">
        <v>116</v>
      </c>
      <c r="HJ100" s="16" t="s">
        <v>129</v>
      </c>
      <c r="HK100" s="16" t="str">
        <f t="shared" si="16"/>
        <v>Aries - Fire</v>
      </c>
    </row>
    <row r="101" spans="1:219">
      <c r="A101" s="76">
        <v>2</v>
      </c>
      <c r="B101" s="76">
        <v>0</v>
      </c>
      <c r="C101" s="642">
        <v>25</v>
      </c>
      <c r="D101" s="646">
        <v>26</v>
      </c>
      <c r="E101" s="642">
        <v>52</v>
      </c>
      <c r="F101" s="646">
        <v>53</v>
      </c>
      <c r="G101" s="642" t="s">
        <v>263</v>
      </c>
      <c r="HG101" s="29">
        <v>43917</v>
      </c>
      <c r="HH101" s="30" t="str">
        <f t="shared" si="18"/>
        <v>27-Mar</v>
      </c>
      <c r="HI101" s="30" t="s">
        <v>116</v>
      </c>
      <c r="HJ101" s="16" t="s">
        <v>129</v>
      </c>
      <c r="HK101" s="16" t="str">
        <f t="shared" si="16"/>
        <v>Aries - Fire</v>
      </c>
    </row>
    <row r="102" spans="1:219" ht="15" thickBot="1">
      <c r="A102" s="84">
        <v>1</v>
      </c>
      <c r="B102" s="84">
        <v>0</v>
      </c>
      <c r="C102" s="643">
        <v>26</v>
      </c>
      <c r="D102" s="647">
        <v>27</v>
      </c>
      <c r="E102" s="643">
        <v>53</v>
      </c>
      <c r="F102" s="647">
        <v>54</v>
      </c>
      <c r="G102" s="643" t="s">
        <v>263</v>
      </c>
      <c r="HG102" s="29">
        <v>43918</v>
      </c>
      <c r="HH102" s="30" t="str">
        <f t="shared" si="18"/>
        <v>28-Mar</v>
      </c>
      <c r="HI102" s="30" t="s">
        <v>116</v>
      </c>
      <c r="HJ102" s="16" t="s">
        <v>129</v>
      </c>
      <c r="HK102" s="16" t="str">
        <f t="shared" si="16"/>
        <v>Aries - Fire</v>
      </c>
    </row>
    <row r="103" spans="1:219">
      <c r="HG103" s="29">
        <v>43919</v>
      </c>
      <c r="HH103" s="30" t="str">
        <f t="shared" si="18"/>
        <v>29-Mar</v>
      </c>
      <c r="HI103" s="30" t="s">
        <v>116</v>
      </c>
      <c r="HJ103" s="16" t="s">
        <v>129</v>
      </c>
      <c r="HK103" s="16" t="str">
        <f t="shared" si="16"/>
        <v>Aries - Fire</v>
      </c>
    </row>
    <row r="104" spans="1:219">
      <c r="HG104" s="29">
        <v>43920</v>
      </c>
      <c r="HH104" s="30" t="str">
        <f t="shared" si="18"/>
        <v>30-Mar</v>
      </c>
      <c r="HI104" s="30" t="s">
        <v>116</v>
      </c>
      <c r="HJ104" s="16" t="s">
        <v>129</v>
      </c>
      <c r="HK104" s="16" t="str">
        <f t="shared" si="16"/>
        <v>Aries - Fire</v>
      </c>
    </row>
    <row r="105" spans="1:219">
      <c r="HG105" s="29">
        <v>43921</v>
      </c>
      <c r="HH105" s="30" t="str">
        <f t="shared" si="18"/>
        <v>31-Mar</v>
      </c>
      <c r="HI105" s="30" t="s">
        <v>116</v>
      </c>
      <c r="HJ105" s="16" t="s">
        <v>129</v>
      </c>
      <c r="HK105" s="16" t="str">
        <f t="shared" si="16"/>
        <v>Aries - Fire</v>
      </c>
    </row>
    <row r="106" spans="1:219">
      <c r="HG106" s="29">
        <v>43922</v>
      </c>
      <c r="HH106" s="30" t="str">
        <f t="shared" si="18"/>
        <v>01-Apr</v>
      </c>
      <c r="HI106" s="30" t="s">
        <v>116</v>
      </c>
      <c r="HJ106" s="16" t="s">
        <v>129</v>
      </c>
      <c r="HK106" s="16" t="str">
        <f t="shared" si="16"/>
        <v>Aries - Fire</v>
      </c>
    </row>
    <row r="107" spans="1:219">
      <c r="HG107" s="29">
        <v>43923</v>
      </c>
      <c r="HH107" s="30" t="str">
        <f t="shared" si="18"/>
        <v>02-Apr</v>
      </c>
      <c r="HI107" s="30" t="s">
        <v>116</v>
      </c>
      <c r="HJ107" s="16" t="s">
        <v>129</v>
      </c>
      <c r="HK107" s="16" t="str">
        <f t="shared" si="16"/>
        <v>Aries - Fire</v>
      </c>
    </row>
    <row r="108" spans="1:219">
      <c r="HG108" s="29">
        <v>43924</v>
      </c>
      <c r="HH108" s="30" t="str">
        <f t="shared" si="18"/>
        <v>03-Apr</v>
      </c>
      <c r="HI108" s="30" t="s">
        <v>116</v>
      </c>
      <c r="HJ108" s="16" t="s">
        <v>129</v>
      </c>
      <c r="HK108" s="16" t="str">
        <f t="shared" si="16"/>
        <v>Aries - Fire</v>
      </c>
    </row>
    <row r="109" spans="1:219">
      <c r="HG109" s="29">
        <v>43925</v>
      </c>
      <c r="HH109" s="30" t="str">
        <f t="shared" si="18"/>
        <v>04-Apr</v>
      </c>
      <c r="HI109" s="30" t="s">
        <v>116</v>
      </c>
      <c r="HJ109" s="16" t="s">
        <v>129</v>
      </c>
      <c r="HK109" s="16" t="str">
        <f t="shared" si="16"/>
        <v>Aries - Fire</v>
      </c>
    </row>
    <row r="110" spans="1:219">
      <c r="HG110" s="29">
        <v>43926</v>
      </c>
      <c r="HH110" s="30" t="str">
        <f t="shared" si="18"/>
        <v>05-Apr</v>
      </c>
      <c r="HI110" s="30" t="s">
        <v>116</v>
      </c>
      <c r="HJ110" s="16" t="s">
        <v>129</v>
      </c>
      <c r="HK110" s="16" t="str">
        <f t="shared" si="16"/>
        <v>Aries - Fire</v>
      </c>
    </row>
    <row r="111" spans="1:219">
      <c r="HG111" s="29">
        <v>43927</v>
      </c>
      <c r="HH111" s="30" t="str">
        <f t="shared" si="18"/>
        <v>06-Apr</v>
      </c>
      <c r="HI111" s="30" t="s">
        <v>116</v>
      </c>
      <c r="HJ111" s="16" t="s">
        <v>129</v>
      </c>
      <c r="HK111" s="16" t="str">
        <f t="shared" si="16"/>
        <v>Aries - Fire</v>
      </c>
    </row>
    <row r="112" spans="1:219">
      <c r="HG112" s="29">
        <v>43928</v>
      </c>
      <c r="HH112" s="30" t="str">
        <f t="shared" si="18"/>
        <v>07-Apr</v>
      </c>
      <c r="HI112" s="30" t="s">
        <v>116</v>
      </c>
      <c r="HJ112" s="16" t="s">
        <v>129</v>
      </c>
      <c r="HK112" s="16" t="str">
        <f t="shared" si="16"/>
        <v>Aries - Fire</v>
      </c>
    </row>
    <row r="113" spans="215:219">
      <c r="HG113" s="29">
        <v>43929</v>
      </c>
      <c r="HH113" s="30" t="str">
        <f t="shared" si="18"/>
        <v>08-Apr</v>
      </c>
      <c r="HI113" s="30" t="s">
        <v>116</v>
      </c>
      <c r="HJ113" s="16" t="s">
        <v>129</v>
      </c>
      <c r="HK113" s="16" t="str">
        <f t="shared" si="16"/>
        <v>Aries - Fire</v>
      </c>
    </row>
    <row r="114" spans="215:219">
      <c r="HG114" s="29">
        <v>43930</v>
      </c>
      <c r="HH114" s="30" t="str">
        <f t="shared" si="18"/>
        <v>09-Apr</v>
      </c>
      <c r="HI114" s="30" t="s">
        <v>116</v>
      </c>
      <c r="HJ114" s="16" t="s">
        <v>129</v>
      </c>
      <c r="HK114" s="16" t="str">
        <f t="shared" si="16"/>
        <v>Aries - Fire</v>
      </c>
    </row>
    <row r="115" spans="215:219">
      <c r="HG115" s="29">
        <v>43931</v>
      </c>
      <c r="HH115" s="30" t="str">
        <f t="shared" si="18"/>
        <v>10-Apr</v>
      </c>
      <c r="HI115" s="30" t="s">
        <v>116</v>
      </c>
      <c r="HJ115" s="16" t="s">
        <v>129</v>
      </c>
      <c r="HK115" s="16" t="str">
        <f t="shared" si="16"/>
        <v>Aries - Fire</v>
      </c>
    </row>
    <row r="116" spans="215:219">
      <c r="HG116" s="29">
        <v>43932</v>
      </c>
      <c r="HH116" s="30" t="str">
        <f t="shared" si="18"/>
        <v>11-Apr</v>
      </c>
      <c r="HI116" s="30" t="s">
        <v>116</v>
      </c>
      <c r="HJ116" s="16" t="s">
        <v>129</v>
      </c>
      <c r="HK116" s="16" t="str">
        <f t="shared" si="16"/>
        <v>Aries - Fire</v>
      </c>
    </row>
    <row r="117" spans="215:219">
      <c r="HG117" s="29">
        <v>43933</v>
      </c>
      <c r="HH117" s="30" t="str">
        <f t="shared" si="18"/>
        <v>12-Apr</v>
      </c>
      <c r="HI117" s="30" t="s">
        <v>116</v>
      </c>
      <c r="HJ117" s="16" t="s">
        <v>129</v>
      </c>
      <c r="HK117" s="16" t="str">
        <f t="shared" si="16"/>
        <v>Aries - Fire</v>
      </c>
    </row>
    <row r="118" spans="215:219">
      <c r="HG118" s="29">
        <v>43934</v>
      </c>
      <c r="HH118" s="30" t="str">
        <f t="shared" si="18"/>
        <v>13-Apr</v>
      </c>
      <c r="HI118" s="30" t="s">
        <v>116</v>
      </c>
      <c r="HJ118" s="16" t="s">
        <v>129</v>
      </c>
      <c r="HK118" s="16" t="str">
        <f t="shared" si="16"/>
        <v>Aries - Fire</v>
      </c>
    </row>
    <row r="119" spans="215:219">
      <c r="HG119" s="29">
        <v>43935</v>
      </c>
      <c r="HH119" s="30" t="str">
        <f t="shared" si="18"/>
        <v>14-Apr</v>
      </c>
      <c r="HI119" s="30" t="s">
        <v>116</v>
      </c>
      <c r="HJ119" s="16" t="s">
        <v>129</v>
      </c>
      <c r="HK119" s="16" t="str">
        <f t="shared" si="16"/>
        <v>Aries - Fire</v>
      </c>
    </row>
    <row r="120" spans="215:219">
      <c r="HG120" s="29">
        <v>43936</v>
      </c>
      <c r="HH120" s="30" t="str">
        <f t="shared" si="18"/>
        <v>15-Apr</v>
      </c>
      <c r="HI120" s="30" t="s">
        <v>116</v>
      </c>
      <c r="HJ120" s="16" t="s">
        <v>129</v>
      </c>
      <c r="HK120" s="16" t="str">
        <f t="shared" si="16"/>
        <v>Aries - Fire</v>
      </c>
    </row>
    <row r="121" spans="215:219">
      <c r="HG121" s="29">
        <v>43937</v>
      </c>
      <c r="HH121" s="30" t="str">
        <f t="shared" si="18"/>
        <v>16-Apr</v>
      </c>
      <c r="HI121" s="30" t="s">
        <v>116</v>
      </c>
      <c r="HJ121" s="16" t="s">
        <v>129</v>
      </c>
      <c r="HK121" s="16" t="str">
        <f t="shared" si="16"/>
        <v>Aries - Fire</v>
      </c>
    </row>
    <row r="122" spans="215:219">
      <c r="HG122" s="29">
        <v>43938</v>
      </c>
      <c r="HH122" s="30" t="str">
        <f t="shared" si="18"/>
        <v>17-Apr</v>
      </c>
      <c r="HI122" s="30" t="s">
        <v>116</v>
      </c>
      <c r="HJ122" s="16" t="s">
        <v>129</v>
      </c>
      <c r="HK122" s="16" t="str">
        <f t="shared" si="16"/>
        <v>Aries - Fire</v>
      </c>
    </row>
    <row r="123" spans="215:219">
      <c r="HG123" s="29">
        <v>43939</v>
      </c>
      <c r="HH123" s="30" t="str">
        <f t="shared" si="18"/>
        <v>18-Apr</v>
      </c>
      <c r="HI123" s="30" t="s">
        <v>116</v>
      </c>
      <c r="HJ123" s="16" t="s">
        <v>129</v>
      </c>
      <c r="HK123" s="16" t="str">
        <f t="shared" si="16"/>
        <v>Aries - Fire</v>
      </c>
    </row>
    <row r="124" spans="215:219">
      <c r="HG124" s="29">
        <v>43940</v>
      </c>
      <c r="HH124" s="30" t="str">
        <f t="shared" si="18"/>
        <v>19-Apr</v>
      </c>
      <c r="HI124" s="30" t="s">
        <v>116</v>
      </c>
      <c r="HJ124" s="16" t="s">
        <v>129</v>
      </c>
      <c r="HK124" s="16" t="str">
        <f t="shared" si="16"/>
        <v>Aries - Fire</v>
      </c>
    </row>
    <row r="125" spans="215:219">
      <c r="HG125" s="29">
        <v>43941</v>
      </c>
      <c r="HH125" s="30" t="str">
        <f t="shared" si="18"/>
        <v>20-Apr</v>
      </c>
      <c r="HI125" s="30" t="s">
        <v>117</v>
      </c>
      <c r="HJ125" s="16" t="s">
        <v>130</v>
      </c>
      <c r="HK125" s="16" t="str">
        <f t="shared" si="16"/>
        <v>Taurus - Earth</v>
      </c>
    </row>
    <row r="126" spans="215:219">
      <c r="HG126" s="29">
        <v>43942</v>
      </c>
      <c r="HH126" s="30" t="str">
        <f t="shared" si="18"/>
        <v>21-Apr</v>
      </c>
      <c r="HI126" s="30" t="s">
        <v>117</v>
      </c>
      <c r="HJ126" s="16" t="s">
        <v>130</v>
      </c>
      <c r="HK126" s="16" t="str">
        <f t="shared" si="16"/>
        <v>Taurus - Earth</v>
      </c>
    </row>
    <row r="127" spans="215:219">
      <c r="HG127" s="29">
        <v>43943</v>
      </c>
      <c r="HH127" s="30" t="str">
        <f t="shared" si="18"/>
        <v>22-Apr</v>
      </c>
      <c r="HI127" s="30" t="s">
        <v>117</v>
      </c>
      <c r="HJ127" s="16" t="s">
        <v>130</v>
      </c>
      <c r="HK127" s="16" t="str">
        <f t="shared" si="16"/>
        <v>Taurus - Earth</v>
      </c>
    </row>
    <row r="128" spans="215:219">
      <c r="HG128" s="29">
        <v>43944</v>
      </c>
      <c r="HH128" s="30" t="str">
        <f t="shared" si="18"/>
        <v>23-Apr</v>
      </c>
      <c r="HI128" s="30" t="s">
        <v>117</v>
      </c>
      <c r="HJ128" s="16" t="s">
        <v>130</v>
      </c>
      <c r="HK128" s="16" t="str">
        <f t="shared" si="16"/>
        <v>Taurus - Earth</v>
      </c>
    </row>
    <row r="129" spans="215:219">
      <c r="HG129" s="29">
        <v>43945</v>
      </c>
      <c r="HH129" s="30" t="str">
        <f t="shared" si="18"/>
        <v>24-Apr</v>
      </c>
      <c r="HI129" s="30" t="s">
        <v>117</v>
      </c>
      <c r="HJ129" s="16" t="s">
        <v>130</v>
      </c>
      <c r="HK129" s="16" t="str">
        <f t="shared" si="16"/>
        <v>Taurus - Earth</v>
      </c>
    </row>
    <row r="130" spans="215:219">
      <c r="HG130" s="29">
        <v>43946</v>
      </c>
      <c r="HH130" s="30" t="str">
        <f t="shared" si="18"/>
        <v>25-Apr</v>
      </c>
      <c r="HI130" s="30" t="s">
        <v>117</v>
      </c>
      <c r="HJ130" s="16" t="s">
        <v>130</v>
      </c>
      <c r="HK130" s="16" t="str">
        <f t="shared" si="16"/>
        <v>Taurus - Earth</v>
      </c>
    </row>
    <row r="131" spans="215:219">
      <c r="HG131" s="29">
        <v>43947</v>
      </c>
      <c r="HH131" s="30" t="str">
        <f t="shared" si="18"/>
        <v>26-Apr</v>
      </c>
      <c r="HI131" s="30" t="s">
        <v>117</v>
      </c>
      <c r="HJ131" s="16" t="s">
        <v>130</v>
      </c>
      <c r="HK131" s="16" t="str">
        <f t="shared" si="16"/>
        <v>Taurus - Earth</v>
      </c>
    </row>
    <row r="132" spans="215:219">
      <c r="HG132" s="29">
        <v>43948</v>
      </c>
      <c r="HH132" s="30" t="str">
        <f t="shared" si="18"/>
        <v>27-Apr</v>
      </c>
      <c r="HI132" s="30" t="s">
        <v>117</v>
      </c>
      <c r="HJ132" s="16" t="s">
        <v>130</v>
      </c>
      <c r="HK132" s="16" t="str">
        <f t="shared" si="16"/>
        <v>Taurus - Earth</v>
      </c>
    </row>
    <row r="133" spans="215:219">
      <c r="HG133" s="29">
        <v>43949</v>
      </c>
      <c r="HH133" s="30" t="str">
        <f t="shared" si="18"/>
        <v>28-Apr</v>
      </c>
      <c r="HI133" s="30" t="s">
        <v>117</v>
      </c>
      <c r="HJ133" s="16" t="s">
        <v>130</v>
      </c>
      <c r="HK133" s="16" t="str">
        <f t="shared" si="16"/>
        <v>Taurus - Earth</v>
      </c>
    </row>
    <row r="134" spans="215:219">
      <c r="HG134" s="29">
        <v>43950</v>
      </c>
      <c r="HH134" s="30" t="str">
        <f t="shared" si="18"/>
        <v>29-Apr</v>
      </c>
      <c r="HI134" s="30" t="s">
        <v>117</v>
      </c>
      <c r="HJ134" s="16" t="s">
        <v>130</v>
      </c>
      <c r="HK134" s="16" t="str">
        <f t="shared" si="16"/>
        <v>Taurus - Earth</v>
      </c>
    </row>
    <row r="135" spans="215:219">
      <c r="HG135" s="29">
        <v>43951</v>
      </c>
      <c r="HH135" s="30" t="str">
        <f t="shared" si="18"/>
        <v>30-Apr</v>
      </c>
      <c r="HI135" s="30" t="s">
        <v>117</v>
      </c>
      <c r="HJ135" s="16" t="s">
        <v>130</v>
      </c>
      <c r="HK135" s="16" t="str">
        <f t="shared" si="16"/>
        <v>Taurus - Earth</v>
      </c>
    </row>
    <row r="136" spans="215:219">
      <c r="HG136" s="29">
        <v>43952</v>
      </c>
      <c r="HH136" s="30" t="str">
        <f t="shared" si="18"/>
        <v>01-May</v>
      </c>
      <c r="HI136" s="30" t="s">
        <v>117</v>
      </c>
      <c r="HJ136" s="16" t="s">
        <v>130</v>
      </c>
      <c r="HK136" s="16" t="str">
        <f t="shared" si="16"/>
        <v>Taurus - Earth</v>
      </c>
    </row>
    <row r="137" spans="215:219">
      <c r="HG137" s="29">
        <v>43953</v>
      </c>
      <c r="HH137" s="30" t="str">
        <f t="shared" si="18"/>
        <v>02-May</v>
      </c>
      <c r="HI137" s="30" t="s">
        <v>117</v>
      </c>
      <c r="HJ137" s="16" t="s">
        <v>130</v>
      </c>
      <c r="HK137" s="16" t="str">
        <f t="shared" si="16"/>
        <v>Taurus - Earth</v>
      </c>
    </row>
    <row r="138" spans="215:219">
      <c r="HG138" s="29">
        <v>43954</v>
      </c>
      <c r="HH138" s="30" t="str">
        <f t="shared" si="18"/>
        <v>03-May</v>
      </c>
      <c r="HI138" s="30" t="s">
        <v>117</v>
      </c>
      <c r="HJ138" s="16" t="s">
        <v>130</v>
      </c>
      <c r="HK138" s="16" t="str">
        <f t="shared" si="16"/>
        <v>Taurus - Earth</v>
      </c>
    </row>
    <row r="139" spans="215:219">
      <c r="HG139" s="29">
        <v>43955</v>
      </c>
      <c r="HH139" s="30" t="str">
        <f t="shared" si="18"/>
        <v>04-May</v>
      </c>
      <c r="HI139" s="30" t="s">
        <v>117</v>
      </c>
      <c r="HJ139" s="16" t="s">
        <v>130</v>
      </c>
      <c r="HK139" s="16" t="str">
        <f t="shared" si="16"/>
        <v>Taurus - Earth</v>
      </c>
    </row>
    <row r="140" spans="215:219">
      <c r="HG140" s="29">
        <v>43956</v>
      </c>
      <c r="HH140" s="30" t="str">
        <f t="shared" si="18"/>
        <v>05-May</v>
      </c>
      <c r="HI140" s="30" t="s">
        <v>117</v>
      </c>
      <c r="HJ140" s="16" t="s">
        <v>130</v>
      </c>
      <c r="HK140" s="16" t="str">
        <f t="shared" si="16"/>
        <v>Taurus - Earth</v>
      </c>
    </row>
    <row r="141" spans="215:219">
      <c r="HG141" s="29">
        <v>43957</v>
      </c>
      <c r="HH141" s="30" t="str">
        <f t="shared" si="18"/>
        <v>06-May</v>
      </c>
      <c r="HI141" s="30" t="s">
        <v>117</v>
      </c>
      <c r="HJ141" s="16" t="s">
        <v>130</v>
      </c>
      <c r="HK141" s="16" t="str">
        <f t="shared" si="16"/>
        <v>Taurus - Earth</v>
      </c>
    </row>
    <row r="142" spans="215:219">
      <c r="HG142" s="29">
        <v>43958</v>
      </c>
      <c r="HH142" s="30" t="str">
        <f t="shared" si="18"/>
        <v>07-May</v>
      </c>
      <c r="HI142" s="30" t="s">
        <v>117</v>
      </c>
      <c r="HJ142" s="16" t="s">
        <v>130</v>
      </c>
      <c r="HK142" s="16" t="str">
        <f t="shared" ref="HK142:HK205" si="19">HI142&amp;" - "&amp;HJ142</f>
        <v>Taurus - Earth</v>
      </c>
    </row>
    <row r="143" spans="215:219">
      <c r="HG143" s="29">
        <v>43959</v>
      </c>
      <c r="HH143" s="30" t="str">
        <f t="shared" si="18"/>
        <v>08-May</v>
      </c>
      <c r="HI143" s="30" t="s">
        <v>117</v>
      </c>
      <c r="HJ143" s="16" t="s">
        <v>130</v>
      </c>
      <c r="HK143" s="16" t="str">
        <f t="shared" si="19"/>
        <v>Taurus - Earth</v>
      </c>
    </row>
    <row r="144" spans="215:219">
      <c r="HG144" s="29">
        <v>43960</v>
      </c>
      <c r="HH144" s="30" t="str">
        <f t="shared" ref="HH144:HH207" si="20">TEXT(HG144,"DD-MMM")</f>
        <v>09-May</v>
      </c>
      <c r="HI144" s="30" t="s">
        <v>117</v>
      </c>
      <c r="HJ144" s="16" t="s">
        <v>130</v>
      </c>
      <c r="HK144" s="16" t="str">
        <f t="shared" si="19"/>
        <v>Taurus - Earth</v>
      </c>
    </row>
    <row r="145" spans="215:219">
      <c r="HG145" s="29">
        <v>43961</v>
      </c>
      <c r="HH145" s="30" t="str">
        <f t="shared" si="20"/>
        <v>10-May</v>
      </c>
      <c r="HI145" s="30" t="s">
        <v>117</v>
      </c>
      <c r="HJ145" s="16" t="s">
        <v>130</v>
      </c>
      <c r="HK145" s="16" t="str">
        <f t="shared" si="19"/>
        <v>Taurus - Earth</v>
      </c>
    </row>
    <row r="146" spans="215:219">
      <c r="HG146" s="29">
        <v>43962</v>
      </c>
      <c r="HH146" s="30" t="str">
        <f t="shared" si="20"/>
        <v>11-May</v>
      </c>
      <c r="HI146" s="30" t="s">
        <v>117</v>
      </c>
      <c r="HJ146" s="16" t="s">
        <v>130</v>
      </c>
      <c r="HK146" s="16" t="str">
        <f t="shared" si="19"/>
        <v>Taurus - Earth</v>
      </c>
    </row>
    <row r="147" spans="215:219">
      <c r="HG147" s="29">
        <v>43963</v>
      </c>
      <c r="HH147" s="30" t="str">
        <f t="shared" si="20"/>
        <v>12-May</v>
      </c>
      <c r="HI147" s="30" t="s">
        <v>117</v>
      </c>
      <c r="HJ147" s="16" t="s">
        <v>130</v>
      </c>
      <c r="HK147" s="16" t="str">
        <f t="shared" si="19"/>
        <v>Taurus - Earth</v>
      </c>
    </row>
    <row r="148" spans="215:219">
      <c r="HG148" s="29">
        <v>43964</v>
      </c>
      <c r="HH148" s="30" t="str">
        <f t="shared" si="20"/>
        <v>13-May</v>
      </c>
      <c r="HI148" s="30" t="s">
        <v>117</v>
      </c>
      <c r="HJ148" s="16" t="s">
        <v>130</v>
      </c>
      <c r="HK148" s="16" t="str">
        <f t="shared" si="19"/>
        <v>Taurus - Earth</v>
      </c>
    </row>
    <row r="149" spans="215:219">
      <c r="HG149" s="29">
        <v>43965</v>
      </c>
      <c r="HH149" s="30" t="str">
        <f t="shared" si="20"/>
        <v>14-May</v>
      </c>
      <c r="HI149" s="30" t="s">
        <v>117</v>
      </c>
      <c r="HJ149" s="16" t="s">
        <v>130</v>
      </c>
      <c r="HK149" s="16" t="str">
        <f t="shared" si="19"/>
        <v>Taurus - Earth</v>
      </c>
    </row>
    <row r="150" spans="215:219">
      <c r="HG150" s="29">
        <v>43966</v>
      </c>
      <c r="HH150" s="30" t="str">
        <f t="shared" si="20"/>
        <v>15-May</v>
      </c>
      <c r="HI150" s="30" t="s">
        <v>117</v>
      </c>
      <c r="HJ150" s="16" t="s">
        <v>130</v>
      </c>
      <c r="HK150" s="16" t="str">
        <f t="shared" si="19"/>
        <v>Taurus - Earth</v>
      </c>
    </row>
    <row r="151" spans="215:219">
      <c r="HG151" s="29">
        <v>43967</v>
      </c>
      <c r="HH151" s="30" t="str">
        <f t="shared" si="20"/>
        <v>16-May</v>
      </c>
      <c r="HI151" s="30" t="s">
        <v>117</v>
      </c>
      <c r="HJ151" s="16" t="s">
        <v>130</v>
      </c>
      <c r="HK151" s="16" t="str">
        <f t="shared" si="19"/>
        <v>Taurus - Earth</v>
      </c>
    </row>
    <row r="152" spans="215:219">
      <c r="HG152" s="29">
        <v>43968</v>
      </c>
      <c r="HH152" s="30" t="str">
        <f t="shared" si="20"/>
        <v>17-May</v>
      </c>
      <c r="HI152" s="30" t="s">
        <v>117</v>
      </c>
      <c r="HJ152" s="16" t="s">
        <v>130</v>
      </c>
      <c r="HK152" s="16" t="str">
        <f t="shared" si="19"/>
        <v>Taurus - Earth</v>
      </c>
    </row>
    <row r="153" spans="215:219">
      <c r="HG153" s="29">
        <v>43969</v>
      </c>
      <c r="HH153" s="30" t="str">
        <f t="shared" si="20"/>
        <v>18-May</v>
      </c>
      <c r="HI153" s="30" t="s">
        <v>117</v>
      </c>
      <c r="HJ153" s="16" t="s">
        <v>130</v>
      </c>
      <c r="HK153" s="16" t="str">
        <f t="shared" si="19"/>
        <v>Taurus - Earth</v>
      </c>
    </row>
    <row r="154" spans="215:219">
      <c r="HG154" s="29">
        <v>43970</v>
      </c>
      <c r="HH154" s="30" t="str">
        <f t="shared" si="20"/>
        <v>19-May</v>
      </c>
      <c r="HI154" s="30" t="s">
        <v>117</v>
      </c>
      <c r="HJ154" s="16" t="s">
        <v>130</v>
      </c>
      <c r="HK154" s="16" t="str">
        <f t="shared" si="19"/>
        <v>Taurus - Earth</v>
      </c>
    </row>
    <row r="155" spans="215:219">
      <c r="HG155" s="29">
        <v>43971</v>
      </c>
      <c r="HH155" s="30" t="str">
        <f t="shared" si="20"/>
        <v>20-May</v>
      </c>
      <c r="HI155" s="30" t="s">
        <v>117</v>
      </c>
      <c r="HJ155" s="16" t="s">
        <v>130</v>
      </c>
      <c r="HK155" s="16" t="str">
        <f t="shared" si="19"/>
        <v>Taurus - Earth</v>
      </c>
    </row>
    <row r="156" spans="215:219">
      <c r="HG156" s="29">
        <v>43972</v>
      </c>
      <c r="HH156" s="30" t="str">
        <f t="shared" si="20"/>
        <v>21-May</v>
      </c>
      <c r="HI156" s="30" t="s">
        <v>118</v>
      </c>
      <c r="HJ156" s="16" t="s">
        <v>132</v>
      </c>
      <c r="HK156" s="16" t="str">
        <f t="shared" si="19"/>
        <v>Gemini - Air</v>
      </c>
    </row>
    <row r="157" spans="215:219">
      <c r="HG157" s="29">
        <v>43973</v>
      </c>
      <c r="HH157" s="30" t="str">
        <f t="shared" si="20"/>
        <v>22-May</v>
      </c>
      <c r="HI157" s="30" t="s">
        <v>118</v>
      </c>
      <c r="HJ157" s="16" t="s">
        <v>132</v>
      </c>
      <c r="HK157" s="16" t="str">
        <f t="shared" si="19"/>
        <v>Gemini - Air</v>
      </c>
    </row>
    <row r="158" spans="215:219">
      <c r="HG158" s="29">
        <v>43974</v>
      </c>
      <c r="HH158" s="30" t="str">
        <f t="shared" si="20"/>
        <v>23-May</v>
      </c>
      <c r="HI158" s="30" t="s">
        <v>118</v>
      </c>
      <c r="HJ158" s="16" t="s">
        <v>132</v>
      </c>
      <c r="HK158" s="16" t="str">
        <f t="shared" si="19"/>
        <v>Gemini - Air</v>
      </c>
    </row>
    <row r="159" spans="215:219">
      <c r="HG159" s="29">
        <v>43975</v>
      </c>
      <c r="HH159" s="30" t="str">
        <f t="shared" si="20"/>
        <v>24-May</v>
      </c>
      <c r="HI159" s="30" t="s">
        <v>118</v>
      </c>
      <c r="HJ159" s="16" t="s">
        <v>132</v>
      </c>
      <c r="HK159" s="16" t="str">
        <f t="shared" si="19"/>
        <v>Gemini - Air</v>
      </c>
    </row>
    <row r="160" spans="215:219">
      <c r="HG160" s="29">
        <v>43976</v>
      </c>
      <c r="HH160" s="30" t="str">
        <f t="shared" si="20"/>
        <v>25-May</v>
      </c>
      <c r="HI160" s="30" t="s">
        <v>118</v>
      </c>
      <c r="HJ160" s="16" t="s">
        <v>132</v>
      </c>
      <c r="HK160" s="16" t="str">
        <f t="shared" si="19"/>
        <v>Gemini - Air</v>
      </c>
    </row>
    <row r="161" spans="215:219">
      <c r="HG161" s="29">
        <v>43977</v>
      </c>
      <c r="HH161" s="30" t="str">
        <f t="shared" si="20"/>
        <v>26-May</v>
      </c>
      <c r="HI161" s="30" t="s">
        <v>118</v>
      </c>
      <c r="HJ161" s="16" t="s">
        <v>132</v>
      </c>
      <c r="HK161" s="16" t="str">
        <f t="shared" si="19"/>
        <v>Gemini - Air</v>
      </c>
    </row>
    <row r="162" spans="215:219">
      <c r="HG162" s="29">
        <v>43978</v>
      </c>
      <c r="HH162" s="30" t="str">
        <f t="shared" si="20"/>
        <v>27-May</v>
      </c>
      <c r="HI162" s="30" t="s">
        <v>118</v>
      </c>
      <c r="HJ162" s="16" t="s">
        <v>132</v>
      </c>
      <c r="HK162" s="16" t="str">
        <f t="shared" si="19"/>
        <v>Gemini - Air</v>
      </c>
    </row>
    <row r="163" spans="215:219">
      <c r="HG163" s="29">
        <v>43979</v>
      </c>
      <c r="HH163" s="30" t="str">
        <f t="shared" si="20"/>
        <v>28-May</v>
      </c>
      <c r="HI163" s="30" t="s">
        <v>118</v>
      </c>
      <c r="HJ163" s="16" t="s">
        <v>132</v>
      </c>
      <c r="HK163" s="16" t="str">
        <f t="shared" si="19"/>
        <v>Gemini - Air</v>
      </c>
    </row>
    <row r="164" spans="215:219">
      <c r="HG164" s="29">
        <v>43980</v>
      </c>
      <c r="HH164" s="30" t="str">
        <f t="shared" si="20"/>
        <v>29-May</v>
      </c>
      <c r="HI164" s="30" t="s">
        <v>118</v>
      </c>
      <c r="HJ164" s="16" t="s">
        <v>132</v>
      </c>
      <c r="HK164" s="16" t="str">
        <f t="shared" si="19"/>
        <v>Gemini - Air</v>
      </c>
    </row>
    <row r="165" spans="215:219">
      <c r="HG165" s="29">
        <v>43981</v>
      </c>
      <c r="HH165" s="30" t="str">
        <f t="shared" si="20"/>
        <v>30-May</v>
      </c>
      <c r="HI165" s="30" t="s">
        <v>118</v>
      </c>
      <c r="HJ165" s="16" t="s">
        <v>132</v>
      </c>
      <c r="HK165" s="16" t="str">
        <f t="shared" si="19"/>
        <v>Gemini - Air</v>
      </c>
    </row>
    <row r="166" spans="215:219">
      <c r="HG166" s="29">
        <v>43982</v>
      </c>
      <c r="HH166" s="30" t="str">
        <f t="shared" si="20"/>
        <v>31-May</v>
      </c>
      <c r="HI166" s="30" t="s">
        <v>118</v>
      </c>
      <c r="HJ166" s="16" t="s">
        <v>132</v>
      </c>
      <c r="HK166" s="16" t="str">
        <f t="shared" si="19"/>
        <v>Gemini - Air</v>
      </c>
    </row>
    <row r="167" spans="215:219">
      <c r="HG167" s="29">
        <v>43983</v>
      </c>
      <c r="HH167" s="30" t="str">
        <f t="shared" si="20"/>
        <v>01-Jun</v>
      </c>
      <c r="HI167" s="30" t="s">
        <v>118</v>
      </c>
      <c r="HJ167" s="16" t="s">
        <v>132</v>
      </c>
      <c r="HK167" s="16" t="str">
        <f t="shared" si="19"/>
        <v>Gemini - Air</v>
      </c>
    </row>
    <row r="168" spans="215:219">
      <c r="HG168" s="29">
        <v>43984</v>
      </c>
      <c r="HH168" s="30" t="str">
        <f t="shared" si="20"/>
        <v>02-Jun</v>
      </c>
      <c r="HI168" s="30" t="s">
        <v>118</v>
      </c>
      <c r="HJ168" s="16" t="s">
        <v>132</v>
      </c>
      <c r="HK168" s="16" t="str">
        <f t="shared" si="19"/>
        <v>Gemini - Air</v>
      </c>
    </row>
    <row r="169" spans="215:219">
      <c r="HG169" s="29">
        <v>43985</v>
      </c>
      <c r="HH169" s="30" t="str">
        <f t="shared" si="20"/>
        <v>03-Jun</v>
      </c>
      <c r="HI169" s="30" t="s">
        <v>118</v>
      </c>
      <c r="HJ169" s="16" t="s">
        <v>132</v>
      </c>
      <c r="HK169" s="16" t="str">
        <f t="shared" si="19"/>
        <v>Gemini - Air</v>
      </c>
    </row>
    <row r="170" spans="215:219">
      <c r="HG170" s="29">
        <v>43986</v>
      </c>
      <c r="HH170" s="30" t="str">
        <f t="shared" si="20"/>
        <v>04-Jun</v>
      </c>
      <c r="HI170" s="30" t="s">
        <v>118</v>
      </c>
      <c r="HJ170" s="16" t="s">
        <v>132</v>
      </c>
      <c r="HK170" s="16" t="str">
        <f t="shared" si="19"/>
        <v>Gemini - Air</v>
      </c>
    </row>
    <row r="171" spans="215:219">
      <c r="HG171" s="29">
        <v>43987</v>
      </c>
      <c r="HH171" s="30" t="str">
        <f t="shared" si="20"/>
        <v>05-Jun</v>
      </c>
      <c r="HI171" s="30" t="s">
        <v>118</v>
      </c>
      <c r="HJ171" s="16" t="s">
        <v>132</v>
      </c>
      <c r="HK171" s="16" t="str">
        <f t="shared" si="19"/>
        <v>Gemini - Air</v>
      </c>
    </row>
    <row r="172" spans="215:219">
      <c r="HG172" s="29">
        <v>43988</v>
      </c>
      <c r="HH172" s="30" t="str">
        <f t="shared" si="20"/>
        <v>06-Jun</v>
      </c>
      <c r="HI172" s="30" t="s">
        <v>118</v>
      </c>
      <c r="HJ172" s="16" t="s">
        <v>132</v>
      </c>
      <c r="HK172" s="16" t="str">
        <f t="shared" si="19"/>
        <v>Gemini - Air</v>
      </c>
    </row>
    <row r="173" spans="215:219">
      <c r="HG173" s="29">
        <v>43989</v>
      </c>
      <c r="HH173" s="30" t="str">
        <f t="shared" si="20"/>
        <v>07-Jun</v>
      </c>
      <c r="HI173" s="30" t="s">
        <v>118</v>
      </c>
      <c r="HJ173" s="16" t="s">
        <v>132</v>
      </c>
      <c r="HK173" s="16" t="str">
        <f t="shared" si="19"/>
        <v>Gemini - Air</v>
      </c>
    </row>
    <row r="174" spans="215:219">
      <c r="HG174" s="29">
        <v>43990</v>
      </c>
      <c r="HH174" s="30" t="str">
        <f t="shared" si="20"/>
        <v>08-Jun</v>
      </c>
      <c r="HI174" s="30" t="s">
        <v>118</v>
      </c>
      <c r="HJ174" s="16" t="s">
        <v>132</v>
      </c>
      <c r="HK174" s="16" t="str">
        <f t="shared" si="19"/>
        <v>Gemini - Air</v>
      </c>
    </row>
    <row r="175" spans="215:219">
      <c r="HG175" s="29">
        <v>43991</v>
      </c>
      <c r="HH175" s="30" t="str">
        <f t="shared" si="20"/>
        <v>09-Jun</v>
      </c>
      <c r="HI175" s="30" t="s">
        <v>118</v>
      </c>
      <c r="HJ175" s="16" t="s">
        <v>132</v>
      </c>
      <c r="HK175" s="16" t="str">
        <f t="shared" si="19"/>
        <v>Gemini - Air</v>
      </c>
    </row>
    <row r="176" spans="215:219">
      <c r="HG176" s="29">
        <v>43992</v>
      </c>
      <c r="HH176" s="30" t="str">
        <f t="shared" si="20"/>
        <v>10-Jun</v>
      </c>
      <c r="HI176" s="30" t="s">
        <v>118</v>
      </c>
      <c r="HJ176" s="16" t="s">
        <v>132</v>
      </c>
      <c r="HK176" s="16" t="str">
        <f t="shared" si="19"/>
        <v>Gemini - Air</v>
      </c>
    </row>
    <row r="177" spans="215:219">
      <c r="HG177" s="29">
        <v>43993</v>
      </c>
      <c r="HH177" s="30" t="str">
        <f t="shared" si="20"/>
        <v>11-Jun</v>
      </c>
      <c r="HI177" s="30" t="s">
        <v>118</v>
      </c>
      <c r="HJ177" s="16" t="s">
        <v>132</v>
      </c>
      <c r="HK177" s="16" t="str">
        <f t="shared" si="19"/>
        <v>Gemini - Air</v>
      </c>
    </row>
    <row r="178" spans="215:219">
      <c r="HG178" s="29">
        <v>43994</v>
      </c>
      <c r="HH178" s="30" t="str">
        <f t="shared" si="20"/>
        <v>12-Jun</v>
      </c>
      <c r="HI178" s="30" t="s">
        <v>118</v>
      </c>
      <c r="HJ178" s="16" t="s">
        <v>132</v>
      </c>
      <c r="HK178" s="16" t="str">
        <f t="shared" si="19"/>
        <v>Gemini - Air</v>
      </c>
    </row>
    <row r="179" spans="215:219">
      <c r="HG179" s="29">
        <v>43995</v>
      </c>
      <c r="HH179" s="30" t="str">
        <f t="shared" si="20"/>
        <v>13-Jun</v>
      </c>
      <c r="HI179" s="30" t="s">
        <v>118</v>
      </c>
      <c r="HJ179" s="16" t="s">
        <v>132</v>
      </c>
      <c r="HK179" s="16" t="str">
        <f t="shared" si="19"/>
        <v>Gemini - Air</v>
      </c>
    </row>
    <row r="180" spans="215:219">
      <c r="HG180" s="29">
        <v>43996</v>
      </c>
      <c r="HH180" s="30" t="str">
        <f t="shared" si="20"/>
        <v>14-Jun</v>
      </c>
      <c r="HI180" s="30" t="s">
        <v>118</v>
      </c>
      <c r="HJ180" s="16" t="s">
        <v>132</v>
      </c>
      <c r="HK180" s="16" t="str">
        <f t="shared" si="19"/>
        <v>Gemini - Air</v>
      </c>
    </row>
    <row r="181" spans="215:219">
      <c r="HG181" s="29">
        <v>43997</v>
      </c>
      <c r="HH181" s="30" t="str">
        <f t="shared" si="20"/>
        <v>15-Jun</v>
      </c>
      <c r="HI181" s="30" t="s">
        <v>118</v>
      </c>
      <c r="HJ181" s="16" t="s">
        <v>132</v>
      </c>
      <c r="HK181" s="16" t="str">
        <f t="shared" si="19"/>
        <v>Gemini - Air</v>
      </c>
    </row>
    <row r="182" spans="215:219">
      <c r="HG182" s="29">
        <v>43998</v>
      </c>
      <c r="HH182" s="30" t="str">
        <f t="shared" si="20"/>
        <v>16-Jun</v>
      </c>
      <c r="HI182" s="30" t="s">
        <v>118</v>
      </c>
      <c r="HJ182" s="16" t="s">
        <v>132</v>
      </c>
      <c r="HK182" s="16" t="str">
        <f t="shared" si="19"/>
        <v>Gemini - Air</v>
      </c>
    </row>
    <row r="183" spans="215:219">
      <c r="HG183" s="29">
        <v>43999</v>
      </c>
      <c r="HH183" s="30" t="str">
        <f t="shared" si="20"/>
        <v>17-Jun</v>
      </c>
      <c r="HI183" s="30" t="s">
        <v>118</v>
      </c>
      <c r="HJ183" s="16" t="s">
        <v>132</v>
      </c>
      <c r="HK183" s="16" t="str">
        <f t="shared" si="19"/>
        <v>Gemini - Air</v>
      </c>
    </row>
    <row r="184" spans="215:219">
      <c r="HG184" s="29">
        <v>44000</v>
      </c>
      <c r="HH184" s="30" t="str">
        <f t="shared" si="20"/>
        <v>18-Jun</v>
      </c>
      <c r="HI184" s="30" t="s">
        <v>118</v>
      </c>
      <c r="HJ184" s="16" t="s">
        <v>132</v>
      </c>
      <c r="HK184" s="16" t="str">
        <f t="shared" si="19"/>
        <v>Gemini - Air</v>
      </c>
    </row>
    <row r="185" spans="215:219">
      <c r="HG185" s="29">
        <v>44001</v>
      </c>
      <c r="HH185" s="30" t="str">
        <f t="shared" si="20"/>
        <v>19-Jun</v>
      </c>
      <c r="HI185" s="30" t="s">
        <v>118</v>
      </c>
      <c r="HJ185" s="16" t="s">
        <v>132</v>
      </c>
      <c r="HK185" s="16" t="str">
        <f t="shared" si="19"/>
        <v>Gemini - Air</v>
      </c>
    </row>
    <row r="186" spans="215:219">
      <c r="HG186" s="29">
        <v>44002</v>
      </c>
      <c r="HH186" s="30" t="str">
        <f t="shared" si="20"/>
        <v>20-Jun</v>
      </c>
      <c r="HI186" s="30" t="s">
        <v>118</v>
      </c>
      <c r="HJ186" s="16" t="s">
        <v>132</v>
      </c>
      <c r="HK186" s="16" t="str">
        <f t="shared" si="19"/>
        <v>Gemini - Air</v>
      </c>
    </row>
    <row r="187" spans="215:219">
      <c r="HG187" s="29">
        <v>44003</v>
      </c>
      <c r="HH187" s="30" t="str">
        <f t="shared" si="20"/>
        <v>21-Jun</v>
      </c>
      <c r="HI187" s="30" t="s">
        <v>119</v>
      </c>
      <c r="HJ187" s="16" t="s">
        <v>131</v>
      </c>
      <c r="HK187" s="16" t="str">
        <f t="shared" si="19"/>
        <v>Cancer - Water</v>
      </c>
    </row>
    <row r="188" spans="215:219">
      <c r="HG188" s="29">
        <v>44004</v>
      </c>
      <c r="HH188" s="30" t="str">
        <f t="shared" si="20"/>
        <v>22-Jun</v>
      </c>
      <c r="HI188" s="30" t="s">
        <v>119</v>
      </c>
      <c r="HJ188" s="16" t="s">
        <v>131</v>
      </c>
      <c r="HK188" s="16" t="str">
        <f t="shared" si="19"/>
        <v>Cancer - Water</v>
      </c>
    </row>
    <row r="189" spans="215:219">
      <c r="HG189" s="29">
        <v>44005</v>
      </c>
      <c r="HH189" s="30" t="str">
        <f t="shared" si="20"/>
        <v>23-Jun</v>
      </c>
      <c r="HI189" s="30" t="s">
        <v>119</v>
      </c>
      <c r="HJ189" s="16" t="s">
        <v>131</v>
      </c>
      <c r="HK189" s="16" t="str">
        <f t="shared" si="19"/>
        <v>Cancer - Water</v>
      </c>
    </row>
    <row r="190" spans="215:219">
      <c r="HG190" s="29">
        <v>44006</v>
      </c>
      <c r="HH190" s="30" t="str">
        <f t="shared" si="20"/>
        <v>24-Jun</v>
      </c>
      <c r="HI190" s="30" t="s">
        <v>119</v>
      </c>
      <c r="HJ190" s="16" t="s">
        <v>131</v>
      </c>
      <c r="HK190" s="16" t="str">
        <f t="shared" si="19"/>
        <v>Cancer - Water</v>
      </c>
    </row>
    <row r="191" spans="215:219">
      <c r="HG191" s="29">
        <v>44007</v>
      </c>
      <c r="HH191" s="30" t="str">
        <f t="shared" si="20"/>
        <v>25-Jun</v>
      </c>
      <c r="HI191" s="30" t="s">
        <v>119</v>
      </c>
      <c r="HJ191" s="16" t="s">
        <v>131</v>
      </c>
      <c r="HK191" s="16" t="str">
        <f t="shared" si="19"/>
        <v>Cancer - Water</v>
      </c>
    </row>
    <row r="192" spans="215:219">
      <c r="HG192" s="29">
        <v>44008</v>
      </c>
      <c r="HH192" s="30" t="str">
        <f t="shared" si="20"/>
        <v>26-Jun</v>
      </c>
      <c r="HI192" s="30" t="s">
        <v>119</v>
      </c>
      <c r="HJ192" s="16" t="s">
        <v>131</v>
      </c>
      <c r="HK192" s="16" t="str">
        <f t="shared" si="19"/>
        <v>Cancer - Water</v>
      </c>
    </row>
    <row r="193" spans="215:219">
      <c r="HG193" s="29">
        <v>44009</v>
      </c>
      <c r="HH193" s="30" t="str">
        <f t="shared" si="20"/>
        <v>27-Jun</v>
      </c>
      <c r="HI193" s="30" t="s">
        <v>119</v>
      </c>
      <c r="HJ193" s="16" t="s">
        <v>131</v>
      </c>
      <c r="HK193" s="16" t="str">
        <f t="shared" si="19"/>
        <v>Cancer - Water</v>
      </c>
    </row>
    <row r="194" spans="215:219">
      <c r="HG194" s="29">
        <v>44010</v>
      </c>
      <c r="HH194" s="30" t="str">
        <f t="shared" si="20"/>
        <v>28-Jun</v>
      </c>
      <c r="HI194" s="30" t="s">
        <v>119</v>
      </c>
      <c r="HJ194" s="16" t="s">
        <v>131</v>
      </c>
      <c r="HK194" s="16" t="str">
        <f t="shared" si="19"/>
        <v>Cancer - Water</v>
      </c>
    </row>
    <row r="195" spans="215:219">
      <c r="HG195" s="29">
        <v>44011</v>
      </c>
      <c r="HH195" s="30" t="str">
        <f t="shared" si="20"/>
        <v>29-Jun</v>
      </c>
      <c r="HI195" s="30" t="s">
        <v>119</v>
      </c>
      <c r="HJ195" s="16" t="s">
        <v>131</v>
      </c>
      <c r="HK195" s="16" t="str">
        <f t="shared" si="19"/>
        <v>Cancer - Water</v>
      </c>
    </row>
    <row r="196" spans="215:219">
      <c r="HG196" s="29">
        <v>44012</v>
      </c>
      <c r="HH196" s="30" t="str">
        <f t="shared" si="20"/>
        <v>30-Jun</v>
      </c>
      <c r="HI196" s="30" t="s">
        <v>119</v>
      </c>
      <c r="HJ196" s="16" t="s">
        <v>131</v>
      </c>
      <c r="HK196" s="16" t="str">
        <f t="shared" si="19"/>
        <v>Cancer - Water</v>
      </c>
    </row>
    <row r="197" spans="215:219">
      <c r="HG197" s="29">
        <v>44013</v>
      </c>
      <c r="HH197" s="30" t="str">
        <f t="shared" si="20"/>
        <v>01-Jul</v>
      </c>
      <c r="HI197" s="30" t="s">
        <v>119</v>
      </c>
      <c r="HJ197" s="16" t="s">
        <v>131</v>
      </c>
      <c r="HK197" s="16" t="str">
        <f t="shared" si="19"/>
        <v>Cancer - Water</v>
      </c>
    </row>
    <row r="198" spans="215:219">
      <c r="HG198" s="29">
        <v>44014</v>
      </c>
      <c r="HH198" s="30" t="str">
        <f t="shared" si="20"/>
        <v>02-Jul</v>
      </c>
      <c r="HI198" s="30" t="s">
        <v>119</v>
      </c>
      <c r="HJ198" s="16" t="s">
        <v>131</v>
      </c>
      <c r="HK198" s="16" t="str">
        <f t="shared" si="19"/>
        <v>Cancer - Water</v>
      </c>
    </row>
    <row r="199" spans="215:219">
      <c r="HG199" s="29">
        <v>44015</v>
      </c>
      <c r="HH199" s="30" t="str">
        <f t="shared" si="20"/>
        <v>03-Jul</v>
      </c>
      <c r="HI199" s="30" t="s">
        <v>119</v>
      </c>
      <c r="HJ199" s="16" t="s">
        <v>131</v>
      </c>
      <c r="HK199" s="16" t="str">
        <f t="shared" si="19"/>
        <v>Cancer - Water</v>
      </c>
    </row>
    <row r="200" spans="215:219">
      <c r="HG200" s="29">
        <v>44016</v>
      </c>
      <c r="HH200" s="30" t="str">
        <f t="shared" si="20"/>
        <v>04-Jul</v>
      </c>
      <c r="HI200" s="30" t="s">
        <v>119</v>
      </c>
      <c r="HJ200" s="16" t="s">
        <v>131</v>
      </c>
      <c r="HK200" s="16" t="str">
        <f t="shared" si="19"/>
        <v>Cancer - Water</v>
      </c>
    </row>
    <row r="201" spans="215:219">
      <c r="HG201" s="29">
        <v>44017</v>
      </c>
      <c r="HH201" s="30" t="str">
        <f t="shared" si="20"/>
        <v>05-Jul</v>
      </c>
      <c r="HI201" s="30" t="s">
        <v>119</v>
      </c>
      <c r="HJ201" s="16" t="s">
        <v>131</v>
      </c>
      <c r="HK201" s="16" t="str">
        <f t="shared" si="19"/>
        <v>Cancer - Water</v>
      </c>
    </row>
    <row r="202" spans="215:219">
      <c r="HG202" s="29">
        <v>44018</v>
      </c>
      <c r="HH202" s="30" t="str">
        <f t="shared" si="20"/>
        <v>06-Jul</v>
      </c>
      <c r="HI202" s="30" t="s">
        <v>119</v>
      </c>
      <c r="HJ202" s="16" t="s">
        <v>131</v>
      </c>
      <c r="HK202" s="16" t="str">
        <f t="shared" si="19"/>
        <v>Cancer - Water</v>
      </c>
    </row>
    <row r="203" spans="215:219">
      <c r="HG203" s="29">
        <v>44019</v>
      </c>
      <c r="HH203" s="30" t="str">
        <f t="shared" si="20"/>
        <v>07-Jul</v>
      </c>
      <c r="HI203" s="30" t="s">
        <v>119</v>
      </c>
      <c r="HJ203" s="16" t="s">
        <v>131</v>
      </c>
      <c r="HK203" s="16" t="str">
        <f t="shared" si="19"/>
        <v>Cancer - Water</v>
      </c>
    </row>
    <row r="204" spans="215:219">
      <c r="HG204" s="29">
        <v>44020</v>
      </c>
      <c r="HH204" s="30" t="str">
        <f t="shared" si="20"/>
        <v>08-Jul</v>
      </c>
      <c r="HI204" s="30" t="s">
        <v>119</v>
      </c>
      <c r="HJ204" s="16" t="s">
        <v>131</v>
      </c>
      <c r="HK204" s="16" t="str">
        <f t="shared" si="19"/>
        <v>Cancer - Water</v>
      </c>
    </row>
    <row r="205" spans="215:219">
      <c r="HG205" s="29">
        <v>44021</v>
      </c>
      <c r="HH205" s="30" t="str">
        <f t="shared" si="20"/>
        <v>09-Jul</v>
      </c>
      <c r="HI205" s="30" t="s">
        <v>119</v>
      </c>
      <c r="HJ205" s="16" t="s">
        <v>131</v>
      </c>
      <c r="HK205" s="16" t="str">
        <f t="shared" si="19"/>
        <v>Cancer - Water</v>
      </c>
    </row>
    <row r="206" spans="215:219">
      <c r="HG206" s="29">
        <v>44022</v>
      </c>
      <c r="HH206" s="30" t="str">
        <f t="shared" si="20"/>
        <v>10-Jul</v>
      </c>
      <c r="HI206" s="30" t="s">
        <v>119</v>
      </c>
      <c r="HJ206" s="16" t="s">
        <v>131</v>
      </c>
      <c r="HK206" s="16" t="str">
        <f t="shared" ref="HK206:HK269" si="21">HI206&amp;" - "&amp;HJ206</f>
        <v>Cancer - Water</v>
      </c>
    </row>
    <row r="207" spans="215:219">
      <c r="HG207" s="29">
        <v>44023</v>
      </c>
      <c r="HH207" s="30" t="str">
        <f t="shared" si="20"/>
        <v>11-Jul</v>
      </c>
      <c r="HI207" s="30" t="s">
        <v>119</v>
      </c>
      <c r="HJ207" s="16" t="s">
        <v>131</v>
      </c>
      <c r="HK207" s="16" t="str">
        <f t="shared" si="21"/>
        <v>Cancer - Water</v>
      </c>
    </row>
    <row r="208" spans="215:219">
      <c r="HG208" s="29">
        <v>44024</v>
      </c>
      <c r="HH208" s="30" t="str">
        <f t="shared" ref="HH208:HH271" si="22">TEXT(HG208,"DD-MMM")</f>
        <v>12-Jul</v>
      </c>
      <c r="HI208" s="30" t="s">
        <v>119</v>
      </c>
      <c r="HJ208" s="16" t="s">
        <v>131</v>
      </c>
      <c r="HK208" s="16" t="str">
        <f t="shared" si="21"/>
        <v>Cancer - Water</v>
      </c>
    </row>
    <row r="209" spans="215:219">
      <c r="HG209" s="29">
        <v>44025</v>
      </c>
      <c r="HH209" s="30" t="str">
        <f t="shared" si="22"/>
        <v>13-Jul</v>
      </c>
      <c r="HI209" s="30" t="s">
        <v>119</v>
      </c>
      <c r="HJ209" s="16" t="s">
        <v>131</v>
      </c>
      <c r="HK209" s="16" t="str">
        <f t="shared" si="21"/>
        <v>Cancer - Water</v>
      </c>
    </row>
    <row r="210" spans="215:219">
      <c r="HG210" s="29">
        <v>44026</v>
      </c>
      <c r="HH210" s="30" t="str">
        <f t="shared" si="22"/>
        <v>14-Jul</v>
      </c>
      <c r="HI210" s="30" t="s">
        <v>119</v>
      </c>
      <c r="HJ210" s="16" t="s">
        <v>131</v>
      </c>
      <c r="HK210" s="16" t="str">
        <f t="shared" si="21"/>
        <v>Cancer - Water</v>
      </c>
    </row>
    <row r="211" spans="215:219">
      <c r="HG211" s="29">
        <v>44027</v>
      </c>
      <c r="HH211" s="30" t="str">
        <f t="shared" si="22"/>
        <v>15-Jul</v>
      </c>
      <c r="HI211" s="30" t="s">
        <v>119</v>
      </c>
      <c r="HJ211" s="16" t="s">
        <v>131</v>
      </c>
      <c r="HK211" s="16" t="str">
        <f t="shared" si="21"/>
        <v>Cancer - Water</v>
      </c>
    </row>
    <row r="212" spans="215:219">
      <c r="HG212" s="29">
        <v>44028</v>
      </c>
      <c r="HH212" s="30" t="str">
        <f t="shared" si="22"/>
        <v>16-Jul</v>
      </c>
      <c r="HI212" s="30" t="s">
        <v>119</v>
      </c>
      <c r="HJ212" s="16" t="s">
        <v>131</v>
      </c>
      <c r="HK212" s="16" t="str">
        <f t="shared" si="21"/>
        <v>Cancer - Water</v>
      </c>
    </row>
    <row r="213" spans="215:219">
      <c r="HG213" s="29">
        <v>44029</v>
      </c>
      <c r="HH213" s="30" t="str">
        <f t="shared" si="22"/>
        <v>17-Jul</v>
      </c>
      <c r="HI213" s="30" t="s">
        <v>119</v>
      </c>
      <c r="HJ213" s="16" t="s">
        <v>131</v>
      </c>
      <c r="HK213" s="16" t="str">
        <f t="shared" si="21"/>
        <v>Cancer - Water</v>
      </c>
    </row>
    <row r="214" spans="215:219">
      <c r="HG214" s="29">
        <v>44030</v>
      </c>
      <c r="HH214" s="30" t="str">
        <f t="shared" si="22"/>
        <v>18-Jul</v>
      </c>
      <c r="HI214" s="30" t="s">
        <v>119</v>
      </c>
      <c r="HJ214" s="16" t="s">
        <v>131</v>
      </c>
      <c r="HK214" s="16" t="str">
        <f t="shared" si="21"/>
        <v>Cancer - Water</v>
      </c>
    </row>
    <row r="215" spans="215:219">
      <c r="HG215" s="29">
        <v>44031</v>
      </c>
      <c r="HH215" s="30" t="str">
        <f t="shared" si="22"/>
        <v>19-Jul</v>
      </c>
      <c r="HI215" s="30" t="s">
        <v>119</v>
      </c>
      <c r="HJ215" s="16" t="s">
        <v>131</v>
      </c>
      <c r="HK215" s="16" t="str">
        <f t="shared" si="21"/>
        <v>Cancer - Water</v>
      </c>
    </row>
    <row r="216" spans="215:219">
      <c r="HG216" s="29">
        <v>44032</v>
      </c>
      <c r="HH216" s="30" t="str">
        <f t="shared" si="22"/>
        <v>20-Jul</v>
      </c>
      <c r="HI216" s="30" t="s">
        <v>119</v>
      </c>
      <c r="HJ216" s="16" t="s">
        <v>131</v>
      </c>
      <c r="HK216" s="16" t="str">
        <f t="shared" si="21"/>
        <v>Cancer - Water</v>
      </c>
    </row>
    <row r="217" spans="215:219">
      <c r="HG217" s="29">
        <v>44033</v>
      </c>
      <c r="HH217" s="30" t="str">
        <f t="shared" si="22"/>
        <v>21-Jul</v>
      </c>
      <c r="HI217" s="30" t="s">
        <v>119</v>
      </c>
      <c r="HJ217" s="16" t="s">
        <v>131</v>
      </c>
      <c r="HK217" s="16" t="str">
        <f t="shared" si="21"/>
        <v>Cancer - Water</v>
      </c>
    </row>
    <row r="218" spans="215:219">
      <c r="HG218" s="29">
        <v>44034</v>
      </c>
      <c r="HH218" s="30" t="str">
        <f t="shared" si="22"/>
        <v>22-Jul</v>
      </c>
      <c r="HI218" s="30" t="s">
        <v>119</v>
      </c>
      <c r="HJ218" s="16" t="s">
        <v>131</v>
      </c>
      <c r="HK218" s="16" t="str">
        <f t="shared" si="21"/>
        <v>Cancer - Water</v>
      </c>
    </row>
    <row r="219" spans="215:219">
      <c r="HG219" s="29">
        <v>44035</v>
      </c>
      <c r="HH219" s="30" t="str">
        <f t="shared" si="22"/>
        <v>23-Jul</v>
      </c>
      <c r="HI219" s="30" t="s">
        <v>120</v>
      </c>
      <c r="HJ219" s="16" t="s">
        <v>129</v>
      </c>
      <c r="HK219" s="16" t="str">
        <f t="shared" si="21"/>
        <v>Leo - Fire</v>
      </c>
    </row>
    <row r="220" spans="215:219">
      <c r="HG220" s="29">
        <v>44036</v>
      </c>
      <c r="HH220" s="30" t="str">
        <f t="shared" si="22"/>
        <v>24-Jul</v>
      </c>
      <c r="HI220" s="30" t="s">
        <v>120</v>
      </c>
      <c r="HJ220" s="16" t="s">
        <v>129</v>
      </c>
      <c r="HK220" s="16" t="str">
        <f t="shared" si="21"/>
        <v>Leo - Fire</v>
      </c>
    </row>
    <row r="221" spans="215:219">
      <c r="HG221" s="29">
        <v>44037</v>
      </c>
      <c r="HH221" s="30" t="str">
        <f t="shared" si="22"/>
        <v>25-Jul</v>
      </c>
      <c r="HI221" s="30" t="s">
        <v>120</v>
      </c>
      <c r="HJ221" s="16" t="s">
        <v>129</v>
      </c>
      <c r="HK221" s="16" t="str">
        <f t="shared" si="21"/>
        <v>Leo - Fire</v>
      </c>
    </row>
    <row r="222" spans="215:219">
      <c r="HG222" s="29">
        <v>44038</v>
      </c>
      <c r="HH222" s="30" t="str">
        <f t="shared" si="22"/>
        <v>26-Jul</v>
      </c>
      <c r="HI222" s="30" t="s">
        <v>120</v>
      </c>
      <c r="HJ222" s="16" t="s">
        <v>129</v>
      </c>
      <c r="HK222" s="16" t="str">
        <f t="shared" si="21"/>
        <v>Leo - Fire</v>
      </c>
    </row>
    <row r="223" spans="215:219">
      <c r="HG223" s="29">
        <v>44039</v>
      </c>
      <c r="HH223" s="30" t="str">
        <f t="shared" si="22"/>
        <v>27-Jul</v>
      </c>
      <c r="HI223" s="30" t="s">
        <v>120</v>
      </c>
      <c r="HJ223" s="16" t="s">
        <v>129</v>
      </c>
      <c r="HK223" s="16" t="str">
        <f t="shared" si="21"/>
        <v>Leo - Fire</v>
      </c>
    </row>
    <row r="224" spans="215:219">
      <c r="HG224" s="29">
        <v>44040</v>
      </c>
      <c r="HH224" s="30" t="str">
        <f t="shared" si="22"/>
        <v>28-Jul</v>
      </c>
      <c r="HI224" s="30" t="s">
        <v>120</v>
      </c>
      <c r="HJ224" s="16" t="s">
        <v>129</v>
      </c>
      <c r="HK224" s="16" t="str">
        <f t="shared" si="21"/>
        <v>Leo - Fire</v>
      </c>
    </row>
    <row r="225" spans="215:219">
      <c r="HG225" s="29">
        <v>44041</v>
      </c>
      <c r="HH225" s="30" t="str">
        <f t="shared" si="22"/>
        <v>29-Jul</v>
      </c>
      <c r="HI225" s="30" t="s">
        <v>120</v>
      </c>
      <c r="HJ225" s="16" t="s">
        <v>129</v>
      </c>
      <c r="HK225" s="16" t="str">
        <f t="shared" si="21"/>
        <v>Leo - Fire</v>
      </c>
    </row>
    <row r="226" spans="215:219">
      <c r="HG226" s="29">
        <v>44042</v>
      </c>
      <c r="HH226" s="30" t="str">
        <f t="shared" si="22"/>
        <v>30-Jul</v>
      </c>
      <c r="HI226" s="30" t="s">
        <v>120</v>
      </c>
      <c r="HJ226" s="16" t="s">
        <v>129</v>
      </c>
      <c r="HK226" s="16" t="str">
        <f t="shared" si="21"/>
        <v>Leo - Fire</v>
      </c>
    </row>
    <row r="227" spans="215:219">
      <c r="HG227" s="29">
        <v>44043</v>
      </c>
      <c r="HH227" s="30" t="str">
        <f t="shared" si="22"/>
        <v>31-Jul</v>
      </c>
      <c r="HI227" s="30" t="s">
        <v>120</v>
      </c>
      <c r="HJ227" s="16" t="s">
        <v>129</v>
      </c>
      <c r="HK227" s="16" t="str">
        <f t="shared" si="21"/>
        <v>Leo - Fire</v>
      </c>
    </row>
    <row r="228" spans="215:219">
      <c r="HG228" s="29">
        <v>44044</v>
      </c>
      <c r="HH228" s="30" t="str">
        <f t="shared" si="22"/>
        <v>01-Aug</v>
      </c>
      <c r="HI228" s="30" t="s">
        <v>120</v>
      </c>
      <c r="HJ228" s="16" t="s">
        <v>129</v>
      </c>
      <c r="HK228" s="16" t="str">
        <f t="shared" si="21"/>
        <v>Leo - Fire</v>
      </c>
    </row>
    <row r="229" spans="215:219">
      <c r="HG229" s="29">
        <v>44045</v>
      </c>
      <c r="HH229" s="30" t="str">
        <f t="shared" si="22"/>
        <v>02-Aug</v>
      </c>
      <c r="HI229" s="30" t="s">
        <v>120</v>
      </c>
      <c r="HJ229" s="16" t="s">
        <v>129</v>
      </c>
      <c r="HK229" s="16" t="str">
        <f t="shared" si="21"/>
        <v>Leo - Fire</v>
      </c>
    </row>
    <row r="230" spans="215:219">
      <c r="HG230" s="29">
        <v>44046</v>
      </c>
      <c r="HH230" s="30" t="str">
        <f t="shared" si="22"/>
        <v>03-Aug</v>
      </c>
      <c r="HI230" s="30" t="s">
        <v>120</v>
      </c>
      <c r="HJ230" s="16" t="s">
        <v>129</v>
      </c>
      <c r="HK230" s="16" t="str">
        <f t="shared" si="21"/>
        <v>Leo - Fire</v>
      </c>
    </row>
    <row r="231" spans="215:219">
      <c r="HG231" s="29">
        <v>44047</v>
      </c>
      <c r="HH231" s="30" t="str">
        <f t="shared" si="22"/>
        <v>04-Aug</v>
      </c>
      <c r="HI231" s="30" t="s">
        <v>120</v>
      </c>
      <c r="HJ231" s="16" t="s">
        <v>129</v>
      </c>
      <c r="HK231" s="16" t="str">
        <f t="shared" si="21"/>
        <v>Leo - Fire</v>
      </c>
    </row>
    <row r="232" spans="215:219">
      <c r="HG232" s="29">
        <v>44048</v>
      </c>
      <c r="HH232" s="30" t="str">
        <f t="shared" si="22"/>
        <v>05-Aug</v>
      </c>
      <c r="HI232" s="30" t="s">
        <v>120</v>
      </c>
      <c r="HJ232" s="16" t="s">
        <v>129</v>
      </c>
      <c r="HK232" s="16" t="str">
        <f t="shared" si="21"/>
        <v>Leo - Fire</v>
      </c>
    </row>
    <row r="233" spans="215:219">
      <c r="HG233" s="29">
        <v>44049</v>
      </c>
      <c r="HH233" s="30" t="str">
        <f t="shared" si="22"/>
        <v>06-Aug</v>
      </c>
      <c r="HI233" s="30" t="s">
        <v>120</v>
      </c>
      <c r="HJ233" s="16" t="s">
        <v>129</v>
      </c>
      <c r="HK233" s="16" t="str">
        <f t="shared" si="21"/>
        <v>Leo - Fire</v>
      </c>
    </row>
    <row r="234" spans="215:219">
      <c r="HG234" s="29">
        <v>44050</v>
      </c>
      <c r="HH234" s="30" t="str">
        <f t="shared" si="22"/>
        <v>07-Aug</v>
      </c>
      <c r="HI234" s="30" t="s">
        <v>120</v>
      </c>
      <c r="HJ234" s="16" t="s">
        <v>129</v>
      </c>
      <c r="HK234" s="16" t="str">
        <f t="shared" si="21"/>
        <v>Leo - Fire</v>
      </c>
    </row>
    <row r="235" spans="215:219">
      <c r="HG235" s="29">
        <v>44051</v>
      </c>
      <c r="HH235" s="30" t="str">
        <f t="shared" si="22"/>
        <v>08-Aug</v>
      </c>
      <c r="HI235" s="30" t="s">
        <v>120</v>
      </c>
      <c r="HJ235" s="16" t="s">
        <v>129</v>
      </c>
      <c r="HK235" s="16" t="str">
        <f t="shared" si="21"/>
        <v>Leo - Fire</v>
      </c>
    </row>
    <row r="236" spans="215:219">
      <c r="HG236" s="29">
        <v>44052</v>
      </c>
      <c r="HH236" s="30" t="str">
        <f t="shared" si="22"/>
        <v>09-Aug</v>
      </c>
      <c r="HI236" s="30" t="s">
        <v>120</v>
      </c>
      <c r="HJ236" s="16" t="s">
        <v>129</v>
      </c>
      <c r="HK236" s="16" t="str">
        <f t="shared" si="21"/>
        <v>Leo - Fire</v>
      </c>
    </row>
    <row r="237" spans="215:219">
      <c r="HG237" s="29">
        <v>44053</v>
      </c>
      <c r="HH237" s="30" t="str">
        <f t="shared" si="22"/>
        <v>10-Aug</v>
      </c>
      <c r="HI237" s="30" t="s">
        <v>120</v>
      </c>
      <c r="HJ237" s="16" t="s">
        <v>129</v>
      </c>
      <c r="HK237" s="16" t="str">
        <f t="shared" si="21"/>
        <v>Leo - Fire</v>
      </c>
    </row>
    <row r="238" spans="215:219">
      <c r="HG238" s="29">
        <v>44054</v>
      </c>
      <c r="HH238" s="30" t="str">
        <f t="shared" si="22"/>
        <v>11-Aug</v>
      </c>
      <c r="HI238" s="30" t="s">
        <v>120</v>
      </c>
      <c r="HJ238" s="16" t="s">
        <v>129</v>
      </c>
      <c r="HK238" s="16" t="str">
        <f t="shared" si="21"/>
        <v>Leo - Fire</v>
      </c>
    </row>
    <row r="239" spans="215:219">
      <c r="HG239" s="29">
        <v>44055</v>
      </c>
      <c r="HH239" s="30" t="str">
        <f t="shared" si="22"/>
        <v>12-Aug</v>
      </c>
      <c r="HI239" s="30" t="s">
        <v>120</v>
      </c>
      <c r="HJ239" s="16" t="s">
        <v>129</v>
      </c>
      <c r="HK239" s="16" t="str">
        <f t="shared" si="21"/>
        <v>Leo - Fire</v>
      </c>
    </row>
    <row r="240" spans="215:219">
      <c r="HG240" s="29">
        <v>44056</v>
      </c>
      <c r="HH240" s="30" t="str">
        <f t="shared" si="22"/>
        <v>13-Aug</v>
      </c>
      <c r="HI240" s="30" t="s">
        <v>120</v>
      </c>
      <c r="HJ240" s="16" t="s">
        <v>129</v>
      </c>
      <c r="HK240" s="16" t="str">
        <f t="shared" si="21"/>
        <v>Leo - Fire</v>
      </c>
    </row>
    <row r="241" spans="215:219">
      <c r="HG241" s="29">
        <v>44057</v>
      </c>
      <c r="HH241" s="30" t="str">
        <f t="shared" si="22"/>
        <v>14-Aug</v>
      </c>
      <c r="HI241" s="30" t="s">
        <v>120</v>
      </c>
      <c r="HJ241" s="16" t="s">
        <v>129</v>
      </c>
      <c r="HK241" s="16" t="str">
        <f t="shared" si="21"/>
        <v>Leo - Fire</v>
      </c>
    </row>
    <row r="242" spans="215:219">
      <c r="HG242" s="29">
        <v>44058</v>
      </c>
      <c r="HH242" s="30" t="str">
        <f t="shared" si="22"/>
        <v>15-Aug</v>
      </c>
      <c r="HI242" s="30" t="s">
        <v>120</v>
      </c>
      <c r="HJ242" s="16" t="s">
        <v>129</v>
      </c>
      <c r="HK242" s="16" t="str">
        <f t="shared" si="21"/>
        <v>Leo - Fire</v>
      </c>
    </row>
    <row r="243" spans="215:219">
      <c r="HG243" s="29">
        <v>44059</v>
      </c>
      <c r="HH243" s="30" t="str">
        <f t="shared" si="22"/>
        <v>16-Aug</v>
      </c>
      <c r="HI243" s="30" t="s">
        <v>120</v>
      </c>
      <c r="HJ243" s="16" t="s">
        <v>129</v>
      </c>
      <c r="HK243" s="16" t="str">
        <f t="shared" si="21"/>
        <v>Leo - Fire</v>
      </c>
    </row>
    <row r="244" spans="215:219">
      <c r="HG244" s="29">
        <v>44060</v>
      </c>
      <c r="HH244" s="30" t="str">
        <f t="shared" si="22"/>
        <v>17-Aug</v>
      </c>
      <c r="HI244" s="30" t="s">
        <v>120</v>
      </c>
      <c r="HJ244" s="16" t="s">
        <v>129</v>
      </c>
      <c r="HK244" s="16" t="str">
        <f t="shared" si="21"/>
        <v>Leo - Fire</v>
      </c>
    </row>
    <row r="245" spans="215:219">
      <c r="HG245" s="29">
        <v>44061</v>
      </c>
      <c r="HH245" s="30" t="str">
        <f t="shared" si="22"/>
        <v>18-Aug</v>
      </c>
      <c r="HI245" s="30" t="s">
        <v>120</v>
      </c>
      <c r="HJ245" s="16" t="s">
        <v>129</v>
      </c>
      <c r="HK245" s="16" t="str">
        <f t="shared" si="21"/>
        <v>Leo - Fire</v>
      </c>
    </row>
    <row r="246" spans="215:219">
      <c r="HG246" s="29">
        <v>44062</v>
      </c>
      <c r="HH246" s="30" t="str">
        <f t="shared" si="22"/>
        <v>19-Aug</v>
      </c>
      <c r="HI246" s="30" t="s">
        <v>120</v>
      </c>
      <c r="HJ246" s="16" t="s">
        <v>129</v>
      </c>
      <c r="HK246" s="16" t="str">
        <f t="shared" si="21"/>
        <v>Leo - Fire</v>
      </c>
    </row>
    <row r="247" spans="215:219">
      <c r="HG247" s="29">
        <v>44063</v>
      </c>
      <c r="HH247" s="30" t="str">
        <f t="shared" si="22"/>
        <v>20-Aug</v>
      </c>
      <c r="HI247" s="30" t="s">
        <v>120</v>
      </c>
      <c r="HJ247" s="16" t="s">
        <v>129</v>
      </c>
      <c r="HK247" s="16" t="str">
        <f t="shared" si="21"/>
        <v>Leo - Fire</v>
      </c>
    </row>
    <row r="248" spans="215:219">
      <c r="HG248" s="29">
        <v>44064</v>
      </c>
      <c r="HH248" s="30" t="str">
        <f t="shared" si="22"/>
        <v>21-Aug</v>
      </c>
      <c r="HI248" s="30" t="s">
        <v>120</v>
      </c>
      <c r="HJ248" s="16" t="s">
        <v>129</v>
      </c>
      <c r="HK248" s="16" t="str">
        <f t="shared" si="21"/>
        <v>Leo - Fire</v>
      </c>
    </row>
    <row r="249" spans="215:219">
      <c r="HG249" s="29">
        <v>44065</v>
      </c>
      <c r="HH249" s="30" t="str">
        <f t="shared" si="22"/>
        <v>22-Aug</v>
      </c>
      <c r="HI249" s="30" t="s">
        <v>120</v>
      </c>
      <c r="HJ249" s="16" t="s">
        <v>129</v>
      </c>
      <c r="HK249" s="16" t="str">
        <f t="shared" si="21"/>
        <v>Leo - Fire</v>
      </c>
    </row>
    <row r="250" spans="215:219">
      <c r="HG250" s="29">
        <v>44066</v>
      </c>
      <c r="HH250" s="30" t="str">
        <f t="shared" si="22"/>
        <v>23-Aug</v>
      </c>
      <c r="HI250" s="30" t="s">
        <v>121</v>
      </c>
      <c r="HJ250" s="16" t="s">
        <v>130</v>
      </c>
      <c r="HK250" s="16" t="str">
        <f t="shared" si="21"/>
        <v>Virgo - Earth</v>
      </c>
    </row>
    <row r="251" spans="215:219">
      <c r="HG251" s="29">
        <v>44067</v>
      </c>
      <c r="HH251" s="30" t="str">
        <f t="shared" si="22"/>
        <v>24-Aug</v>
      </c>
      <c r="HI251" s="30" t="s">
        <v>121</v>
      </c>
      <c r="HJ251" s="16" t="s">
        <v>130</v>
      </c>
      <c r="HK251" s="16" t="str">
        <f t="shared" si="21"/>
        <v>Virgo - Earth</v>
      </c>
    </row>
    <row r="252" spans="215:219">
      <c r="HG252" s="29">
        <v>44068</v>
      </c>
      <c r="HH252" s="30" t="str">
        <f t="shared" si="22"/>
        <v>25-Aug</v>
      </c>
      <c r="HI252" s="30" t="s">
        <v>121</v>
      </c>
      <c r="HJ252" s="16" t="s">
        <v>130</v>
      </c>
      <c r="HK252" s="16" t="str">
        <f t="shared" si="21"/>
        <v>Virgo - Earth</v>
      </c>
    </row>
    <row r="253" spans="215:219">
      <c r="HG253" s="29">
        <v>44069</v>
      </c>
      <c r="HH253" s="30" t="str">
        <f t="shared" si="22"/>
        <v>26-Aug</v>
      </c>
      <c r="HI253" s="30" t="s">
        <v>121</v>
      </c>
      <c r="HJ253" s="16" t="s">
        <v>130</v>
      </c>
      <c r="HK253" s="16" t="str">
        <f t="shared" si="21"/>
        <v>Virgo - Earth</v>
      </c>
    </row>
    <row r="254" spans="215:219">
      <c r="HG254" s="29">
        <v>44070</v>
      </c>
      <c r="HH254" s="30" t="str">
        <f t="shared" si="22"/>
        <v>27-Aug</v>
      </c>
      <c r="HI254" s="30" t="s">
        <v>121</v>
      </c>
      <c r="HJ254" s="16" t="s">
        <v>130</v>
      </c>
      <c r="HK254" s="16" t="str">
        <f t="shared" si="21"/>
        <v>Virgo - Earth</v>
      </c>
    </row>
    <row r="255" spans="215:219">
      <c r="HG255" s="29">
        <v>44071</v>
      </c>
      <c r="HH255" s="30" t="str">
        <f t="shared" si="22"/>
        <v>28-Aug</v>
      </c>
      <c r="HI255" s="30" t="s">
        <v>121</v>
      </c>
      <c r="HJ255" s="16" t="s">
        <v>130</v>
      </c>
      <c r="HK255" s="16" t="str">
        <f t="shared" si="21"/>
        <v>Virgo - Earth</v>
      </c>
    </row>
    <row r="256" spans="215:219">
      <c r="HG256" s="29">
        <v>44072</v>
      </c>
      <c r="HH256" s="30" t="str">
        <f t="shared" si="22"/>
        <v>29-Aug</v>
      </c>
      <c r="HI256" s="30" t="s">
        <v>121</v>
      </c>
      <c r="HJ256" s="16" t="s">
        <v>130</v>
      </c>
      <c r="HK256" s="16" t="str">
        <f t="shared" si="21"/>
        <v>Virgo - Earth</v>
      </c>
    </row>
    <row r="257" spans="215:219">
      <c r="HG257" s="29">
        <v>44073</v>
      </c>
      <c r="HH257" s="30" t="str">
        <f t="shared" si="22"/>
        <v>30-Aug</v>
      </c>
      <c r="HI257" s="30" t="s">
        <v>121</v>
      </c>
      <c r="HJ257" s="16" t="s">
        <v>130</v>
      </c>
      <c r="HK257" s="16" t="str">
        <f t="shared" si="21"/>
        <v>Virgo - Earth</v>
      </c>
    </row>
    <row r="258" spans="215:219">
      <c r="HG258" s="29">
        <v>44074</v>
      </c>
      <c r="HH258" s="30" t="str">
        <f t="shared" si="22"/>
        <v>31-Aug</v>
      </c>
      <c r="HI258" s="30" t="s">
        <v>121</v>
      </c>
      <c r="HJ258" s="16" t="s">
        <v>130</v>
      </c>
      <c r="HK258" s="16" t="str">
        <f t="shared" si="21"/>
        <v>Virgo - Earth</v>
      </c>
    </row>
    <row r="259" spans="215:219">
      <c r="HG259" s="29">
        <v>44075</v>
      </c>
      <c r="HH259" s="30" t="str">
        <f t="shared" si="22"/>
        <v>01-Sep</v>
      </c>
      <c r="HI259" s="30" t="s">
        <v>121</v>
      </c>
      <c r="HJ259" s="16" t="s">
        <v>130</v>
      </c>
      <c r="HK259" s="16" t="str">
        <f t="shared" si="21"/>
        <v>Virgo - Earth</v>
      </c>
    </row>
    <row r="260" spans="215:219">
      <c r="HG260" s="29">
        <v>44076</v>
      </c>
      <c r="HH260" s="30" t="str">
        <f t="shared" si="22"/>
        <v>02-Sep</v>
      </c>
      <c r="HI260" s="30" t="s">
        <v>121</v>
      </c>
      <c r="HJ260" s="16" t="s">
        <v>130</v>
      </c>
      <c r="HK260" s="16" t="str">
        <f t="shared" si="21"/>
        <v>Virgo - Earth</v>
      </c>
    </row>
    <row r="261" spans="215:219">
      <c r="HG261" s="29">
        <v>44077</v>
      </c>
      <c r="HH261" s="30" t="str">
        <f t="shared" si="22"/>
        <v>03-Sep</v>
      </c>
      <c r="HI261" s="30" t="s">
        <v>121</v>
      </c>
      <c r="HJ261" s="16" t="s">
        <v>130</v>
      </c>
      <c r="HK261" s="16" t="str">
        <f t="shared" si="21"/>
        <v>Virgo - Earth</v>
      </c>
    </row>
    <row r="262" spans="215:219">
      <c r="HG262" s="29">
        <v>44078</v>
      </c>
      <c r="HH262" s="30" t="str">
        <f t="shared" si="22"/>
        <v>04-Sep</v>
      </c>
      <c r="HI262" s="30" t="s">
        <v>121</v>
      </c>
      <c r="HJ262" s="16" t="s">
        <v>130</v>
      </c>
      <c r="HK262" s="16" t="str">
        <f t="shared" si="21"/>
        <v>Virgo - Earth</v>
      </c>
    </row>
    <row r="263" spans="215:219">
      <c r="HG263" s="29">
        <v>44079</v>
      </c>
      <c r="HH263" s="30" t="str">
        <f t="shared" si="22"/>
        <v>05-Sep</v>
      </c>
      <c r="HI263" s="30" t="s">
        <v>121</v>
      </c>
      <c r="HJ263" s="16" t="s">
        <v>130</v>
      </c>
      <c r="HK263" s="16" t="str">
        <f t="shared" si="21"/>
        <v>Virgo - Earth</v>
      </c>
    </row>
    <row r="264" spans="215:219">
      <c r="HG264" s="29">
        <v>44080</v>
      </c>
      <c r="HH264" s="30" t="str">
        <f t="shared" si="22"/>
        <v>06-Sep</v>
      </c>
      <c r="HI264" s="30" t="s">
        <v>121</v>
      </c>
      <c r="HJ264" s="16" t="s">
        <v>130</v>
      </c>
      <c r="HK264" s="16" t="str">
        <f t="shared" si="21"/>
        <v>Virgo - Earth</v>
      </c>
    </row>
    <row r="265" spans="215:219">
      <c r="HG265" s="29">
        <v>44081</v>
      </c>
      <c r="HH265" s="30" t="str">
        <f t="shared" si="22"/>
        <v>07-Sep</v>
      </c>
      <c r="HI265" s="30" t="s">
        <v>121</v>
      </c>
      <c r="HJ265" s="16" t="s">
        <v>130</v>
      </c>
      <c r="HK265" s="16" t="str">
        <f t="shared" si="21"/>
        <v>Virgo - Earth</v>
      </c>
    </row>
    <row r="266" spans="215:219">
      <c r="HG266" s="29">
        <v>44082</v>
      </c>
      <c r="HH266" s="30" t="str">
        <f t="shared" si="22"/>
        <v>08-Sep</v>
      </c>
      <c r="HI266" s="30" t="s">
        <v>121</v>
      </c>
      <c r="HJ266" s="16" t="s">
        <v>130</v>
      </c>
      <c r="HK266" s="16" t="str">
        <f t="shared" si="21"/>
        <v>Virgo - Earth</v>
      </c>
    </row>
    <row r="267" spans="215:219">
      <c r="HG267" s="29">
        <v>44083</v>
      </c>
      <c r="HH267" s="30" t="str">
        <f t="shared" si="22"/>
        <v>09-Sep</v>
      </c>
      <c r="HI267" s="30" t="s">
        <v>121</v>
      </c>
      <c r="HJ267" s="16" t="s">
        <v>130</v>
      </c>
      <c r="HK267" s="16" t="str">
        <f t="shared" si="21"/>
        <v>Virgo - Earth</v>
      </c>
    </row>
    <row r="268" spans="215:219">
      <c r="HG268" s="29">
        <v>44084</v>
      </c>
      <c r="HH268" s="30" t="str">
        <f t="shared" si="22"/>
        <v>10-Sep</v>
      </c>
      <c r="HI268" s="30" t="s">
        <v>121</v>
      </c>
      <c r="HJ268" s="16" t="s">
        <v>130</v>
      </c>
      <c r="HK268" s="16" t="str">
        <f t="shared" si="21"/>
        <v>Virgo - Earth</v>
      </c>
    </row>
    <row r="269" spans="215:219">
      <c r="HG269" s="29">
        <v>44085</v>
      </c>
      <c r="HH269" s="30" t="str">
        <f t="shared" si="22"/>
        <v>11-Sep</v>
      </c>
      <c r="HI269" s="30" t="s">
        <v>121</v>
      </c>
      <c r="HJ269" s="16" t="s">
        <v>130</v>
      </c>
      <c r="HK269" s="16" t="str">
        <f t="shared" si="21"/>
        <v>Virgo - Earth</v>
      </c>
    </row>
    <row r="270" spans="215:219">
      <c r="HG270" s="29">
        <v>44086</v>
      </c>
      <c r="HH270" s="30" t="str">
        <f t="shared" si="22"/>
        <v>12-Sep</v>
      </c>
      <c r="HI270" s="30" t="s">
        <v>121</v>
      </c>
      <c r="HJ270" s="16" t="s">
        <v>130</v>
      </c>
      <c r="HK270" s="16" t="str">
        <f t="shared" ref="HK270:HK333" si="23">HI270&amp;" - "&amp;HJ270</f>
        <v>Virgo - Earth</v>
      </c>
    </row>
    <row r="271" spans="215:219">
      <c r="HG271" s="29">
        <v>44087</v>
      </c>
      <c r="HH271" s="30" t="str">
        <f t="shared" si="22"/>
        <v>13-Sep</v>
      </c>
      <c r="HI271" s="30" t="s">
        <v>121</v>
      </c>
      <c r="HJ271" s="16" t="s">
        <v>130</v>
      </c>
      <c r="HK271" s="16" t="str">
        <f t="shared" si="23"/>
        <v>Virgo - Earth</v>
      </c>
    </row>
    <row r="272" spans="215:219">
      <c r="HG272" s="29">
        <v>44088</v>
      </c>
      <c r="HH272" s="30" t="str">
        <f t="shared" ref="HH272:HH335" si="24">TEXT(HG272,"DD-MMM")</f>
        <v>14-Sep</v>
      </c>
      <c r="HI272" s="30" t="s">
        <v>121</v>
      </c>
      <c r="HJ272" s="16" t="s">
        <v>130</v>
      </c>
      <c r="HK272" s="16" t="str">
        <f t="shared" si="23"/>
        <v>Virgo - Earth</v>
      </c>
    </row>
    <row r="273" spans="215:219">
      <c r="HG273" s="29">
        <v>44089</v>
      </c>
      <c r="HH273" s="30" t="str">
        <f t="shared" si="24"/>
        <v>15-Sep</v>
      </c>
      <c r="HI273" s="30" t="s">
        <v>121</v>
      </c>
      <c r="HJ273" s="16" t="s">
        <v>130</v>
      </c>
      <c r="HK273" s="16" t="str">
        <f t="shared" si="23"/>
        <v>Virgo - Earth</v>
      </c>
    </row>
    <row r="274" spans="215:219">
      <c r="HG274" s="29">
        <v>44090</v>
      </c>
      <c r="HH274" s="30" t="str">
        <f t="shared" si="24"/>
        <v>16-Sep</v>
      </c>
      <c r="HI274" s="30" t="s">
        <v>121</v>
      </c>
      <c r="HJ274" s="16" t="s">
        <v>130</v>
      </c>
      <c r="HK274" s="16" t="str">
        <f t="shared" si="23"/>
        <v>Virgo - Earth</v>
      </c>
    </row>
    <row r="275" spans="215:219">
      <c r="HG275" s="29">
        <v>44091</v>
      </c>
      <c r="HH275" s="30" t="str">
        <f t="shared" si="24"/>
        <v>17-Sep</v>
      </c>
      <c r="HI275" s="30" t="s">
        <v>121</v>
      </c>
      <c r="HJ275" s="16" t="s">
        <v>130</v>
      </c>
      <c r="HK275" s="16" t="str">
        <f t="shared" si="23"/>
        <v>Virgo - Earth</v>
      </c>
    </row>
    <row r="276" spans="215:219">
      <c r="HG276" s="29">
        <v>44092</v>
      </c>
      <c r="HH276" s="30" t="str">
        <f t="shared" si="24"/>
        <v>18-Sep</v>
      </c>
      <c r="HI276" s="30" t="s">
        <v>121</v>
      </c>
      <c r="HJ276" s="16" t="s">
        <v>130</v>
      </c>
      <c r="HK276" s="16" t="str">
        <f t="shared" si="23"/>
        <v>Virgo - Earth</v>
      </c>
    </row>
    <row r="277" spans="215:219">
      <c r="HG277" s="29">
        <v>44093</v>
      </c>
      <c r="HH277" s="30" t="str">
        <f t="shared" si="24"/>
        <v>19-Sep</v>
      </c>
      <c r="HI277" s="30" t="s">
        <v>121</v>
      </c>
      <c r="HJ277" s="16" t="s">
        <v>130</v>
      </c>
      <c r="HK277" s="16" t="str">
        <f t="shared" si="23"/>
        <v>Virgo - Earth</v>
      </c>
    </row>
    <row r="278" spans="215:219">
      <c r="HG278" s="29">
        <v>44094</v>
      </c>
      <c r="HH278" s="30" t="str">
        <f t="shared" si="24"/>
        <v>20-Sep</v>
      </c>
      <c r="HI278" s="30" t="s">
        <v>121</v>
      </c>
      <c r="HJ278" s="16" t="s">
        <v>130</v>
      </c>
      <c r="HK278" s="16" t="str">
        <f t="shared" si="23"/>
        <v>Virgo - Earth</v>
      </c>
    </row>
    <row r="279" spans="215:219">
      <c r="HG279" s="29">
        <v>44095</v>
      </c>
      <c r="HH279" s="30" t="str">
        <f t="shared" si="24"/>
        <v>21-Sep</v>
      </c>
      <c r="HI279" s="30" t="s">
        <v>121</v>
      </c>
      <c r="HJ279" s="16" t="s">
        <v>130</v>
      </c>
      <c r="HK279" s="16" t="str">
        <f t="shared" si="23"/>
        <v>Virgo - Earth</v>
      </c>
    </row>
    <row r="280" spans="215:219">
      <c r="HG280" s="29">
        <v>44096</v>
      </c>
      <c r="HH280" s="30" t="str">
        <f t="shared" si="24"/>
        <v>22-Sep</v>
      </c>
      <c r="HI280" s="30" t="s">
        <v>121</v>
      </c>
      <c r="HJ280" s="16" t="s">
        <v>130</v>
      </c>
      <c r="HK280" s="16" t="str">
        <f t="shared" si="23"/>
        <v>Virgo - Earth</v>
      </c>
    </row>
    <row r="281" spans="215:219">
      <c r="HG281" s="29">
        <v>44097</v>
      </c>
      <c r="HH281" s="30" t="str">
        <f t="shared" si="24"/>
        <v>23-Sep</v>
      </c>
      <c r="HI281" s="30" t="s">
        <v>122</v>
      </c>
      <c r="HJ281" s="16" t="s">
        <v>132</v>
      </c>
      <c r="HK281" s="16" t="str">
        <f t="shared" si="23"/>
        <v>Libra - Air</v>
      </c>
    </row>
    <row r="282" spans="215:219">
      <c r="HG282" s="29">
        <v>44098</v>
      </c>
      <c r="HH282" s="30" t="str">
        <f t="shared" si="24"/>
        <v>24-Sep</v>
      </c>
      <c r="HI282" s="30" t="s">
        <v>122</v>
      </c>
      <c r="HJ282" s="16" t="s">
        <v>132</v>
      </c>
      <c r="HK282" s="16" t="str">
        <f t="shared" si="23"/>
        <v>Libra - Air</v>
      </c>
    </row>
    <row r="283" spans="215:219">
      <c r="HG283" s="29">
        <v>44099</v>
      </c>
      <c r="HH283" s="30" t="str">
        <f t="shared" si="24"/>
        <v>25-Sep</v>
      </c>
      <c r="HI283" s="30" t="s">
        <v>122</v>
      </c>
      <c r="HJ283" s="16" t="s">
        <v>132</v>
      </c>
      <c r="HK283" s="16" t="str">
        <f t="shared" si="23"/>
        <v>Libra - Air</v>
      </c>
    </row>
    <row r="284" spans="215:219">
      <c r="HG284" s="29">
        <v>44100</v>
      </c>
      <c r="HH284" s="30" t="str">
        <f t="shared" si="24"/>
        <v>26-Sep</v>
      </c>
      <c r="HI284" s="30" t="s">
        <v>122</v>
      </c>
      <c r="HJ284" s="16" t="s">
        <v>132</v>
      </c>
      <c r="HK284" s="16" t="str">
        <f t="shared" si="23"/>
        <v>Libra - Air</v>
      </c>
    </row>
    <row r="285" spans="215:219">
      <c r="HG285" s="29">
        <v>44101</v>
      </c>
      <c r="HH285" s="30" t="str">
        <f t="shared" si="24"/>
        <v>27-Sep</v>
      </c>
      <c r="HI285" s="30" t="s">
        <v>122</v>
      </c>
      <c r="HJ285" s="16" t="s">
        <v>132</v>
      </c>
      <c r="HK285" s="16" t="str">
        <f t="shared" si="23"/>
        <v>Libra - Air</v>
      </c>
    </row>
    <row r="286" spans="215:219">
      <c r="HG286" s="29">
        <v>44102</v>
      </c>
      <c r="HH286" s="30" t="str">
        <f t="shared" si="24"/>
        <v>28-Sep</v>
      </c>
      <c r="HI286" s="30" t="s">
        <v>122</v>
      </c>
      <c r="HJ286" s="16" t="s">
        <v>132</v>
      </c>
      <c r="HK286" s="16" t="str">
        <f t="shared" si="23"/>
        <v>Libra - Air</v>
      </c>
    </row>
    <row r="287" spans="215:219">
      <c r="HG287" s="29">
        <v>44103</v>
      </c>
      <c r="HH287" s="30" t="str">
        <f t="shared" si="24"/>
        <v>29-Sep</v>
      </c>
      <c r="HI287" s="30" t="s">
        <v>122</v>
      </c>
      <c r="HJ287" s="16" t="s">
        <v>132</v>
      </c>
      <c r="HK287" s="16" t="str">
        <f t="shared" si="23"/>
        <v>Libra - Air</v>
      </c>
    </row>
    <row r="288" spans="215:219">
      <c r="HG288" s="29">
        <v>44104</v>
      </c>
      <c r="HH288" s="30" t="str">
        <f t="shared" si="24"/>
        <v>30-Sep</v>
      </c>
      <c r="HI288" s="30" t="s">
        <v>122</v>
      </c>
      <c r="HJ288" s="16" t="s">
        <v>132</v>
      </c>
      <c r="HK288" s="16" t="str">
        <f t="shared" si="23"/>
        <v>Libra - Air</v>
      </c>
    </row>
    <row r="289" spans="215:219">
      <c r="HG289" s="29">
        <v>44105</v>
      </c>
      <c r="HH289" s="30" t="str">
        <f t="shared" si="24"/>
        <v>01-Oct</v>
      </c>
      <c r="HI289" s="30" t="s">
        <v>122</v>
      </c>
      <c r="HJ289" s="16" t="s">
        <v>132</v>
      </c>
      <c r="HK289" s="16" t="str">
        <f t="shared" si="23"/>
        <v>Libra - Air</v>
      </c>
    </row>
    <row r="290" spans="215:219">
      <c r="HG290" s="29">
        <v>44106</v>
      </c>
      <c r="HH290" s="30" t="str">
        <f t="shared" si="24"/>
        <v>02-Oct</v>
      </c>
      <c r="HI290" s="30" t="s">
        <v>122</v>
      </c>
      <c r="HJ290" s="16" t="s">
        <v>132</v>
      </c>
      <c r="HK290" s="16" t="str">
        <f t="shared" si="23"/>
        <v>Libra - Air</v>
      </c>
    </row>
    <row r="291" spans="215:219">
      <c r="HG291" s="29">
        <v>44107</v>
      </c>
      <c r="HH291" s="30" t="str">
        <f t="shared" si="24"/>
        <v>03-Oct</v>
      </c>
      <c r="HI291" s="30" t="s">
        <v>122</v>
      </c>
      <c r="HJ291" s="16" t="s">
        <v>132</v>
      </c>
      <c r="HK291" s="16" t="str">
        <f t="shared" si="23"/>
        <v>Libra - Air</v>
      </c>
    </row>
    <row r="292" spans="215:219">
      <c r="HG292" s="29">
        <v>44108</v>
      </c>
      <c r="HH292" s="30" t="str">
        <f t="shared" si="24"/>
        <v>04-Oct</v>
      </c>
      <c r="HI292" s="30" t="s">
        <v>122</v>
      </c>
      <c r="HJ292" s="16" t="s">
        <v>132</v>
      </c>
      <c r="HK292" s="16" t="str">
        <f t="shared" si="23"/>
        <v>Libra - Air</v>
      </c>
    </row>
    <row r="293" spans="215:219">
      <c r="HG293" s="29">
        <v>44109</v>
      </c>
      <c r="HH293" s="30" t="str">
        <f t="shared" si="24"/>
        <v>05-Oct</v>
      </c>
      <c r="HI293" s="30" t="s">
        <v>122</v>
      </c>
      <c r="HJ293" s="16" t="s">
        <v>132</v>
      </c>
      <c r="HK293" s="16" t="str">
        <f t="shared" si="23"/>
        <v>Libra - Air</v>
      </c>
    </row>
    <row r="294" spans="215:219">
      <c r="HG294" s="29">
        <v>44110</v>
      </c>
      <c r="HH294" s="30" t="str">
        <f t="shared" si="24"/>
        <v>06-Oct</v>
      </c>
      <c r="HI294" s="30" t="s">
        <v>122</v>
      </c>
      <c r="HJ294" s="16" t="s">
        <v>132</v>
      </c>
      <c r="HK294" s="16" t="str">
        <f t="shared" si="23"/>
        <v>Libra - Air</v>
      </c>
    </row>
    <row r="295" spans="215:219">
      <c r="HG295" s="29">
        <v>44111</v>
      </c>
      <c r="HH295" s="30" t="str">
        <f t="shared" si="24"/>
        <v>07-Oct</v>
      </c>
      <c r="HI295" s="30" t="s">
        <v>122</v>
      </c>
      <c r="HJ295" s="16" t="s">
        <v>132</v>
      </c>
      <c r="HK295" s="16" t="str">
        <f t="shared" si="23"/>
        <v>Libra - Air</v>
      </c>
    </row>
    <row r="296" spans="215:219">
      <c r="HG296" s="29">
        <v>44112</v>
      </c>
      <c r="HH296" s="30" t="str">
        <f t="shared" si="24"/>
        <v>08-Oct</v>
      </c>
      <c r="HI296" s="30" t="s">
        <v>122</v>
      </c>
      <c r="HJ296" s="16" t="s">
        <v>132</v>
      </c>
      <c r="HK296" s="16" t="str">
        <f t="shared" si="23"/>
        <v>Libra - Air</v>
      </c>
    </row>
    <row r="297" spans="215:219">
      <c r="HG297" s="29">
        <v>44113</v>
      </c>
      <c r="HH297" s="30" t="str">
        <f t="shared" si="24"/>
        <v>09-Oct</v>
      </c>
      <c r="HI297" s="30" t="s">
        <v>122</v>
      </c>
      <c r="HJ297" s="16" t="s">
        <v>132</v>
      </c>
      <c r="HK297" s="16" t="str">
        <f t="shared" si="23"/>
        <v>Libra - Air</v>
      </c>
    </row>
    <row r="298" spans="215:219">
      <c r="HG298" s="29">
        <v>44114</v>
      </c>
      <c r="HH298" s="30" t="str">
        <f t="shared" si="24"/>
        <v>10-Oct</v>
      </c>
      <c r="HI298" s="30" t="s">
        <v>122</v>
      </c>
      <c r="HJ298" s="16" t="s">
        <v>132</v>
      </c>
      <c r="HK298" s="16" t="str">
        <f t="shared" si="23"/>
        <v>Libra - Air</v>
      </c>
    </row>
    <row r="299" spans="215:219">
      <c r="HG299" s="29">
        <v>44115</v>
      </c>
      <c r="HH299" s="30" t="str">
        <f t="shared" si="24"/>
        <v>11-Oct</v>
      </c>
      <c r="HI299" s="30" t="s">
        <v>122</v>
      </c>
      <c r="HJ299" s="16" t="s">
        <v>132</v>
      </c>
      <c r="HK299" s="16" t="str">
        <f t="shared" si="23"/>
        <v>Libra - Air</v>
      </c>
    </row>
    <row r="300" spans="215:219">
      <c r="HG300" s="29">
        <v>44116</v>
      </c>
      <c r="HH300" s="30" t="str">
        <f t="shared" si="24"/>
        <v>12-Oct</v>
      </c>
      <c r="HI300" s="30" t="s">
        <v>122</v>
      </c>
      <c r="HJ300" s="16" t="s">
        <v>132</v>
      </c>
      <c r="HK300" s="16" t="str">
        <f t="shared" si="23"/>
        <v>Libra - Air</v>
      </c>
    </row>
    <row r="301" spans="215:219">
      <c r="HG301" s="29">
        <v>44117</v>
      </c>
      <c r="HH301" s="30" t="str">
        <f t="shared" si="24"/>
        <v>13-Oct</v>
      </c>
      <c r="HI301" s="30" t="s">
        <v>122</v>
      </c>
      <c r="HJ301" s="16" t="s">
        <v>132</v>
      </c>
      <c r="HK301" s="16" t="str">
        <f t="shared" si="23"/>
        <v>Libra - Air</v>
      </c>
    </row>
    <row r="302" spans="215:219">
      <c r="HG302" s="29">
        <v>44118</v>
      </c>
      <c r="HH302" s="30" t="str">
        <f t="shared" si="24"/>
        <v>14-Oct</v>
      </c>
      <c r="HI302" s="30" t="s">
        <v>122</v>
      </c>
      <c r="HJ302" s="16" t="s">
        <v>132</v>
      </c>
      <c r="HK302" s="16" t="str">
        <f t="shared" si="23"/>
        <v>Libra - Air</v>
      </c>
    </row>
    <row r="303" spans="215:219">
      <c r="HG303" s="29">
        <v>44119</v>
      </c>
      <c r="HH303" s="30" t="str">
        <f t="shared" si="24"/>
        <v>15-Oct</v>
      </c>
      <c r="HI303" s="30" t="s">
        <v>122</v>
      </c>
      <c r="HJ303" s="16" t="s">
        <v>132</v>
      </c>
      <c r="HK303" s="16" t="str">
        <f t="shared" si="23"/>
        <v>Libra - Air</v>
      </c>
    </row>
    <row r="304" spans="215:219">
      <c r="HG304" s="29">
        <v>44120</v>
      </c>
      <c r="HH304" s="30" t="str">
        <f t="shared" si="24"/>
        <v>16-Oct</v>
      </c>
      <c r="HI304" s="30" t="s">
        <v>122</v>
      </c>
      <c r="HJ304" s="16" t="s">
        <v>132</v>
      </c>
      <c r="HK304" s="16" t="str">
        <f t="shared" si="23"/>
        <v>Libra - Air</v>
      </c>
    </row>
    <row r="305" spans="215:219">
      <c r="HG305" s="29">
        <v>44121</v>
      </c>
      <c r="HH305" s="30" t="str">
        <f t="shared" si="24"/>
        <v>17-Oct</v>
      </c>
      <c r="HI305" s="30" t="s">
        <v>122</v>
      </c>
      <c r="HJ305" s="16" t="s">
        <v>132</v>
      </c>
      <c r="HK305" s="16" t="str">
        <f t="shared" si="23"/>
        <v>Libra - Air</v>
      </c>
    </row>
    <row r="306" spans="215:219">
      <c r="HG306" s="29">
        <v>44122</v>
      </c>
      <c r="HH306" s="30" t="str">
        <f t="shared" si="24"/>
        <v>18-Oct</v>
      </c>
      <c r="HI306" s="30" t="s">
        <v>122</v>
      </c>
      <c r="HJ306" s="16" t="s">
        <v>132</v>
      </c>
      <c r="HK306" s="16" t="str">
        <f t="shared" si="23"/>
        <v>Libra - Air</v>
      </c>
    </row>
    <row r="307" spans="215:219">
      <c r="HG307" s="29">
        <v>44123</v>
      </c>
      <c r="HH307" s="30" t="str">
        <f t="shared" si="24"/>
        <v>19-Oct</v>
      </c>
      <c r="HI307" s="30" t="s">
        <v>122</v>
      </c>
      <c r="HJ307" s="16" t="s">
        <v>132</v>
      </c>
      <c r="HK307" s="16" t="str">
        <f t="shared" si="23"/>
        <v>Libra - Air</v>
      </c>
    </row>
    <row r="308" spans="215:219">
      <c r="HG308" s="29">
        <v>44124</v>
      </c>
      <c r="HH308" s="30" t="str">
        <f t="shared" si="24"/>
        <v>20-Oct</v>
      </c>
      <c r="HI308" s="30" t="s">
        <v>122</v>
      </c>
      <c r="HJ308" s="16" t="s">
        <v>132</v>
      </c>
      <c r="HK308" s="16" t="str">
        <f t="shared" si="23"/>
        <v>Libra - Air</v>
      </c>
    </row>
    <row r="309" spans="215:219">
      <c r="HG309" s="29">
        <v>44125</v>
      </c>
      <c r="HH309" s="30" t="str">
        <f t="shared" si="24"/>
        <v>21-Oct</v>
      </c>
      <c r="HI309" s="30" t="s">
        <v>122</v>
      </c>
      <c r="HJ309" s="16" t="s">
        <v>132</v>
      </c>
      <c r="HK309" s="16" t="str">
        <f t="shared" si="23"/>
        <v>Libra - Air</v>
      </c>
    </row>
    <row r="310" spans="215:219">
      <c r="HG310" s="29">
        <v>44126</v>
      </c>
      <c r="HH310" s="30" t="str">
        <f t="shared" si="24"/>
        <v>22-Oct</v>
      </c>
      <c r="HI310" s="30" t="s">
        <v>122</v>
      </c>
      <c r="HJ310" s="16" t="s">
        <v>132</v>
      </c>
      <c r="HK310" s="16" t="str">
        <f t="shared" si="23"/>
        <v>Libra - Air</v>
      </c>
    </row>
    <row r="311" spans="215:219">
      <c r="HG311" s="29">
        <v>44127</v>
      </c>
      <c r="HH311" s="30" t="str">
        <f t="shared" si="24"/>
        <v>23-Oct</v>
      </c>
      <c r="HI311" s="30" t="s">
        <v>123</v>
      </c>
      <c r="HJ311" s="16" t="s">
        <v>131</v>
      </c>
      <c r="HK311" s="16" t="str">
        <f t="shared" si="23"/>
        <v>Scorpio - Water</v>
      </c>
    </row>
    <row r="312" spans="215:219">
      <c r="HG312" s="29">
        <v>44128</v>
      </c>
      <c r="HH312" s="30" t="str">
        <f t="shared" si="24"/>
        <v>24-Oct</v>
      </c>
      <c r="HI312" s="30" t="s">
        <v>123</v>
      </c>
      <c r="HJ312" s="16" t="s">
        <v>131</v>
      </c>
      <c r="HK312" s="16" t="str">
        <f t="shared" si="23"/>
        <v>Scorpio - Water</v>
      </c>
    </row>
    <row r="313" spans="215:219">
      <c r="HG313" s="29">
        <v>44129</v>
      </c>
      <c r="HH313" s="30" t="str">
        <f t="shared" si="24"/>
        <v>25-Oct</v>
      </c>
      <c r="HI313" s="30" t="s">
        <v>123</v>
      </c>
      <c r="HJ313" s="16" t="s">
        <v>131</v>
      </c>
      <c r="HK313" s="16" t="str">
        <f t="shared" si="23"/>
        <v>Scorpio - Water</v>
      </c>
    </row>
    <row r="314" spans="215:219">
      <c r="HG314" s="29">
        <v>44130</v>
      </c>
      <c r="HH314" s="30" t="str">
        <f t="shared" si="24"/>
        <v>26-Oct</v>
      </c>
      <c r="HI314" s="30" t="s">
        <v>123</v>
      </c>
      <c r="HJ314" s="16" t="s">
        <v>131</v>
      </c>
      <c r="HK314" s="16" t="str">
        <f t="shared" si="23"/>
        <v>Scorpio - Water</v>
      </c>
    </row>
    <row r="315" spans="215:219">
      <c r="HG315" s="29">
        <v>44131</v>
      </c>
      <c r="HH315" s="30" t="str">
        <f t="shared" si="24"/>
        <v>27-Oct</v>
      </c>
      <c r="HI315" s="30" t="s">
        <v>123</v>
      </c>
      <c r="HJ315" s="16" t="s">
        <v>131</v>
      </c>
      <c r="HK315" s="16" t="str">
        <f t="shared" si="23"/>
        <v>Scorpio - Water</v>
      </c>
    </row>
    <row r="316" spans="215:219">
      <c r="HG316" s="29">
        <v>44132</v>
      </c>
      <c r="HH316" s="30" t="str">
        <f t="shared" si="24"/>
        <v>28-Oct</v>
      </c>
      <c r="HI316" s="30" t="s">
        <v>123</v>
      </c>
      <c r="HJ316" s="16" t="s">
        <v>131</v>
      </c>
      <c r="HK316" s="16" t="str">
        <f t="shared" si="23"/>
        <v>Scorpio - Water</v>
      </c>
    </row>
    <row r="317" spans="215:219">
      <c r="HG317" s="29">
        <v>44133</v>
      </c>
      <c r="HH317" s="30" t="str">
        <f t="shared" si="24"/>
        <v>29-Oct</v>
      </c>
      <c r="HI317" s="30" t="s">
        <v>123</v>
      </c>
      <c r="HJ317" s="16" t="s">
        <v>131</v>
      </c>
      <c r="HK317" s="16" t="str">
        <f t="shared" si="23"/>
        <v>Scorpio - Water</v>
      </c>
    </row>
    <row r="318" spans="215:219">
      <c r="HG318" s="29">
        <v>44134</v>
      </c>
      <c r="HH318" s="30" t="str">
        <f t="shared" si="24"/>
        <v>30-Oct</v>
      </c>
      <c r="HI318" s="30" t="s">
        <v>123</v>
      </c>
      <c r="HJ318" s="16" t="s">
        <v>131</v>
      </c>
      <c r="HK318" s="16" t="str">
        <f t="shared" si="23"/>
        <v>Scorpio - Water</v>
      </c>
    </row>
    <row r="319" spans="215:219">
      <c r="HG319" s="29">
        <v>44135</v>
      </c>
      <c r="HH319" s="30" t="str">
        <f t="shared" si="24"/>
        <v>31-Oct</v>
      </c>
      <c r="HI319" s="30" t="s">
        <v>123</v>
      </c>
      <c r="HJ319" s="16" t="s">
        <v>131</v>
      </c>
      <c r="HK319" s="16" t="str">
        <f t="shared" si="23"/>
        <v>Scorpio - Water</v>
      </c>
    </row>
    <row r="320" spans="215:219">
      <c r="HG320" s="29">
        <v>44136</v>
      </c>
      <c r="HH320" s="30" t="str">
        <f t="shared" si="24"/>
        <v>01-Nov</v>
      </c>
      <c r="HI320" s="30" t="s">
        <v>123</v>
      </c>
      <c r="HJ320" s="16" t="s">
        <v>131</v>
      </c>
      <c r="HK320" s="16" t="str">
        <f t="shared" si="23"/>
        <v>Scorpio - Water</v>
      </c>
    </row>
    <row r="321" spans="215:219">
      <c r="HG321" s="29">
        <v>44137</v>
      </c>
      <c r="HH321" s="30" t="str">
        <f t="shared" si="24"/>
        <v>02-Nov</v>
      </c>
      <c r="HI321" s="30" t="s">
        <v>123</v>
      </c>
      <c r="HJ321" s="16" t="s">
        <v>131</v>
      </c>
      <c r="HK321" s="16" t="str">
        <f t="shared" si="23"/>
        <v>Scorpio - Water</v>
      </c>
    </row>
    <row r="322" spans="215:219">
      <c r="HG322" s="29">
        <v>44138</v>
      </c>
      <c r="HH322" s="30" t="str">
        <f t="shared" si="24"/>
        <v>03-Nov</v>
      </c>
      <c r="HI322" s="30" t="s">
        <v>123</v>
      </c>
      <c r="HJ322" s="16" t="s">
        <v>131</v>
      </c>
      <c r="HK322" s="16" t="str">
        <f t="shared" si="23"/>
        <v>Scorpio - Water</v>
      </c>
    </row>
    <row r="323" spans="215:219">
      <c r="HG323" s="29">
        <v>44139</v>
      </c>
      <c r="HH323" s="30" t="str">
        <f t="shared" si="24"/>
        <v>04-Nov</v>
      </c>
      <c r="HI323" s="30" t="s">
        <v>123</v>
      </c>
      <c r="HJ323" s="16" t="s">
        <v>131</v>
      </c>
      <c r="HK323" s="16" t="str">
        <f t="shared" si="23"/>
        <v>Scorpio - Water</v>
      </c>
    </row>
    <row r="324" spans="215:219">
      <c r="HG324" s="29">
        <v>44140</v>
      </c>
      <c r="HH324" s="30" t="str">
        <f t="shared" si="24"/>
        <v>05-Nov</v>
      </c>
      <c r="HI324" s="30" t="s">
        <v>123</v>
      </c>
      <c r="HJ324" s="16" t="s">
        <v>131</v>
      </c>
      <c r="HK324" s="16" t="str">
        <f t="shared" si="23"/>
        <v>Scorpio - Water</v>
      </c>
    </row>
    <row r="325" spans="215:219">
      <c r="HG325" s="29">
        <v>44141</v>
      </c>
      <c r="HH325" s="30" t="str">
        <f t="shared" si="24"/>
        <v>06-Nov</v>
      </c>
      <c r="HI325" s="30" t="s">
        <v>123</v>
      </c>
      <c r="HJ325" s="16" t="s">
        <v>131</v>
      </c>
      <c r="HK325" s="16" t="str">
        <f t="shared" si="23"/>
        <v>Scorpio - Water</v>
      </c>
    </row>
    <row r="326" spans="215:219">
      <c r="HG326" s="29">
        <v>44142</v>
      </c>
      <c r="HH326" s="30" t="str">
        <f t="shared" si="24"/>
        <v>07-Nov</v>
      </c>
      <c r="HI326" s="30" t="s">
        <v>123</v>
      </c>
      <c r="HJ326" s="16" t="s">
        <v>131</v>
      </c>
      <c r="HK326" s="16" t="str">
        <f t="shared" si="23"/>
        <v>Scorpio - Water</v>
      </c>
    </row>
    <row r="327" spans="215:219">
      <c r="HG327" s="29">
        <v>44143</v>
      </c>
      <c r="HH327" s="30" t="str">
        <f t="shared" si="24"/>
        <v>08-Nov</v>
      </c>
      <c r="HI327" s="30" t="s">
        <v>123</v>
      </c>
      <c r="HJ327" s="16" t="s">
        <v>131</v>
      </c>
      <c r="HK327" s="16" t="str">
        <f t="shared" si="23"/>
        <v>Scorpio - Water</v>
      </c>
    </row>
    <row r="328" spans="215:219">
      <c r="HG328" s="29">
        <v>44144</v>
      </c>
      <c r="HH328" s="30" t="str">
        <f t="shared" si="24"/>
        <v>09-Nov</v>
      </c>
      <c r="HI328" s="30" t="s">
        <v>123</v>
      </c>
      <c r="HJ328" s="16" t="s">
        <v>131</v>
      </c>
      <c r="HK328" s="16" t="str">
        <f t="shared" si="23"/>
        <v>Scorpio - Water</v>
      </c>
    </row>
    <row r="329" spans="215:219">
      <c r="HG329" s="29">
        <v>44145</v>
      </c>
      <c r="HH329" s="30" t="str">
        <f t="shared" si="24"/>
        <v>10-Nov</v>
      </c>
      <c r="HI329" s="30" t="s">
        <v>123</v>
      </c>
      <c r="HJ329" s="16" t="s">
        <v>131</v>
      </c>
      <c r="HK329" s="16" t="str">
        <f t="shared" si="23"/>
        <v>Scorpio - Water</v>
      </c>
    </row>
    <row r="330" spans="215:219">
      <c r="HG330" s="29">
        <v>44146</v>
      </c>
      <c r="HH330" s="30" t="str">
        <f t="shared" si="24"/>
        <v>11-Nov</v>
      </c>
      <c r="HI330" s="30" t="s">
        <v>123</v>
      </c>
      <c r="HJ330" s="16" t="s">
        <v>131</v>
      </c>
      <c r="HK330" s="16" t="str">
        <f t="shared" si="23"/>
        <v>Scorpio - Water</v>
      </c>
    </row>
    <row r="331" spans="215:219">
      <c r="HG331" s="29">
        <v>44147</v>
      </c>
      <c r="HH331" s="30" t="str">
        <f t="shared" si="24"/>
        <v>12-Nov</v>
      </c>
      <c r="HI331" s="30" t="s">
        <v>123</v>
      </c>
      <c r="HJ331" s="16" t="s">
        <v>131</v>
      </c>
      <c r="HK331" s="16" t="str">
        <f t="shared" si="23"/>
        <v>Scorpio - Water</v>
      </c>
    </row>
    <row r="332" spans="215:219">
      <c r="HG332" s="29">
        <v>44148</v>
      </c>
      <c r="HH332" s="30" t="str">
        <f t="shared" si="24"/>
        <v>13-Nov</v>
      </c>
      <c r="HI332" s="30" t="s">
        <v>123</v>
      </c>
      <c r="HJ332" s="16" t="s">
        <v>131</v>
      </c>
      <c r="HK332" s="16" t="str">
        <f t="shared" si="23"/>
        <v>Scorpio - Water</v>
      </c>
    </row>
    <row r="333" spans="215:219">
      <c r="HG333" s="29">
        <v>44149</v>
      </c>
      <c r="HH333" s="30" t="str">
        <f t="shared" si="24"/>
        <v>14-Nov</v>
      </c>
      <c r="HI333" s="30" t="s">
        <v>123</v>
      </c>
      <c r="HJ333" s="16" t="s">
        <v>131</v>
      </c>
      <c r="HK333" s="16" t="str">
        <f t="shared" si="23"/>
        <v>Scorpio - Water</v>
      </c>
    </row>
    <row r="334" spans="215:219">
      <c r="HG334" s="29">
        <v>44150</v>
      </c>
      <c r="HH334" s="30" t="str">
        <f t="shared" si="24"/>
        <v>15-Nov</v>
      </c>
      <c r="HI334" s="30" t="s">
        <v>123</v>
      </c>
      <c r="HJ334" s="16" t="s">
        <v>131</v>
      </c>
      <c r="HK334" s="16" t="str">
        <f t="shared" ref="HK334:HK380" si="25">HI334&amp;" - "&amp;HJ334</f>
        <v>Scorpio - Water</v>
      </c>
    </row>
    <row r="335" spans="215:219">
      <c r="HG335" s="29">
        <v>44151</v>
      </c>
      <c r="HH335" s="30" t="str">
        <f t="shared" si="24"/>
        <v>16-Nov</v>
      </c>
      <c r="HI335" s="30" t="s">
        <v>123</v>
      </c>
      <c r="HJ335" s="16" t="s">
        <v>131</v>
      </c>
      <c r="HK335" s="16" t="str">
        <f t="shared" si="25"/>
        <v>Scorpio - Water</v>
      </c>
    </row>
    <row r="336" spans="215:219">
      <c r="HG336" s="29">
        <v>44152</v>
      </c>
      <c r="HH336" s="30" t="str">
        <f t="shared" ref="HH336:HH380" si="26">TEXT(HG336,"DD-MMM")</f>
        <v>17-Nov</v>
      </c>
      <c r="HI336" s="30" t="s">
        <v>123</v>
      </c>
      <c r="HJ336" s="16" t="s">
        <v>131</v>
      </c>
      <c r="HK336" s="16" t="str">
        <f t="shared" si="25"/>
        <v>Scorpio - Water</v>
      </c>
    </row>
    <row r="337" spans="215:219">
      <c r="HG337" s="29">
        <v>44153</v>
      </c>
      <c r="HH337" s="30" t="str">
        <f t="shared" si="26"/>
        <v>18-Nov</v>
      </c>
      <c r="HI337" s="30" t="s">
        <v>123</v>
      </c>
      <c r="HJ337" s="16" t="s">
        <v>131</v>
      </c>
      <c r="HK337" s="16" t="str">
        <f t="shared" si="25"/>
        <v>Scorpio - Water</v>
      </c>
    </row>
    <row r="338" spans="215:219">
      <c r="HG338" s="29">
        <v>44154</v>
      </c>
      <c r="HH338" s="30" t="str">
        <f t="shared" si="26"/>
        <v>19-Nov</v>
      </c>
      <c r="HI338" s="30" t="s">
        <v>123</v>
      </c>
      <c r="HJ338" s="16" t="s">
        <v>131</v>
      </c>
      <c r="HK338" s="16" t="str">
        <f t="shared" si="25"/>
        <v>Scorpio - Water</v>
      </c>
    </row>
    <row r="339" spans="215:219">
      <c r="HG339" s="29">
        <v>44155</v>
      </c>
      <c r="HH339" s="30" t="str">
        <f t="shared" si="26"/>
        <v>20-Nov</v>
      </c>
      <c r="HI339" s="30" t="s">
        <v>123</v>
      </c>
      <c r="HJ339" s="16" t="s">
        <v>131</v>
      </c>
      <c r="HK339" s="16" t="str">
        <f t="shared" si="25"/>
        <v>Scorpio - Water</v>
      </c>
    </row>
    <row r="340" spans="215:219">
      <c r="HG340" s="29">
        <v>44156</v>
      </c>
      <c r="HH340" s="30" t="str">
        <f t="shared" si="26"/>
        <v>21-Nov</v>
      </c>
      <c r="HI340" s="30" t="s">
        <v>123</v>
      </c>
      <c r="HJ340" s="16" t="s">
        <v>131</v>
      </c>
      <c r="HK340" s="16" t="str">
        <f t="shared" si="25"/>
        <v>Scorpio - Water</v>
      </c>
    </row>
    <row r="341" spans="215:219">
      <c r="HG341" s="29">
        <v>44157</v>
      </c>
      <c r="HH341" s="30" t="str">
        <f t="shared" si="26"/>
        <v>22-Nov</v>
      </c>
      <c r="HI341" s="30" t="s">
        <v>124</v>
      </c>
      <c r="HJ341" s="16" t="s">
        <v>129</v>
      </c>
      <c r="HK341" s="16" t="str">
        <f t="shared" si="25"/>
        <v>Sagittarius - Fire</v>
      </c>
    </row>
    <row r="342" spans="215:219">
      <c r="HG342" s="29">
        <v>44158</v>
      </c>
      <c r="HH342" s="30" t="str">
        <f t="shared" si="26"/>
        <v>23-Nov</v>
      </c>
      <c r="HI342" s="30" t="s">
        <v>124</v>
      </c>
      <c r="HJ342" s="16" t="s">
        <v>129</v>
      </c>
      <c r="HK342" s="16" t="str">
        <f t="shared" si="25"/>
        <v>Sagittarius - Fire</v>
      </c>
    </row>
    <row r="343" spans="215:219">
      <c r="HG343" s="29">
        <v>44159</v>
      </c>
      <c r="HH343" s="30" t="str">
        <f t="shared" si="26"/>
        <v>24-Nov</v>
      </c>
      <c r="HI343" s="30" t="s">
        <v>124</v>
      </c>
      <c r="HJ343" s="16" t="s">
        <v>129</v>
      </c>
      <c r="HK343" s="16" t="str">
        <f t="shared" si="25"/>
        <v>Sagittarius - Fire</v>
      </c>
    </row>
    <row r="344" spans="215:219">
      <c r="HG344" s="29">
        <v>44160</v>
      </c>
      <c r="HH344" s="30" t="str">
        <f t="shared" si="26"/>
        <v>25-Nov</v>
      </c>
      <c r="HI344" s="30" t="s">
        <v>124</v>
      </c>
      <c r="HJ344" s="16" t="s">
        <v>129</v>
      </c>
      <c r="HK344" s="16" t="str">
        <f t="shared" si="25"/>
        <v>Sagittarius - Fire</v>
      </c>
    </row>
    <row r="345" spans="215:219">
      <c r="HG345" s="29">
        <v>44161</v>
      </c>
      <c r="HH345" s="30" t="str">
        <f t="shared" si="26"/>
        <v>26-Nov</v>
      </c>
      <c r="HI345" s="30" t="s">
        <v>124</v>
      </c>
      <c r="HJ345" s="16" t="s">
        <v>129</v>
      </c>
      <c r="HK345" s="16" t="str">
        <f t="shared" si="25"/>
        <v>Sagittarius - Fire</v>
      </c>
    </row>
    <row r="346" spans="215:219">
      <c r="HG346" s="29">
        <v>44162</v>
      </c>
      <c r="HH346" s="30" t="str">
        <f t="shared" si="26"/>
        <v>27-Nov</v>
      </c>
      <c r="HI346" s="30" t="s">
        <v>124</v>
      </c>
      <c r="HJ346" s="16" t="s">
        <v>129</v>
      </c>
      <c r="HK346" s="16" t="str">
        <f t="shared" si="25"/>
        <v>Sagittarius - Fire</v>
      </c>
    </row>
    <row r="347" spans="215:219">
      <c r="HG347" s="29">
        <v>44163</v>
      </c>
      <c r="HH347" s="30" t="str">
        <f t="shared" si="26"/>
        <v>28-Nov</v>
      </c>
      <c r="HI347" s="30" t="s">
        <v>124</v>
      </c>
      <c r="HJ347" s="16" t="s">
        <v>129</v>
      </c>
      <c r="HK347" s="16" t="str">
        <f t="shared" si="25"/>
        <v>Sagittarius - Fire</v>
      </c>
    </row>
    <row r="348" spans="215:219">
      <c r="HG348" s="29">
        <v>44164</v>
      </c>
      <c r="HH348" s="30" t="str">
        <f t="shared" si="26"/>
        <v>29-Nov</v>
      </c>
      <c r="HI348" s="30" t="s">
        <v>124</v>
      </c>
      <c r="HJ348" s="16" t="s">
        <v>129</v>
      </c>
      <c r="HK348" s="16" t="str">
        <f t="shared" si="25"/>
        <v>Sagittarius - Fire</v>
      </c>
    </row>
    <row r="349" spans="215:219">
      <c r="HG349" s="29">
        <v>44165</v>
      </c>
      <c r="HH349" s="30" t="str">
        <f t="shared" si="26"/>
        <v>30-Nov</v>
      </c>
      <c r="HI349" s="30" t="s">
        <v>124</v>
      </c>
      <c r="HJ349" s="16" t="s">
        <v>129</v>
      </c>
      <c r="HK349" s="16" t="str">
        <f t="shared" si="25"/>
        <v>Sagittarius - Fire</v>
      </c>
    </row>
    <row r="350" spans="215:219">
      <c r="HG350" s="29">
        <v>44166</v>
      </c>
      <c r="HH350" s="30" t="str">
        <f t="shared" si="26"/>
        <v>01-Dec</v>
      </c>
      <c r="HI350" s="30" t="s">
        <v>124</v>
      </c>
      <c r="HJ350" s="16" t="s">
        <v>129</v>
      </c>
      <c r="HK350" s="16" t="str">
        <f t="shared" si="25"/>
        <v>Sagittarius - Fire</v>
      </c>
    </row>
    <row r="351" spans="215:219">
      <c r="HG351" s="29">
        <v>44167</v>
      </c>
      <c r="HH351" s="30" t="str">
        <f t="shared" si="26"/>
        <v>02-Dec</v>
      </c>
      <c r="HI351" s="30" t="s">
        <v>124</v>
      </c>
      <c r="HJ351" s="16" t="s">
        <v>129</v>
      </c>
      <c r="HK351" s="16" t="str">
        <f t="shared" si="25"/>
        <v>Sagittarius - Fire</v>
      </c>
    </row>
    <row r="352" spans="215:219">
      <c r="HG352" s="29">
        <v>44168</v>
      </c>
      <c r="HH352" s="30" t="str">
        <f t="shared" si="26"/>
        <v>03-Dec</v>
      </c>
      <c r="HI352" s="30" t="s">
        <v>124</v>
      </c>
      <c r="HJ352" s="16" t="s">
        <v>129</v>
      </c>
      <c r="HK352" s="16" t="str">
        <f t="shared" si="25"/>
        <v>Sagittarius - Fire</v>
      </c>
    </row>
    <row r="353" spans="215:219">
      <c r="HG353" s="29">
        <v>44169</v>
      </c>
      <c r="HH353" s="30" t="str">
        <f t="shared" si="26"/>
        <v>04-Dec</v>
      </c>
      <c r="HI353" s="30" t="s">
        <v>124</v>
      </c>
      <c r="HJ353" s="16" t="s">
        <v>129</v>
      </c>
      <c r="HK353" s="16" t="str">
        <f t="shared" si="25"/>
        <v>Sagittarius - Fire</v>
      </c>
    </row>
    <row r="354" spans="215:219">
      <c r="HG354" s="29">
        <v>44170</v>
      </c>
      <c r="HH354" s="30" t="str">
        <f t="shared" si="26"/>
        <v>05-Dec</v>
      </c>
      <c r="HI354" s="30" t="s">
        <v>124</v>
      </c>
      <c r="HJ354" s="16" t="s">
        <v>129</v>
      </c>
      <c r="HK354" s="16" t="str">
        <f t="shared" si="25"/>
        <v>Sagittarius - Fire</v>
      </c>
    </row>
    <row r="355" spans="215:219">
      <c r="HG355" s="29">
        <v>44171</v>
      </c>
      <c r="HH355" s="30" t="str">
        <f t="shared" si="26"/>
        <v>06-Dec</v>
      </c>
      <c r="HI355" s="30" t="s">
        <v>124</v>
      </c>
      <c r="HJ355" s="16" t="s">
        <v>129</v>
      </c>
      <c r="HK355" s="16" t="str">
        <f t="shared" si="25"/>
        <v>Sagittarius - Fire</v>
      </c>
    </row>
    <row r="356" spans="215:219">
      <c r="HG356" s="29">
        <v>44172</v>
      </c>
      <c r="HH356" s="30" t="str">
        <f t="shared" si="26"/>
        <v>07-Dec</v>
      </c>
      <c r="HI356" s="30" t="s">
        <v>124</v>
      </c>
      <c r="HJ356" s="16" t="s">
        <v>129</v>
      </c>
      <c r="HK356" s="16" t="str">
        <f t="shared" si="25"/>
        <v>Sagittarius - Fire</v>
      </c>
    </row>
    <row r="357" spans="215:219">
      <c r="HG357" s="29">
        <v>44173</v>
      </c>
      <c r="HH357" s="30" t="str">
        <f t="shared" si="26"/>
        <v>08-Dec</v>
      </c>
      <c r="HI357" s="30" t="s">
        <v>124</v>
      </c>
      <c r="HJ357" s="16" t="s">
        <v>129</v>
      </c>
      <c r="HK357" s="16" t="str">
        <f t="shared" si="25"/>
        <v>Sagittarius - Fire</v>
      </c>
    </row>
    <row r="358" spans="215:219">
      <c r="HG358" s="29">
        <v>44174</v>
      </c>
      <c r="HH358" s="30" t="str">
        <f t="shared" si="26"/>
        <v>09-Dec</v>
      </c>
      <c r="HI358" s="30" t="s">
        <v>124</v>
      </c>
      <c r="HJ358" s="16" t="s">
        <v>129</v>
      </c>
      <c r="HK358" s="16" t="str">
        <f t="shared" si="25"/>
        <v>Sagittarius - Fire</v>
      </c>
    </row>
    <row r="359" spans="215:219">
      <c r="HG359" s="29">
        <v>44175</v>
      </c>
      <c r="HH359" s="30" t="str">
        <f t="shared" si="26"/>
        <v>10-Dec</v>
      </c>
      <c r="HI359" s="30" t="s">
        <v>124</v>
      </c>
      <c r="HJ359" s="16" t="s">
        <v>129</v>
      </c>
      <c r="HK359" s="16" t="str">
        <f t="shared" si="25"/>
        <v>Sagittarius - Fire</v>
      </c>
    </row>
    <row r="360" spans="215:219">
      <c r="HG360" s="29">
        <v>44176</v>
      </c>
      <c r="HH360" s="30" t="str">
        <f t="shared" si="26"/>
        <v>11-Dec</v>
      </c>
      <c r="HI360" s="30" t="s">
        <v>124</v>
      </c>
      <c r="HJ360" s="16" t="s">
        <v>129</v>
      </c>
      <c r="HK360" s="16" t="str">
        <f t="shared" si="25"/>
        <v>Sagittarius - Fire</v>
      </c>
    </row>
    <row r="361" spans="215:219">
      <c r="HG361" s="29">
        <v>44177</v>
      </c>
      <c r="HH361" s="30" t="str">
        <f t="shared" si="26"/>
        <v>12-Dec</v>
      </c>
      <c r="HI361" s="30" t="s">
        <v>124</v>
      </c>
      <c r="HJ361" s="16" t="s">
        <v>129</v>
      </c>
      <c r="HK361" s="16" t="str">
        <f t="shared" si="25"/>
        <v>Sagittarius - Fire</v>
      </c>
    </row>
    <row r="362" spans="215:219">
      <c r="HG362" s="29">
        <v>44178</v>
      </c>
      <c r="HH362" s="30" t="str">
        <f t="shared" si="26"/>
        <v>13-Dec</v>
      </c>
      <c r="HI362" s="30" t="s">
        <v>124</v>
      </c>
      <c r="HJ362" s="16" t="s">
        <v>129</v>
      </c>
      <c r="HK362" s="16" t="str">
        <f t="shared" si="25"/>
        <v>Sagittarius - Fire</v>
      </c>
    </row>
    <row r="363" spans="215:219">
      <c r="HG363" s="29">
        <v>44179</v>
      </c>
      <c r="HH363" s="30" t="str">
        <f t="shared" si="26"/>
        <v>14-Dec</v>
      </c>
      <c r="HI363" s="30" t="s">
        <v>124</v>
      </c>
      <c r="HJ363" s="16" t="s">
        <v>129</v>
      </c>
      <c r="HK363" s="16" t="str">
        <f t="shared" si="25"/>
        <v>Sagittarius - Fire</v>
      </c>
    </row>
    <row r="364" spans="215:219">
      <c r="HG364" s="29">
        <v>44180</v>
      </c>
      <c r="HH364" s="30" t="str">
        <f t="shared" si="26"/>
        <v>15-Dec</v>
      </c>
      <c r="HI364" s="30" t="s">
        <v>124</v>
      </c>
      <c r="HJ364" s="16" t="s">
        <v>129</v>
      </c>
      <c r="HK364" s="16" t="str">
        <f t="shared" si="25"/>
        <v>Sagittarius - Fire</v>
      </c>
    </row>
    <row r="365" spans="215:219">
      <c r="HG365" s="29">
        <v>44181</v>
      </c>
      <c r="HH365" s="30" t="str">
        <f t="shared" si="26"/>
        <v>16-Dec</v>
      </c>
      <c r="HI365" s="30" t="s">
        <v>124</v>
      </c>
      <c r="HJ365" s="16" t="s">
        <v>129</v>
      </c>
      <c r="HK365" s="16" t="str">
        <f t="shared" si="25"/>
        <v>Sagittarius - Fire</v>
      </c>
    </row>
    <row r="366" spans="215:219">
      <c r="HG366" s="29">
        <v>44182</v>
      </c>
      <c r="HH366" s="30" t="str">
        <f t="shared" si="26"/>
        <v>17-Dec</v>
      </c>
      <c r="HI366" s="30" t="s">
        <v>124</v>
      </c>
      <c r="HJ366" s="16" t="s">
        <v>129</v>
      </c>
      <c r="HK366" s="16" t="str">
        <f t="shared" si="25"/>
        <v>Sagittarius - Fire</v>
      </c>
    </row>
    <row r="367" spans="215:219">
      <c r="HG367" s="29">
        <v>44183</v>
      </c>
      <c r="HH367" s="30" t="str">
        <f t="shared" si="26"/>
        <v>18-Dec</v>
      </c>
      <c r="HI367" s="30" t="s">
        <v>124</v>
      </c>
      <c r="HJ367" s="16" t="s">
        <v>129</v>
      </c>
      <c r="HK367" s="16" t="str">
        <f t="shared" si="25"/>
        <v>Sagittarius - Fire</v>
      </c>
    </row>
    <row r="368" spans="215:219">
      <c r="HG368" s="29">
        <v>44184</v>
      </c>
      <c r="HH368" s="30" t="str">
        <f t="shared" si="26"/>
        <v>19-Dec</v>
      </c>
      <c r="HI368" s="30" t="s">
        <v>124</v>
      </c>
      <c r="HJ368" s="16" t="s">
        <v>129</v>
      </c>
      <c r="HK368" s="16" t="str">
        <f t="shared" si="25"/>
        <v>Sagittarius - Fire</v>
      </c>
    </row>
    <row r="369" spans="215:219">
      <c r="HG369" s="29">
        <v>44185</v>
      </c>
      <c r="HH369" s="30" t="str">
        <f t="shared" si="26"/>
        <v>20-Dec</v>
      </c>
      <c r="HI369" s="30" t="s">
        <v>124</v>
      </c>
      <c r="HJ369" s="16" t="s">
        <v>129</v>
      </c>
      <c r="HK369" s="16" t="str">
        <f t="shared" si="25"/>
        <v>Sagittarius - Fire</v>
      </c>
    </row>
    <row r="370" spans="215:219">
      <c r="HG370" s="29">
        <v>44186</v>
      </c>
      <c r="HH370" s="30" t="str">
        <f t="shared" si="26"/>
        <v>21-Dec</v>
      </c>
      <c r="HI370" s="30" t="s">
        <v>124</v>
      </c>
      <c r="HJ370" s="16" t="s">
        <v>129</v>
      </c>
      <c r="HK370" s="16" t="str">
        <f>HI370&amp;" - "&amp;HJ370</f>
        <v>Sagittarius - Fire</v>
      </c>
    </row>
    <row r="371" spans="215:219">
      <c r="HG371" s="29">
        <v>44187</v>
      </c>
      <c r="HH371" s="30" t="str">
        <f t="shared" si="26"/>
        <v>22-Dec</v>
      </c>
      <c r="HI371" s="30" t="s">
        <v>113</v>
      </c>
      <c r="HJ371" s="16" t="s">
        <v>130</v>
      </c>
      <c r="HK371" s="16" t="str">
        <f t="shared" si="25"/>
        <v>Capricorn - Earth</v>
      </c>
    </row>
    <row r="372" spans="215:219">
      <c r="HG372" s="29">
        <v>44188</v>
      </c>
      <c r="HH372" s="30" t="str">
        <f t="shared" si="26"/>
        <v>23-Dec</v>
      </c>
      <c r="HI372" s="30" t="s">
        <v>113</v>
      </c>
      <c r="HJ372" s="16" t="s">
        <v>130</v>
      </c>
      <c r="HK372" s="16" t="str">
        <f t="shared" si="25"/>
        <v>Capricorn - Earth</v>
      </c>
    </row>
    <row r="373" spans="215:219">
      <c r="HG373" s="29">
        <v>44189</v>
      </c>
      <c r="HH373" s="30" t="str">
        <f t="shared" si="26"/>
        <v>24-Dec</v>
      </c>
      <c r="HI373" s="30" t="s">
        <v>113</v>
      </c>
      <c r="HJ373" s="16" t="s">
        <v>130</v>
      </c>
      <c r="HK373" s="16" t="str">
        <f t="shared" si="25"/>
        <v>Capricorn - Earth</v>
      </c>
    </row>
    <row r="374" spans="215:219">
      <c r="HG374" s="29">
        <v>44190</v>
      </c>
      <c r="HH374" s="30" t="str">
        <f t="shared" si="26"/>
        <v>25-Dec</v>
      </c>
      <c r="HI374" s="30" t="s">
        <v>113</v>
      </c>
      <c r="HJ374" s="16" t="s">
        <v>130</v>
      </c>
      <c r="HK374" s="16" t="str">
        <f t="shared" si="25"/>
        <v>Capricorn - Earth</v>
      </c>
    </row>
    <row r="375" spans="215:219">
      <c r="HG375" s="29">
        <v>44191</v>
      </c>
      <c r="HH375" s="30" t="str">
        <f t="shared" si="26"/>
        <v>26-Dec</v>
      </c>
      <c r="HI375" s="30" t="s">
        <v>113</v>
      </c>
      <c r="HJ375" s="16" t="s">
        <v>130</v>
      </c>
      <c r="HK375" s="16" t="str">
        <f t="shared" si="25"/>
        <v>Capricorn - Earth</v>
      </c>
    </row>
    <row r="376" spans="215:219">
      <c r="HG376" s="29">
        <v>44192</v>
      </c>
      <c r="HH376" s="30" t="str">
        <f t="shared" si="26"/>
        <v>27-Dec</v>
      </c>
      <c r="HI376" s="30" t="s">
        <v>113</v>
      </c>
      <c r="HJ376" s="16" t="s">
        <v>130</v>
      </c>
      <c r="HK376" s="16" t="str">
        <f t="shared" si="25"/>
        <v>Capricorn - Earth</v>
      </c>
    </row>
    <row r="377" spans="215:219">
      <c r="HG377" s="29">
        <v>44193</v>
      </c>
      <c r="HH377" s="30" t="str">
        <f t="shared" si="26"/>
        <v>28-Dec</v>
      </c>
      <c r="HI377" s="30" t="s">
        <v>113</v>
      </c>
      <c r="HJ377" s="16" t="s">
        <v>130</v>
      </c>
      <c r="HK377" s="16" t="str">
        <f t="shared" si="25"/>
        <v>Capricorn - Earth</v>
      </c>
    </row>
    <row r="378" spans="215:219">
      <c r="HG378" s="29">
        <v>44194</v>
      </c>
      <c r="HH378" s="30" t="str">
        <f t="shared" si="26"/>
        <v>29-Dec</v>
      </c>
      <c r="HI378" s="30" t="s">
        <v>113</v>
      </c>
      <c r="HJ378" s="16" t="s">
        <v>130</v>
      </c>
      <c r="HK378" s="16" t="str">
        <f t="shared" si="25"/>
        <v>Capricorn - Earth</v>
      </c>
    </row>
    <row r="379" spans="215:219">
      <c r="HG379" s="29">
        <v>44195</v>
      </c>
      <c r="HH379" s="30" t="str">
        <f t="shared" si="26"/>
        <v>30-Dec</v>
      </c>
      <c r="HI379" s="30" t="s">
        <v>113</v>
      </c>
      <c r="HJ379" s="16" t="s">
        <v>130</v>
      </c>
      <c r="HK379" s="16" t="str">
        <f t="shared" si="25"/>
        <v>Capricorn - Earth</v>
      </c>
    </row>
    <row r="380" spans="215:219">
      <c r="HG380" s="29">
        <v>44196</v>
      </c>
      <c r="HH380" s="30" t="str">
        <f t="shared" si="26"/>
        <v>31-Dec</v>
      </c>
      <c r="HI380" s="30" t="s">
        <v>113</v>
      </c>
      <c r="HJ380" s="16" t="s">
        <v>130</v>
      </c>
      <c r="HK380" s="16" t="str">
        <f t="shared" si="25"/>
        <v>Capricorn - Earth</v>
      </c>
    </row>
  </sheetData>
  <mergeCells count="32">
    <mergeCell ref="H88:I88"/>
    <mergeCell ref="H89:I89"/>
    <mergeCell ref="H90:I90"/>
    <mergeCell ref="B93:C93"/>
    <mergeCell ref="D93:E93"/>
    <mergeCell ref="F93:G93"/>
    <mergeCell ref="A92:G92"/>
    <mergeCell ref="D75:E75"/>
    <mergeCell ref="B75:C75"/>
    <mergeCell ref="F75:G75"/>
    <mergeCell ref="A74:G74"/>
    <mergeCell ref="AH1:AQ1"/>
    <mergeCell ref="A61:D61"/>
    <mergeCell ref="A39:B39"/>
    <mergeCell ref="M39:N39"/>
    <mergeCell ref="A50:B50"/>
    <mergeCell ref="M50:N50"/>
    <mergeCell ref="C4:D4"/>
    <mergeCell ref="F4:G4"/>
    <mergeCell ref="I4:L4"/>
    <mergeCell ref="C5:D5"/>
    <mergeCell ref="F5:G5"/>
    <mergeCell ref="I5:L5"/>
    <mergeCell ref="GU12:GV12"/>
    <mergeCell ref="M15:N15"/>
    <mergeCell ref="A29:B29"/>
    <mergeCell ref="M29:N29"/>
    <mergeCell ref="A15:B15"/>
    <mergeCell ref="AD17:AE17"/>
    <mergeCell ref="AJ17:AK17"/>
    <mergeCell ref="AH12:AQ12"/>
    <mergeCell ref="GG12:GP12"/>
  </mergeCells>
  <conditionalFormatting sqref="G16 G19 G40 G43 G30 G51 G54 G33">
    <cfRule type="cellIs" dxfId="223" priority="299" operator="equal">
      <formula>"√"</formula>
    </cfRule>
    <cfRule type="cellIs" dxfId="222" priority="300" operator="equal">
      <formula>"*"</formula>
    </cfRule>
    <cfRule type="cellIs" dxfId="221" priority="301" operator="equal">
      <formula>"X"</formula>
    </cfRule>
  </conditionalFormatting>
  <conditionalFormatting sqref="AI3:AQ11 GH14:GP22">
    <cfRule type="containsText" dxfId="220" priority="272" operator="containsText" text="SA">
      <formula>NOT(ISERROR(SEARCH("SA",AI3)))</formula>
    </cfRule>
    <cfRule type="containsText" dxfId="219" priority="273" operator="containsText" text="A">
      <formula>NOT(ISERROR(SEARCH("A",AI3)))</formula>
    </cfRule>
    <cfRule type="containsText" dxfId="218" priority="274" operator="containsText" text="VG">
      <formula>NOT(ISERROR(SEARCH("VG",AI3)))</formula>
    </cfRule>
    <cfRule type="containsText" dxfId="217" priority="275" operator="containsText" text="G">
      <formula>NOT(ISERROR(SEARCH("G",AI3)))</formula>
    </cfRule>
    <cfRule type="containsText" dxfId="216" priority="276" operator="containsText" text="VG">
      <formula>NOT(ISERROR(SEARCH("VG",AI3)))</formula>
    </cfRule>
    <cfRule type="containsText" dxfId="215" priority="277" operator="containsText" text="E">
      <formula>NOT(ISERROR(SEARCH("E",AI3)))</formula>
    </cfRule>
  </conditionalFormatting>
  <conditionalFormatting sqref="Q3:R11 AD18:AE27 AJ18:AK27">
    <cfRule type="cellIs" dxfId="214" priority="267" operator="equal">
      <formula>"SA"</formula>
    </cfRule>
    <cfRule type="cellIs" dxfId="213" priority="268" operator="equal">
      <formula>"A"</formula>
    </cfRule>
    <cfRule type="cellIs" dxfId="212" priority="269" operator="equal">
      <formula>"E"</formula>
    </cfRule>
    <cfRule type="cellIs" dxfId="211" priority="270" operator="equal">
      <formula>"G"</formula>
    </cfRule>
  </conditionalFormatting>
  <conditionalFormatting sqref="Q2:R11 AD18:AE27 AJ18:AK27 AD16:AE16 AJ16:AK16">
    <cfRule type="cellIs" dxfId="210" priority="262" operator="equal">
      <formula>"VG"</formula>
    </cfRule>
  </conditionalFormatting>
  <conditionalFormatting sqref="M19:N22 M33:N36 M43:N46 M54:N57">
    <cfRule type="cellIs" dxfId="209" priority="215" operator="equal">
      <formula>"SA"</formula>
    </cfRule>
    <cfRule type="cellIs" dxfId="208" priority="217" operator="equal">
      <formula>"A"</formula>
    </cfRule>
  </conditionalFormatting>
  <conditionalFormatting sqref="M17:N17 M31:N31 M41:N41 M52:N52">
    <cfRule type="cellIs" dxfId="207" priority="213" operator="equal">
      <formula>"Active"</formula>
    </cfRule>
  </conditionalFormatting>
  <conditionalFormatting sqref="Q2 AD16 AJ16">
    <cfRule type="expression" dxfId="206" priority="309">
      <formula>$N$5&lt;35</formula>
    </cfRule>
  </conditionalFormatting>
  <conditionalFormatting sqref="R2 AE16 AK16">
    <cfRule type="expression" dxfId="205" priority="310">
      <formula>$N$5&gt;=35</formula>
    </cfRule>
  </conditionalFormatting>
  <conditionalFormatting sqref="AV16:AV23">
    <cfRule type="colorScale" priority="48">
      <colorScale>
        <cfvo type="min" val="0"/>
        <cfvo type="max" val="0"/>
        <color rgb="FFFF3399"/>
        <color theme="8" tint="0.79998168889431442"/>
      </colorScale>
    </cfRule>
  </conditionalFormatting>
  <conditionalFormatting sqref="R16:S24 R28:S36 R39:S47 R50:S58">
    <cfRule type="cellIs" dxfId="204" priority="47" operator="greaterThan">
      <formula>1</formula>
    </cfRule>
  </conditionalFormatting>
  <conditionalFormatting sqref="U16:U23">
    <cfRule type="colorScale" priority="38">
      <colorScale>
        <cfvo type="min" val="0"/>
        <cfvo type="max" val="0"/>
        <color rgb="FFFF3399"/>
        <color theme="8" tint="0.79998168889431442"/>
      </colorScale>
    </cfRule>
  </conditionalFormatting>
  <conditionalFormatting sqref="U28:U35">
    <cfRule type="colorScale" priority="37">
      <colorScale>
        <cfvo type="min" val="0"/>
        <cfvo type="max" val="0"/>
        <color rgb="FFFF3399"/>
        <color theme="8" tint="0.79998168889431442"/>
      </colorScale>
    </cfRule>
  </conditionalFormatting>
  <conditionalFormatting sqref="U39:U46">
    <cfRule type="colorScale" priority="36">
      <colorScale>
        <cfvo type="min" val="0"/>
        <cfvo type="max" val="0"/>
        <color rgb="FFFF3399"/>
        <color theme="8" tint="0.79998168889431442"/>
      </colorScale>
    </cfRule>
  </conditionalFormatting>
  <conditionalFormatting sqref="U50:U57">
    <cfRule type="colorScale" priority="20">
      <colorScale>
        <cfvo type="min" val="0"/>
        <cfvo type="max" val="0"/>
        <color rgb="FFFF3399"/>
        <color theme="8" tint="0.79998168889431442"/>
      </colorScale>
    </cfRule>
  </conditionalFormatting>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4">
    <tabColor rgb="FF00B050"/>
  </sheetPr>
  <dimension ref="A1:AF49"/>
  <sheetViews>
    <sheetView zoomScale="90" zoomScaleNormal="80" workbookViewId="0">
      <selection activeCell="U9" sqref="U9"/>
    </sheetView>
  </sheetViews>
  <sheetFormatPr defaultColWidth="0" defaultRowHeight="14.5"/>
  <cols>
    <col min="1" max="1" width="14.54296875" style="183" bestFit="1" customWidth="1"/>
    <col min="2" max="2" width="13.54296875" style="183" bestFit="1" customWidth="1"/>
    <col min="3" max="3" width="17" style="183" bestFit="1" customWidth="1"/>
    <col min="4" max="5" width="5.81640625" style="183" bestFit="1" customWidth="1"/>
    <col min="6" max="6" width="4.453125" style="183" customWidth="1"/>
    <col min="7" max="7" width="5.81640625" style="183" bestFit="1" customWidth="1"/>
    <col min="8" max="8" width="2.7265625" style="183" bestFit="1" customWidth="1"/>
    <col min="9" max="9" width="2.54296875" style="183" customWidth="1"/>
    <col min="10" max="10" width="7.81640625" style="183" bestFit="1" customWidth="1"/>
    <col min="11" max="12" width="5.81640625" style="183" bestFit="1" customWidth="1"/>
    <col min="13" max="13" width="8.453125" style="183" bestFit="1" customWidth="1"/>
    <col min="14" max="14" width="8.1796875" style="183" customWidth="1"/>
    <col min="15" max="15" width="6" style="183" bestFit="1" customWidth="1"/>
    <col min="16" max="16" width="2.26953125" style="183" customWidth="1"/>
    <col min="17" max="18" width="5.81640625" style="183" hidden="1" customWidth="1"/>
    <col min="19" max="19" width="3.453125" style="183" customWidth="1"/>
    <col min="20" max="20" width="9.1796875" style="183" customWidth="1"/>
    <col min="21" max="21" width="11.81640625" style="183" customWidth="1"/>
    <col min="22" max="22" width="11.7265625" style="183" customWidth="1"/>
    <col min="23" max="23" width="14.81640625" style="183" bestFit="1" customWidth="1"/>
    <col min="24" max="24" width="10.81640625" style="183" bestFit="1" customWidth="1"/>
    <col min="25" max="25" width="9.1796875" style="183" customWidth="1"/>
    <col min="26" max="26" width="9.1796875" style="362" hidden="1" customWidth="1"/>
    <col min="27" max="27" width="8.26953125" style="362" hidden="1" customWidth="1"/>
    <col min="28" max="31" width="9.1796875" style="360" hidden="1" customWidth="1"/>
    <col min="32" max="32" width="0" style="360" hidden="1" customWidth="1"/>
    <col min="33" max="16384" width="9.1796875" style="360" hidden="1"/>
  </cols>
  <sheetData>
    <row r="1" spans="1:31" ht="15" thickBot="1">
      <c r="B1" s="414"/>
      <c r="C1" s="414"/>
      <c r="D1" s="414"/>
      <c r="E1" s="414"/>
      <c r="F1" s="414"/>
      <c r="G1" s="414"/>
      <c r="H1" s="414"/>
      <c r="I1" s="414"/>
      <c r="J1" s="414"/>
      <c r="K1" s="414"/>
      <c r="L1" s="414"/>
      <c r="M1" s="414"/>
      <c r="N1" s="414"/>
      <c r="O1" s="414"/>
      <c r="Z1" s="361" t="s">
        <v>1</v>
      </c>
      <c r="AA1" s="361" t="s">
        <v>2</v>
      </c>
    </row>
    <row r="2" spans="1:31" ht="15" thickBot="1">
      <c r="B2" s="735" t="str">
        <f>'Master Calculator'!B16</f>
        <v>ACHARYA</v>
      </c>
      <c r="C2" s="735"/>
      <c r="D2" s="616" t="s">
        <v>29</v>
      </c>
      <c r="E2" s="616" t="s">
        <v>29</v>
      </c>
      <c r="F2" s="616"/>
      <c r="G2" s="616" t="s">
        <v>47</v>
      </c>
      <c r="H2" s="616" t="s">
        <v>47</v>
      </c>
      <c r="I2" s="616"/>
      <c r="J2" s="616" t="s">
        <v>48</v>
      </c>
      <c r="K2" s="616" t="s">
        <v>48</v>
      </c>
      <c r="L2" s="616" t="s">
        <v>48</v>
      </c>
      <c r="M2" s="616" t="s">
        <v>48</v>
      </c>
      <c r="N2" s="414"/>
      <c r="O2" s="617" t="s">
        <v>111</v>
      </c>
      <c r="Q2" s="183" t="s">
        <v>15</v>
      </c>
      <c r="R2" s="183" t="s">
        <v>138</v>
      </c>
      <c r="V2" s="184" t="s">
        <v>149</v>
      </c>
      <c r="Z2" s="362" t="s">
        <v>14</v>
      </c>
      <c r="AA2" s="362">
        <v>1</v>
      </c>
      <c r="AC2" s="360" t="s">
        <v>125</v>
      </c>
      <c r="AD2" s="360" t="s">
        <v>246</v>
      </c>
      <c r="AE2" s="360" t="s">
        <v>247</v>
      </c>
    </row>
    <row r="3" spans="1:31">
      <c r="B3" s="415" t="s">
        <v>108</v>
      </c>
      <c r="C3" s="416">
        <f>'Master Calculator'!B2</f>
        <v>28884</v>
      </c>
      <c r="D3" s="616" t="str">
        <f>MID(B5,1,1)</f>
        <v>2</v>
      </c>
      <c r="E3" s="616" t="str">
        <f>MID(B5,2,1)</f>
        <v>9</v>
      </c>
      <c r="F3" s="413"/>
      <c r="G3" s="616" t="str">
        <f>MID(B5,4,1)</f>
        <v>0</v>
      </c>
      <c r="H3" s="616" t="str">
        <f>MID(B5,5,1)</f>
        <v>1</v>
      </c>
      <c r="I3" s="413"/>
      <c r="J3" s="616" t="str">
        <f>MID(B5,7,1)</f>
        <v>1</v>
      </c>
      <c r="K3" s="414" t="str">
        <f>MID(B5,8,1)</f>
        <v>9</v>
      </c>
      <c r="L3" s="414" t="str">
        <f>MID(B5,9,1)</f>
        <v>7</v>
      </c>
      <c r="M3" s="414" t="str">
        <f>MID(B5,10,1)</f>
        <v>9</v>
      </c>
      <c r="N3" s="414"/>
      <c r="O3" s="417">
        <f ca="1">(TODAY()-C3)/365</f>
        <v>43.243835616438353</v>
      </c>
      <c r="Q3" s="546">
        <v>1</v>
      </c>
      <c r="R3" s="183">
        <f>COUNTIF(D$3:M$3,Q3)+COUNTIF(C$9:C$11,Q3)</f>
        <v>2</v>
      </c>
      <c r="X3" s="736" t="s">
        <v>184</v>
      </c>
      <c r="Z3" s="362" t="s">
        <v>22</v>
      </c>
      <c r="AA3" s="362">
        <v>2</v>
      </c>
      <c r="AC3" s="360">
        <v>1</v>
      </c>
      <c r="AD3" s="360" t="s">
        <v>248</v>
      </c>
      <c r="AE3" s="360">
        <v>0</v>
      </c>
    </row>
    <row r="4" spans="1:31" ht="15" thickBot="1">
      <c r="B4" s="418" t="str">
        <f>TEXT(C3,("DD-MMM"))</f>
        <v>29-Jan</v>
      </c>
      <c r="C4" s="414"/>
      <c r="D4" s="418" t="str">
        <f>D3</f>
        <v>2</v>
      </c>
      <c r="E4" s="418" t="str">
        <f t="shared" ref="E4:M4" si="0">E3</f>
        <v>9</v>
      </c>
      <c r="F4" s="418">
        <f>DAY(C3)</f>
        <v>29</v>
      </c>
      <c r="G4" s="418" t="str">
        <f t="shared" si="0"/>
        <v>0</v>
      </c>
      <c r="H4" s="418" t="str">
        <f t="shared" si="0"/>
        <v>1</v>
      </c>
      <c r="I4" s="418"/>
      <c r="J4" s="418" t="str">
        <f t="shared" si="0"/>
        <v>1</v>
      </c>
      <c r="K4" s="418" t="str">
        <f t="shared" si="0"/>
        <v>9</v>
      </c>
      <c r="L4" s="418" t="str">
        <f t="shared" si="0"/>
        <v>7</v>
      </c>
      <c r="M4" s="418" t="str">
        <f t="shared" si="0"/>
        <v>9</v>
      </c>
      <c r="N4" s="414"/>
      <c r="O4" s="414"/>
      <c r="Q4" s="546">
        <v>2</v>
      </c>
      <c r="R4" s="183">
        <f t="shared" ref="R4:R11" si="1">COUNTIF(D$3:M$3,Q4)+COUNTIF(C$9:C$11,Q4)</f>
        <v>3</v>
      </c>
      <c r="U4" s="185" t="s">
        <v>172</v>
      </c>
      <c r="V4" s="185" t="s">
        <v>139</v>
      </c>
      <c r="W4" s="185" t="s">
        <v>183</v>
      </c>
      <c r="X4" s="737"/>
      <c r="Z4" s="362" t="s">
        <v>27</v>
      </c>
      <c r="AA4" s="362">
        <v>3</v>
      </c>
      <c r="AC4" s="360">
        <v>2</v>
      </c>
      <c r="AD4" s="360" t="s">
        <v>248</v>
      </c>
      <c r="AE4" s="360">
        <v>0</v>
      </c>
    </row>
    <row r="5" spans="1:31" ht="29">
      <c r="B5" s="418" t="str">
        <f>TEXT(C3,"DD-MM-YYYY")</f>
        <v>29-01-1979</v>
      </c>
      <c r="C5" s="419" t="s">
        <v>127</v>
      </c>
      <c r="D5" s="738" t="s">
        <v>18</v>
      </c>
      <c r="E5" s="738"/>
      <c r="F5" s="616"/>
      <c r="G5" s="738" t="s">
        <v>54</v>
      </c>
      <c r="H5" s="738"/>
      <c r="I5" s="616"/>
      <c r="J5" s="738" t="s">
        <v>55</v>
      </c>
      <c r="K5" s="738"/>
      <c r="L5" s="738"/>
      <c r="M5" s="738"/>
      <c r="N5" s="414"/>
      <c r="O5" s="414"/>
      <c r="Q5" s="546">
        <v>3</v>
      </c>
      <c r="R5" s="183">
        <f t="shared" si="1"/>
        <v>1</v>
      </c>
      <c r="U5" s="186" t="s">
        <v>140</v>
      </c>
      <c r="V5" s="187" t="s">
        <v>141</v>
      </c>
      <c r="W5" s="188" t="s">
        <v>142</v>
      </c>
      <c r="X5" s="189" t="s">
        <v>153</v>
      </c>
      <c r="Z5" s="362" t="s">
        <v>29</v>
      </c>
      <c r="AA5" s="362">
        <v>4</v>
      </c>
      <c r="AC5" s="360">
        <v>3</v>
      </c>
      <c r="AD5" s="360" t="s">
        <v>248</v>
      </c>
      <c r="AE5" s="360">
        <v>0</v>
      </c>
    </row>
    <row r="6" spans="1:31" ht="15" thickBot="1">
      <c r="B6" s="420"/>
      <c r="C6" s="616" t="str">
        <f>CHOOSE(MATCH(1,(DATEVALUE({"22/12/2011","21/01/2012","20/02/2012","21/03/2012","21/04/2012","22/05/2012","22/06/2012","23/07/2012","23/08/2012","24/09/2012","24/10/2012","23/11/2012","22/12/2012"})&lt;=DATEVALUE(TEXT(C3,"dd/mm/")&amp;"2012"))*(DATEVALUE({"20/01/2012","19/02/2012","20/03/2012","20/04/2012","21/05/2012","21/06/2012","22/07/2012","22/08/2012","23/09/2012","23/10/2012","22/11/2012","21/12/2012","20/01/2013"})&gt;=DATEVALUE(TEXT(C3,"dd/mm/")&amp;"2012")),0),"Capricorn - Earth","Aquarius - Air","Pisces - Water","Aries - Fire","Taurus - Earth","Gemini - Air","Cancer - Water","Leo - Fire","Virgo - Earth","Libra - Air","Scorpio - Water","Sagittarius Fire","Capricorn - Earth")</f>
        <v>Aquarius - Air</v>
      </c>
      <c r="D6" s="739">
        <f>D3+E3</f>
        <v>11</v>
      </c>
      <c r="E6" s="739"/>
      <c r="F6" s="616"/>
      <c r="G6" s="740">
        <f>G3+H3</f>
        <v>1</v>
      </c>
      <c r="H6" s="740"/>
      <c r="I6" s="616"/>
      <c r="J6" s="740">
        <f>J3+K3+L3+M3</f>
        <v>26</v>
      </c>
      <c r="K6" s="740"/>
      <c r="L6" s="740"/>
      <c r="M6" s="740"/>
      <c r="N6" s="414"/>
      <c r="O6" s="414"/>
      <c r="Q6" s="546">
        <v>4</v>
      </c>
      <c r="R6" s="183">
        <f t="shared" si="1"/>
        <v>0</v>
      </c>
      <c r="U6" s="190">
        <f>IF(R6&lt;=0,COUNTIF(E7:E8,Q6),R6)</f>
        <v>0</v>
      </c>
      <c r="V6" s="190">
        <f>IF(R11&lt;=0,COUNTIF(E7:E8,Q11),R11)</f>
        <v>3</v>
      </c>
      <c r="W6" s="191">
        <f>IF(R4&lt;=0,COUNTIF(E7:E8,Q4),R4)</f>
        <v>3</v>
      </c>
      <c r="X6" s="192"/>
      <c r="Z6" s="362" t="s">
        <v>19</v>
      </c>
      <c r="AA6" s="362">
        <v>5</v>
      </c>
      <c r="AC6" s="360">
        <v>4</v>
      </c>
      <c r="AD6" s="360" t="s">
        <v>248</v>
      </c>
      <c r="AE6" s="360">
        <v>0</v>
      </c>
    </row>
    <row r="7" spans="1:31" ht="29">
      <c r="B7" s="619"/>
      <c r="C7" s="619"/>
      <c r="D7" s="414"/>
      <c r="E7" s="421">
        <f>IF(LEN(D6)&gt;1,LEFT(D6,1)+RIGHT(D6,1),D6)</f>
        <v>2</v>
      </c>
      <c r="F7" s="616"/>
      <c r="G7" s="421">
        <f>IF(LEN(G6)&gt;1,LEFT(G6,1)+RIGHT(G6,1),G6)</f>
        <v>1</v>
      </c>
      <c r="H7" s="616"/>
      <c r="I7" s="616"/>
      <c r="J7" s="421">
        <f>IF(LEN(J6)&gt;1,LEFT(J6,1)+RIGHT(J6,1),J6)</f>
        <v>8</v>
      </c>
      <c r="K7" s="616"/>
      <c r="L7" s="616"/>
      <c r="M7" s="616"/>
      <c r="N7" s="414"/>
      <c r="O7" s="414"/>
      <c r="Q7" s="546">
        <v>5</v>
      </c>
      <c r="R7" s="183">
        <f t="shared" si="1"/>
        <v>0</v>
      </c>
      <c r="U7" s="193" t="s">
        <v>143</v>
      </c>
      <c r="V7" s="194" t="s">
        <v>144</v>
      </c>
      <c r="W7" s="195" t="s">
        <v>145</v>
      </c>
      <c r="X7" s="189" t="s">
        <v>154</v>
      </c>
      <c r="Z7" s="362" t="s">
        <v>21</v>
      </c>
      <c r="AA7" s="362">
        <v>8</v>
      </c>
      <c r="AC7" s="360">
        <v>5</v>
      </c>
      <c r="AD7" s="360" t="s">
        <v>248</v>
      </c>
      <c r="AE7" s="360">
        <v>0</v>
      </c>
    </row>
    <row r="8" spans="1:31" ht="15" thickBot="1">
      <c r="B8" s="620" t="s">
        <v>18</v>
      </c>
      <c r="C8" s="621">
        <f>MOD((D3+E3)-1,9)+1</f>
        <v>2</v>
      </c>
      <c r="D8" s="547">
        <f>C8</f>
        <v>2</v>
      </c>
      <c r="F8" s="616"/>
      <c r="G8" s="616"/>
      <c r="H8" s="616"/>
      <c r="I8" s="616"/>
      <c r="J8" s="616"/>
      <c r="K8" s="616"/>
      <c r="L8" s="616"/>
      <c r="M8" s="616"/>
      <c r="N8" s="414"/>
      <c r="O8" s="414"/>
      <c r="Q8" s="546">
        <v>6</v>
      </c>
      <c r="R8" s="183">
        <f t="shared" si="1"/>
        <v>0</v>
      </c>
      <c r="U8" s="196">
        <f>IF(R5&lt;=0,COUNTIF(E7:E8,Q5),R5)</f>
        <v>1</v>
      </c>
      <c r="V8" s="197">
        <f>IF(R7&lt;=0,COUNTIF(E7:E8,Q7),R7)</f>
        <v>0</v>
      </c>
      <c r="W8" s="198">
        <f>IF(R9&lt;=0,COUNTIF(E7:E8,Q9),R9)</f>
        <v>1</v>
      </c>
      <c r="X8" s="192"/>
      <c r="Z8" s="362" t="s">
        <v>20</v>
      </c>
      <c r="AA8" s="362">
        <v>3</v>
      </c>
      <c r="AC8" s="360">
        <v>6</v>
      </c>
      <c r="AD8" s="360" t="s">
        <v>248</v>
      </c>
      <c r="AE8" s="360">
        <v>0</v>
      </c>
    </row>
    <row r="9" spans="1:31" ht="29">
      <c r="B9" s="622" t="s">
        <v>250</v>
      </c>
      <c r="C9" s="623">
        <f>VLOOKUP(F4,$AC$2:$AE$32,3,0)</f>
        <v>2</v>
      </c>
      <c r="D9" s="360"/>
      <c r="Q9" s="546">
        <v>7</v>
      </c>
      <c r="R9" s="183">
        <f t="shared" si="1"/>
        <v>1</v>
      </c>
      <c r="U9" s="186" t="s">
        <v>148</v>
      </c>
      <c r="V9" s="187" t="s">
        <v>147</v>
      </c>
      <c r="W9" s="188" t="s">
        <v>146</v>
      </c>
      <c r="X9" s="189" t="s">
        <v>155</v>
      </c>
      <c r="Z9" s="362" t="s">
        <v>41</v>
      </c>
      <c r="AA9" s="362">
        <v>5</v>
      </c>
      <c r="AC9" s="360">
        <v>7</v>
      </c>
      <c r="AD9" s="360" t="s">
        <v>248</v>
      </c>
      <c r="AE9" s="360">
        <v>0</v>
      </c>
    </row>
    <row r="10" spans="1:31" ht="15" thickBot="1">
      <c r="B10" s="620" t="s">
        <v>25</v>
      </c>
      <c r="C10" s="621">
        <f>MOD((D6+G6+J6)-1,9)+1</f>
        <v>2</v>
      </c>
      <c r="D10" s="360">
        <f>C10</f>
        <v>2</v>
      </c>
      <c r="Q10" s="546">
        <v>8</v>
      </c>
      <c r="R10" s="183">
        <f t="shared" si="1"/>
        <v>0</v>
      </c>
      <c r="U10" s="199">
        <f>IF(R10&lt;=0,COUNTIF(E7:E8,Q10),R10)</f>
        <v>0</v>
      </c>
      <c r="V10" s="200">
        <f>IF(R3&lt;=0,COUNTIF(E7:E8,Q3),R3)</f>
        <v>2</v>
      </c>
      <c r="W10" s="201">
        <f>IF(R8&lt;=0,COUNTIF(E7:E8,Q8),R8)</f>
        <v>0</v>
      </c>
      <c r="X10" s="192"/>
      <c r="Z10" s="362" t="s">
        <v>43</v>
      </c>
      <c r="AA10" s="362">
        <v>1</v>
      </c>
      <c r="AC10" s="360">
        <v>8</v>
      </c>
      <c r="AD10" s="360" t="s">
        <v>248</v>
      </c>
      <c r="AE10" s="360">
        <v>0</v>
      </c>
    </row>
    <row r="11" spans="1:31">
      <c r="B11" s="622" t="s">
        <v>251</v>
      </c>
      <c r="C11" s="623">
        <f>C12</f>
        <v>3</v>
      </c>
      <c r="D11" s="360"/>
      <c r="Q11" s="546">
        <v>9</v>
      </c>
      <c r="R11" s="183">
        <f t="shared" si="1"/>
        <v>3</v>
      </c>
      <c r="X11" s="736" t="s">
        <v>185</v>
      </c>
      <c r="Z11" s="362" t="s">
        <v>46</v>
      </c>
      <c r="AA11" s="362">
        <v>1</v>
      </c>
      <c r="AC11" s="360">
        <v>9</v>
      </c>
      <c r="AD11" s="360" t="s">
        <v>248</v>
      </c>
      <c r="AE11" s="360">
        <v>0</v>
      </c>
    </row>
    <row r="12" spans="1:31" ht="15" thickBot="1">
      <c r="A12" s="422" t="s">
        <v>151</v>
      </c>
      <c r="B12" s="619" t="str">
        <f>'Master Calculator'!B9</f>
        <v>female</v>
      </c>
      <c r="C12" s="423">
        <f>IF(B12="Male",MOD((11-J6)-1,9)+1,MOD((J6+4)-1,9)+1)</f>
        <v>3</v>
      </c>
      <c r="D12" s="360">
        <f>C12</f>
        <v>3</v>
      </c>
      <c r="X12" s="737"/>
      <c r="Z12" s="362" t="s">
        <v>50</v>
      </c>
      <c r="AA12" s="362">
        <v>2</v>
      </c>
      <c r="AC12" s="360">
        <v>10</v>
      </c>
      <c r="AD12" s="360" t="s">
        <v>248</v>
      </c>
      <c r="AE12" s="360">
        <v>0</v>
      </c>
    </row>
    <row r="13" spans="1:31" ht="15" thickBot="1">
      <c r="T13" s="734" t="s">
        <v>252</v>
      </c>
      <c r="U13" s="734"/>
      <c r="V13" s="734"/>
      <c r="X13" s="425"/>
      <c r="AA13" s="362">
        <v>3</v>
      </c>
      <c r="AC13" s="360">
        <v>11</v>
      </c>
      <c r="AD13" s="360" t="s">
        <v>249</v>
      </c>
      <c r="AE13" s="360">
        <v>2</v>
      </c>
    </row>
    <row r="14" spans="1:31">
      <c r="A14" s="730" t="s">
        <v>10</v>
      </c>
      <c r="B14" s="731"/>
      <c r="C14" s="456"/>
      <c r="D14" s="457"/>
      <c r="E14" s="456"/>
      <c r="F14" s="456"/>
      <c r="G14" s="458"/>
      <c r="H14" s="459"/>
      <c r="I14" s="459"/>
      <c r="J14" s="460"/>
      <c r="K14" s="461"/>
      <c r="L14" s="461"/>
      <c r="M14" s="732" t="s">
        <v>99</v>
      </c>
      <c r="N14" s="733"/>
      <c r="T14" s="616">
        <v>1</v>
      </c>
      <c r="U14" s="616">
        <f>COUNTIF(D3:$M$3,T14)+COUNTIF($D$8:$D$12,T14)</f>
        <v>2</v>
      </c>
      <c r="V14" s="612" t="s">
        <v>244</v>
      </c>
      <c r="X14" s="425"/>
      <c r="AA14" s="362">
        <v>4</v>
      </c>
      <c r="AC14" s="360">
        <v>12</v>
      </c>
      <c r="AD14" s="360" t="s">
        <v>249</v>
      </c>
      <c r="AE14" s="360">
        <v>3</v>
      </c>
    </row>
    <row r="15" spans="1:31">
      <c r="A15" s="462" t="s">
        <v>17</v>
      </c>
      <c r="B15" s="463" t="str">
        <f>'Master Calculator'!B16</f>
        <v>ACHARYA</v>
      </c>
      <c r="C15" s="127"/>
      <c r="D15" s="464">
        <f>'Master Calculator'!D16</f>
        <v>14</v>
      </c>
      <c r="E15" s="127">
        <f>'Master Calculator'!E16</f>
        <v>5</v>
      </c>
      <c r="F15" s="465" t="str">
        <f>'Master Calculator'!F16</f>
        <v>FN</v>
      </c>
      <c r="G15" s="220" t="str">
        <f>'Master Calculator'!G16</f>
        <v>√</v>
      </c>
      <c r="H15" s="128"/>
      <c r="I15" s="128"/>
      <c r="J15" s="466" t="s">
        <v>206</v>
      </c>
      <c r="K15" s="413"/>
      <c r="L15" s="413"/>
      <c r="M15" s="467" t="s">
        <v>12</v>
      </c>
      <c r="N15" s="468" t="s">
        <v>13</v>
      </c>
      <c r="T15" s="616">
        <v>2</v>
      </c>
      <c r="U15" s="616">
        <f>COUNTIF(D$3:$M3,T15)+COUNTIF($D$8:$D$12,T15)</f>
        <v>3</v>
      </c>
      <c r="V15" s="614" t="s">
        <v>245</v>
      </c>
      <c r="X15" s="425"/>
      <c r="AA15" s="362">
        <v>5</v>
      </c>
      <c r="AC15" s="360">
        <v>13</v>
      </c>
      <c r="AD15" s="360" t="s">
        <v>249</v>
      </c>
      <c r="AE15" s="360">
        <v>4</v>
      </c>
    </row>
    <row r="16" spans="1:31">
      <c r="A16" s="462" t="s">
        <v>30</v>
      </c>
      <c r="B16" s="463" t="str">
        <f>'Master Calculator'!B17</f>
        <v>KAMLESH</v>
      </c>
      <c r="C16" s="127"/>
      <c r="D16" s="464">
        <f>'Master Calculator'!D17</f>
        <v>23</v>
      </c>
      <c r="E16" s="127">
        <f>'Master Calculator'!E17</f>
        <v>5</v>
      </c>
      <c r="F16" s="127"/>
      <c r="G16" s="164"/>
      <c r="H16" s="128"/>
      <c r="I16" s="128"/>
      <c r="J16" s="469" t="s">
        <v>18</v>
      </c>
      <c r="K16" s="413"/>
      <c r="L16" s="618">
        <f>'Master Calculator'!L17</f>
        <v>2</v>
      </c>
      <c r="M16" s="413">
        <f ca="1">'Master Calculator'!M17</f>
        <v>0</v>
      </c>
      <c r="N16" s="468" t="str">
        <f ca="1">'Master Calculator'!N17</f>
        <v>Active</v>
      </c>
      <c r="T16" s="616">
        <v>3</v>
      </c>
      <c r="U16" s="616">
        <f>COUNTIF(D$3:$M3,T16)+COUNTIF($D$8:$D$12,T16)</f>
        <v>1</v>
      </c>
      <c r="V16" s="612" t="s">
        <v>244</v>
      </c>
      <c r="X16" s="425"/>
      <c r="AA16" s="362">
        <v>7</v>
      </c>
      <c r="AC16" s="360">
        <v>14</v>
      </c>
      <c r="AD16" s="360" t="s">
        <v>249</v>
      </c>
      <c r="AE16" s="360">
        <v>5</v>
      </c>
    </row>
    <row r="17" spans="1:31">
      <c r="A17" s="462" t="s">
        <v>37</v>
      </c>
      <c r="B17" s="463" t="str">
        <f>'Master Calculator'!B18</f>
        <v>MEENA</v>
      </c>
      <c r="C17" s="127"/>
      <c r="D17" s="464">
        <f>'Master Calculator'!D18</f>
        <v>20</v>
      </c>
      <c r="E17" s="127">
        <f>'Master Calculator'!E18</f>
        <v>2</v>
      </c>
      <c r="F17" s="127"/>
      <c r="G17" s="164"/>
      <c r="H17" s="128"/>
      <c r="I17" s="128"/>
      <c r="J17" s="469" t="s">
        <v>25</v>
      </c>
      <c r="K17" s="413"/>
      <c r="L17" s="618">
        <f ca="1">'Master Calculator'!L18</f>
        <v>2</v>
      </c>
      <c r="M17" s="413"/>
      <c r="N17" s="470"/>
      <c r="T17" s="616">
        <v>4</v>
      </c>
      <c r="U17" s="616">
        <f>COUNTIF(D$3:$M3,T17)+COUNTIF($D$8:$D$12,T17)</f>
        <v>0</v>
      </c>
      <c r="V17" s="614" t="s">
        <v>245</v>
      </c>
      <c r="X17" s="425"/>
      <c r="AA17" s="362">
        <v>8</v>
      </c>
      <c r="AC17" s="360">
        <v>15</v>
      </c>
      <c r="AD17" s="360" t="s">
        <v>249</v>
      </c>
      <c r="AE17" s="360">
        <v>6</v>
      </c>
    </row>
    <row r="18" spans="1:31" ht="15" thickBot="1">
      <c r="A18" s="471"/>
      <c r="B18" s="472"/>
      <c r="C18" s="472"/>
      <c r="D18" s="473">
        <f>'Master Calculator'!D19</f>
        <v>57</v>
      </c>
      <c r="E18" s="472">
        <f>'Master Calculator'!E19</f>
        <v>12</v>
      </c>
      <c r="F18" s="474" t="str">
        <f>'Master Calculator'!F19</f>
        <v>EXP</v>
      </c>
      <c r="G18" s="475" t="str">
        <f>'Master Calculator'!G19</f>
        <v>√</v>
      </c>
      <c r="H18" s="128"/>
      <c r="I18" s="128"/>
      <c r="J18" s="469" t="s">
        <v>24</v>
      </c>
      <c r="K18" s="616">
        <f>'Master Calculator'!K19</f>
        <v>14</v>
      </c>
      <c r="L18" s="618">
        <f>'Master Calculator'!L19</f>
        <v>5</v>
      </c>
      <c r="M18" s="616" t="str">
        <f>'Master Calculator'!M19</f>
        <v>F</v>
      </c>
      <c r="N18" s="476" t="str">
        <f ca="1">'Master Calculator'!N19</f>
        <v>F</v>
      </c>
      <c r="T18" s="616">
        <v>5</v>
      </c>
      <c r="U18" s="616">
        <f>COUNTIF(D$3:$M3,T18)+COUNTIF($D$8:$D$12,T18)</f>
        <v>0</v>
      </c>
      <c r="V18" s="612" t="s">
        <v>244</v>
      </c>
      <c r="X18" s="425"/>
      <c r="AA18" s="362">
        <v>1</v>
      </c>
      <c r="AC18" s="360">
        <v>16</v>
      </c>
      <c r="AD18" s="360" t="s">
        <v>249</v>
      </c>
      <c r="AE18" s="360">
        <v>7</v>
      </c>
    </row>
    <row r="19" spans="1:31">
      <c r="A19" s="128"/>
      <c r="B19" s="128"/>
      <c r="C19" s="128"/>
      <c r="D19" s="477"/>
      <c r="E19" s="128"/>
      <c r="F19" s="128"/>
      <c r="G19" s="128"/>
      <c r="H19" s="128"/>
      <c r="I19" s="128"/>
      <c r="J19" s="478" t="s">
        <v>31</v>
      </c>
      <c r="K19" s="616">
        <f>'Master Calculator'!K20</f>
        <v>57</v>
      </c>
      <c r="L19" s="618">
        <f>'Master Calculator'!L20</f>
        <v>3</v>
      </c>
      <c r="M19" s="616" t="str">
        <f>'Master Calculator'!M20</f>
        <v>G</v>
      </c>
      <c r="N19" s="476" t="str">
        <f ca="1">'Master Calculator'!N20</f>
        <v>G</v>
      </c>
      <c r="T19" s="616">
        <v>6</v>
      </c>
      <c r="U19" s="616">
        <f>COUNTIF(D$3:$M3,T19)+COUNTIF($D$8:$D$12,T19)</f>
        <v>0</v>
      </c>
      <c r="V19" s="614" t="s">
        <v>245</v>
      </c>
      <c r="X19" s="425"/>
      <c r="AA19" s="362">
        <v>2</v>
      </c>
      <c r="AC19" s="360">
        <v>17</v>
      </c>
      <c r="AD19" s="360" t="s">
        <v>249</v>
      </c>
      <c r="AE19" s="360">
        <v>8</v>
      </c>
    </row>
    <row r="20" spans="1:31">
      <c r="A20" s="128"/>
      <c r="B20" s="128"/>
      <c r="C20" s="128"/>
      <c r="D20" s="477"/>
      <c r="E20" s="128"/>
      <c r="F20" s="128"/>
      <c r="G20" s="128"/>
      <c r="H20" s="128"/>
      <c r="I20" s="128"/>
      <c r="J20" s="478" t="s">
        <v>32</v>
      </c>
      <c r="K20" s="616">
        <f>'Master Calculator'!K21</f>
        <v>20</v>
      </c>
      <c r="L20" s="618">
        <f>'Master Calculator'!L21</f>
        <v>2</v>
      </c>
      <c r="M20" s="616" t="str">
        <f>'Master Calculator'!M21</f>
        <v>E</v>
      </c>
      <c r="N20" s="476" t="str">
        <f ca="1">'Master Calculator'!N21</f>
        <v>E</v>
      </c>
      <c r="T20" s="616">
        <v>7</v>
      </c>
      <c r="U20" s="616">
        <f>COUNTIF(D$3:$M3,T20)+COUNTIF($D$8:$D$12,T20)</f>
        <v>1</v>
      </c>
      <c r="V20" s="612" t="s">
        <v>244</v>
      </c>
      <c r="X20" s="425"/>
      <c r="AA20" s="362">
        <v>3</v>
      </c>
      <c r="AC20" s="360">
        <v>18</v>
      </c>
      <c r="AD20" s="360" t="s">
        <v>249</v>
      </c>
      <c r="AE20" s="360">
        <v>9</v>
      </c>
    </row>
    <row r="21" spans="1:31" ht="15" thickBot="1">
      <c r="A21" s="128"/>
      <c r="B21" s="128"/>
      <c r="C21" s="128"/>
      <c r="D21" s="477"/>
      <c r="E21" s="128"/>
      <c r="F21" s="128"/>
      <c r="G21" s="128"/>
      <c r="H21" s="128"/>
      <c r="I21" s="128"/>
      <c r="J21" s="479" t="s">
        <v>35</v>
      </c>
      <c r="K21" s="480">
        <f>'Master Calculator'!K22</f>
        <v>37</v>
      </c>
      <c r="L21" s="481">
        <f>'Master Calculator'!L22</f>
        <v>1</v>
      </c>
      <c r="M21" s="480" t="str">
        <f>'Master Calculator'!M22</f>
        <v>G</v>
      </c>
      <c r="N21" s="482" t="str">
        <f ca="1">'Master Calculator'!N22</f>
        <v>G</v>
      </c>
      <c r="T21" s="616">
        <v>8</v>
      </c>
      <c r="U21" s="616">
        <f>COUNTIF(D$3:$M3,T21)+COUNTIF($D$8:$D$12,T21)</f>
        <v>0</v>
      </c>
      <c r="V21" s="614" t="s">
        <v>245</v>
      </c>
      <c r="X21" s="425"/>
      <c r="AA21" s="362">
        <v>4</v>
      </c>
      <c r="AC21" s="360">
        <v>19</v>
      </c>
      <c r="AD21" s="360" t="s">
        <v>249</v>
      </c>
      <c r="AE21" s="360">
        <v>1</v>
      </c>
    </row>
    <row r="22" spans="1:31">
      <c r="T22" s="616">
        <v>9</v>
      </c>
      <c r="U22" s="616">
        <f>COUNTIF(D$3:$M3,T22)+COUNTIF($D$8:$D$12,T22)</f>
        <v>3</v>
      </c>
      <c r="V22" s="612" t="s">
        <v>244</v>
      </c>
      <c r="X22" s="425"/>
      <c r="AA22" s="362">
        <v>6</v>
      </c>
      <c r="AC22" s="360">
        <v>20</v>
      </c>
      <c r="AD22" s="360" t="s">
        <v>248</v>
      </c>
      <c r="AE22" s="360">
        <v>0</v>
      </c>
    </row>
    <row r="23" spans="1:31" ht="15" thickBot="1">
      <c r="A23" s="176"/>
      <c r="B23" s="176"/>
      <c r="C23" s="176"/>
      <c r="D23" s="176"/>
      <c r="E23" s="176"/>
      <c r="F23" s="176"/>
      <c r="G23" s="176"/>
      <c r="H23" s="176"/>
      <c r="I23" s="176"/>
      <c r="J23" s="176"/>
      <c r="K23" s="176"/>
      <c r="L23" s="176"/>
      <c r="M23" s="176"/>
      <c r="N23" s="176"/>
      <c r="O23" s="176"/>
      <c r="P23" s="176"/>
      <c r="Q23" s="176"/>
      <c r="R23" s="176"/>
      <c r="S23" s="176"/>
      <c r="T23" s="176"/>
      <c r="U23" s="176"/>
      <c r="V23" s="176"/>
      <c r="W23" s="176"/>
      <c r="X23" s="176"/>
      <c r="Y23" s="176"/>
      <c r="Z23" s="362" t="s">
        <v>53</v>
      </c>
      <c r="AA23" s="362">
        <v>6</v>
      </c>
      <c r="AC23" s="360">
        <v>21</v>
      </c>
      <c r="AD23" s="360" t="s">
        <v>249</v>
      </c>
      <c r="AE23" s="360">
        <v>3</v>
      </c>
    </row>
    <row r="24" spans="1:31">
      <c r="A24" s="730" t="s">
        <v>191</v>
      </c>
      <c r="B24" s="731"/>
      <c r="C24" s="456"/>
      <c r="D24" s="457"/>
      <c r="E24" s="456"/>
      <c r="F24" s="456"/>
      <c r="G24" s="458"/>
      <c r="H24" s="459"/>
      <c r="I24" s="459"/>
      <c r="J24" s="460"/>
      <c r="K24" s="461"/>
      <c r="L24" s="461"/>
      <c r="M24" s="732" t="s">
        <v>99</v>
      </c>
      <c r="N24" s="733"/>
      <c r="O24" s="157"/>
      <c r="P24" s="157"/>
      <c r="Q24" s="157"/>
      <c r="R24" s="157"/>
      <c r="S24" s="157"/>
      <c r="T24" s="176"/>
      <c r="U24" s="613" t="s">
        <v>244</v>
      </c>
      <c r="V24" s="548">
        <f>U14+U16+U18+U20+U22</f>
        <v>7</v>
      </c>
      <c r="W24" s="424"/>
      <c r="X24" s="424"/>
      <c r="Y24" s="424"/>
      <c r="Z24" s="362" t="s">
        <v>47</v>
      </c>
      <c r="AA24" s="362">
        <v>6</v>
      </c>
      <c r="AC24" s="360">
        <v>22</v>
      </c>
      <c r="AD24" s="360" t="s">
        <v>249</v>
      </c>
      <c r="AE24" s="360">
        <v>4</v>
      </c>
    </row>
    <row r="25" spans="1:31">
      <c r="A25" s="462" t="s">
        <v>17</v>
      </c>
      <c r="B25" s="463" t="str">
        <f>'Master Calculator'!B30</f>
        <v>KAAMLESH</v>
      </c>
      <c r="C25" s="127"/>
      <c r="D25" s="464">
        <f>'Master Calculator'!D30</f>
        <v>24</v>
      </c>
      <c r="E25" s="127">
        <f>'Master Calculator'!E30</f>
        <v>6</v>
      </c>
      <c r="F25" s="465" t="str">
        <f>'Master Calculator'!F30</f>
        <v>FN</v>
      </c>
      <c r="G25" s="220" t="str">
        <f>'Master Calculator'!G30</f>
        <v>*</v>
      </c>
      <c r="H25" s="128"/>
      <c r="I25" s="128"/>
      <c r="J25" s="466" t="s">
        <v>190</v>
      </c>
      <c r="K25" s="413"/>
      <c r="L25" s="413"/>
      <c r="M25" s="467" t="s">
        <v>12</v>
      </c>
      <c r="N25" s="468" t="s">
        <v>13</v>
      </c>
      <c r="O25" s="157"/>
      <c r="P25" s="157"/>
      <c r="Q25" s="176"/>
      <c r="R25" s="176"/>
      <c r="S25" s="176"/>
      <c r="T25" s="175"/>
      <c r="U25" s="615" t="s">
        <v>245</v>
      </c>
      <c r="V25" s="467">
        <f>U15+U17+U19+U21</f>
        <v>3</v>
      </c>
      <c r="W25" s="175"/>
      <c r="X25" s="175"/>
      <c r="Y25" s="175"/>
      <c r="Z25" s="362" t="s">
        <v>61</v>
      </c>
      <c r="AA25" s="362">
        <v>5</v>
      </c>
      <c r="AC25" s="360">
        <v>23</v>
      </c>
      <c r="AD25" s="360" t="s">
        <v>249</v>
      </c>
      <c r="AE25" s="360">
        <v>5</v>
      </c>
    </row>
    <row r="26" spans="1:31">
      <c r="A26" s="462" t="s">
        <v>30</v>
      </c>
      <c r="B26" s="463">
        <f>'Master Calculator'!B31</f>
        <v>0</v>
      </c>
      <c r="C26" s="127"/>
      <c r="D26" s="464">
        <f>'Master Calculator'!D31</f>
        <v>0</v>
      </c>
      <c r="E26" s="127">
        <f>'Master Calculator'!E31</f>
        <v>0</v>
      </c>
      <c r="F26" s="127"/>
      <c r="G26" s="164"/>
      <c r="H26" s="128"/>
      <c r="I26" s="128"/>
      <c r="J26" s="469" t="s">
        <v>18</v>
      </c>
      <c r="K26" s="413"/>
      <c r="L26" s="618">
        <f>'Master Calculator'!L31</f>
        <v>2</v>
      </c>
      <c r="M26" s="413">
        <f ca="1">'Master Calculator'!M31</f>
        <v>0</v>
      </c>
      <c r="N26" s="468" t="str">
        <f ca="1">'Master Calculator'!N31</f>
        <v>Active</v>
      </c>
      <c r="O26" s="157"/>
      <c r="P26" s="157"/>
      <c r="Q26" s="176"/>
      <c r="R26" s="176"/>
      <c r="S26" s="176"/>
      <c r="T26" s="157"/>
      <c r="U26" s="157"/>
      <c r="V26" s="175"/>
      <c r="W26" s="157"/>
      <c r="X26" s="175"/>
      <c r="Y26" s="157"/>
      <c r="Z26" s="362" t="s">
        <v>52</v>
      </c>
      <c r="AA26" s="362">
        <v>1</v>
      </c>
      <c r="AC26" s="360">
        <v>24</v>
      </c>
      <c r="AD26" s="360" t="s">
        <v>249</v>
      </c>
      <c r="AE26" s="360">
        <v>6</v>
      </c>
    </row>
    <row r="27" spans="1:31">
      <c r="A27" s="462" t="s">
        <v>37</v>
      </c>
      <c r="B27" s="463">
        <f>'Master Calculator'!B32</f>
        <v>0</v>
      </c>
      <c r="C27" s="127"/>
      <c r="D27" s="464">
        <f>'Master Calculator'!D32</f>
        <v>0</v>
      </c>
      <c r="E27" s="127">
        <f>'Master Calculator'!E32</f>
        <v>0</v>
      </c>
      <c r="F27" s="127"/>
      <c r="G27" s="164"/>
      <c r="H27" s="128"/>
      <c r="I27" s="128"/>
      <c r="J27" s="469" t="s">
        <v>25</v>
      </c>
      <c r="K27" s="413"/>
      <c r="L27" s="618">
        <f ca="1">'Master Calculator'!L32</f>
        <v>2</v>
      </c>
      <c r="M27" s="413"/>
      <c r="N27" s="470"/>
      <c r="O27" s="157"/>
      <c r="P27" s="157"/>
      <c r="Q27" s="176"/>
      <c r="R27" s="176"/>
      <c r="S27" s="176"/>
      <c r="T27" s="157"/>
      <c r="U27" s="157"/>
      <c r="V27" s="175"/>
      <c r="W27" s="157"/>
      <c r="X27" s="157"/>
      <c r="Y27" s="157"/>
      <c r="Z27" s="362" t="s">
        <v>58</v>
      </c>
      <c r="AA27" s="362">
        <v>7</v>
      </c>
      <c r="AC27" s="360">
        <v>25</v>
      </c>
      <c r="AD27" s="360" t="s">
        <v>249</v>
      </c>
      <c r="AE27" s="360">
        <v>7</v>
      </c>
    </row>
    <row r="28" spans="1:31" ht="15" thickBot="1">
      <c r="A28" s="471"/>
      <c r="B28" s="472"/>
      <c r="C28" s="472"/>
      <c r="D28" s="473">
        <f>'Master Calculator'!D33</f>
        <v>24</v>
      </c>
      <c r="E28" s="472">
        <f>'Master Calculator'!E33</f>
        <v>6</v>
      </c>
      <c r="F28" s="474" t="str">
        <f>'Master Calculator'!F33</f>
        <v>EXP</v>
      </c>
      <c r="G28" s="475" t="str">
        <f>'Master Calculator'!G33</f>
        <v>*</v>
      </c>
      <c r="H28" s="128"/>
      <c r="I28" s="128"/>
      <c r="J28" s="469" t="s">
        <v>24</v>
      </c>
      <c r="K28" s="616">
        <f>'Master Calculator'!K33</f>
        <v>24</v>
      </c>
      <c r="L28" s="618">
        <f>'Master Calculator'!L33</f>
        <v>6</v>
      </c>
      <c r="M28" s="616" t="str">
        <f>'Master Calculator'!M33</f>
        <v>G</v>
      </c>
      <c r="N28" s="476" t="str">
        <f ca="1">'Master Calculator'!N33</f>
        <v>G</v>
      </c>
      <c r="O28" s="157"/>
      <c r="P28" s="157"/>
      <c r="Q28" s="176"/>
      <c r="R28" s="176"/>
      <c r="S28" s="176"/>
      <c r="T28" s="157"/>
      <c r="U28" s="157"/>
      <c r="V28" s="175"/>
      <c r="W28" s="157"/>
      <c r="X28" s="157"/>
      <c r="Y28" s="225"/>
      <c r="Z28" s="362" t="s">
        <v>63</v>
      </c>
      <c r="AA28" s="362">
        <v>1</v>
      </c>
      <c r="AC28" s="360">
        <v>26</v>
      </c>
      <c r="AD28" s="360" t="s">
        <v>249</v>
      </c>
      <c r="AE28" s="360">
        <v>8</v>
      </c>
    </row>
    <row r="29" spans="1:31">
      <c r="A29" s="128"/>
      <c r="B29" s="128"/>
      <c r="C29" s="128"/>
      <c r="D29" s="477"/>
      <c r="E29" s="128"/>
      <c r="F29" s="128"/>
      <c r="G29" s="128"/>
      <c r="H29" s="128"/>
      <c r="I29" s="128"/>
      <c r="J29" s="478" t="s">
        <v>31</v>
      </c>
      <c r="K29" s="616">
        <f>'Master Calculator'!K34</f>
        <v>24</v>
      </c>
      <c r="L29" s="618">
        <f>'Master Calculator'!L34</f>
        <v>6</v>
      </c>
      <c r="M29" s="616" t="str">
        <f>'Master Calculator'!M34</f>
        <v>G</v>
      </c>
      <c r="N29" s="476" t="str">
        <f ca="1">'Master Calculator'!N34</f>
        <v>G</v>
      </c>
      <c r="O29" s="157"/>
      <c r="P29" s="157"/>
      <c r="Q29" s="176"/>
      <c r="R29" s="176"/>
      <c r="S29" s="176"/>
      <c r="T29" s="157"/>
      <c r="U29" s="157"/>
      <c r="V29" s="175"/>
      <c r="W29" s="157"/>
      <c r="X29" s="157"/>
      <c r="Y29" s="225"/>
      <c r="Z29" s="362" t="s">
        <v>59</v>
      </c>
      <c r="AA29" s="362">
        <v>2</v>
      </c>
      <c r="AC29" s="360">
        <v>27</v>
      </c>
      <c r="AD29" s="360" t="s">
        <v>249</v>
      </c>
      <c r="AE29" s="360">
        <v>9</v>
      </c>
    </row>
    <row r="30" spans="1:31">
      <c r="A30" s="128"/>
      <c r="B30" s="128"/>
      <c r="C30" s="128"/>
      <c r="D30" s="477"/>
      <c r="E30" s="128"/>
      <c r="F30" s="128"/>
      <c r="G30" s="128"/>
      <c r="H30" s="128"/>
      <c r="I30" s="128"/>
      <c r="J30" s="478" t="s">
        <v>32</v>
      </c>
      <c r="K30" s="616">
        <f>'Master Calculator'!K35</f>
        <v>7</v>
      </c>
      <c r="L30" s="618">
        <f>'Master Calculator'!L35</f>
        <v>7</v>
      </c>
      <c r="M30" s="616" t="str">
        <f>'Master Calculator'!M35</f>
        <v>VG</v>
      </c>
      <c r="N30" s="476" t="str">
        <f ca="1">'Master Calculator'!N35</f>
        <v>VG</v>
      </c>
      <c r="O30" s="157"/>
      <c r="P30" s="157"/>
      <c r="Q30" s="176"/>
      <c r="R30" s="176"/>
      <c r="S30" s="176"/>
      <c r="T30" s="157"/>
      <c r="U30" s="157"/>
      <c r="V30" s="175"/>
      <c r="W30" s="157"/>
      <c r="X30" s="157"/>
      <c r="Y30" s="225"/>
      <c r="Z30" s="362" t="s">
        <v>64</v>
      </c>
      <c r="AA30" s="363">
        <v>3</v>
      </c>
      <c r="AC30" s="360">
        <v>28</v>
      </c>
      <c r="AD30" s="360" t="s">
        <v>249</v>
      </c>
      <c r="AE30" s="360">
        <v>1</v>
      </c>
    </row>
    <row r="31" spans="1:31" ht="15" thickBot="1">
      <c r="A31" s="128"/>
      <c r="B31" s="128"/>
      <c r="C31" s="128"/>
      <c r="D31" s="477"/>
      <c r="E31" s="128"/>
      <c r="F31" s="128"/>
      <c r="G31" s="128"/>
      <c r="H31" s="128"/>
      <c r="I31" s="128"/>
      <c r="J31" s="479" t="s">
        <v>35</v>
      </c>
      <c r="K31" s="480">
        <f>'Master Calculator'!K36</f>
        <v>17</v>
      </c>
      <c r="L31" s="481">
        <f>'Master Calculator'!L36</f>
        <v>8</v>
      </c>
      <c r="M31" s="480" t="str">
        <f>'Master Calculator'!M36</f>
        <v>A</v>
      </c>
      <c r="N31" s="482" t="str">
        <f ca="1">'Master Calculator'!N36</f>
        <v>A</v>
      </c>
      <c r="O31" s="176"/>
      <c r="P31" s="176"/>
      <c r="Q31" s="176"/>
      <c r="R31" s="176"/>
      <c r="S31" s="176"/>
      <c r="T31" s="157"/>
      <c r="U31" s="157"/>
      <c r="V31" s="175"/>
      <c r="W31" s="157"/>
      <c r="X31" s="157"/>
      <c r="Y31" s="225"/>
      <c r="Z31" s="362" t="s">
        <v>60</v>
      </c>
      <c r="AA31" s="362">
        <v>4</v>
      </c>
      <c r="AC31" s="360">
        <v>29</v>
      </c>
      <c r="AD31" s="360" t="s">
        <v>249</v>
      </c>
      <c r="AE31" s="360">
        <v>2</v>
      </c>
    </row>
    <row r="32" spans="1:31" ht="15" thickBot="1">
      <c r="Z32" s="362" t="s">
        <v>51</v>
      </c>
      <c r="AA32" s="362">
        <v>5</v>
      </c>
      <c r="AC32" s="360">
        <v>30</v>
      </c>
      <c r="AD32" s="360" t="s">
        <v>248</v>
      </c>
      <c r="AE32" s="360">
        <v>0</v>
      </c>
    </row>
    <row r="33" spans="1:31">
      <c r="A33" s="730" t="s">
        <v>192</v>
      </c>
      <c r="B33" s="731"/>
      <c r="C33" s="456"/>
      <c r="D33" s="457"/>
      <c r="E33" s="456"/>
      <c r="F33" s="456"/>
      <c r="G33" s="458"/>
      <c r="H33" s="459"/>
      <c r="I33" s="459"/>
      <c r="J33" s="460"/>
      <c r="K33" s="461"/>
      <c r="L33" s="461"/>
      <c r="M33" s="732" t="s">
        <v>99</v>
      </c>
      <c r="N33" s="733"/>
      <c r="Z33" s="362" t="s">
        <v>56</v>
      </c>
      <c r="AA33" s="362">
        <v>6</v>
      </c>
      <c r="AC33" s="360">
        <v>31</v>
      </c>
      <c r="AD33" s="360" t="s">
        <v>249</v>
      </c>
      <c r="AE33" s="360">
        <v>4</v>
      </c>
    </row>
    <row r="34" spans="1:31">
      <c r="A34" s="462" t="s">
        <v>17</v>
      </c>
      <c r="B34" s="463" t="str">
        <f>'Master Calculator'!B40</f>
        <v>KAMLESH</v>
      </c>
      <c r="C34" s="127"/>
      <c r="D34" s="464">
        <f>'Master Calculator'!D40</f>
        <v>23</v>
      </c>
      <c r="E34" s="127">
        <f>'Master Calculator'!E40</f>
        <v>5</v>
      </c>
      <c r="F34" s="465" t="str">
        <f>'Master Calculator'!F40</f>
        <v>FN</v>
      </c>
      <c r="G34" s="220" t="str">
        <f>'Master Calculator'!G40</f>
        <v>*</v>
      </c>
      <c r="H34" s="128"/>
      <c r="I34" s="128"/>
      <c r="J34" s="466" t="s">
        <v>199</v>
      </c>
      <c r="K34" s="413"/>
      <c r="L34" s="413"/>
      <c r="M34" s="467" t="s">
        <v>12</v>
      </c>
      <c r="N34" s="468" t="s">
        <v>13</v>
      </c>
      <c r="Z34" s="362" t="s">
        <v>62</v>
      </c>
      <c r="AA34" s="362">
        <v>7</v>
      </c>
    </row>
    <row r="35" spans="1:31">
      <c r="A35" s="462" t="s">
        <v>30</v>
      </c>
      <c r="B35" s="463" t="str">
        <f>'Master Calculator'!B41</f>
        <v>VIJAY</v>
      </c>
      <c r="C35" s="127"/>
      <c r="D35" s="464">
        <f>'Master Calculator'!D41</f>
        <v>10</v>
      </c>
      <c r="E35" s="127">
        <f>'Master Calculator'!E41</f>
        <v>1</v>
      </c>
      <c r="F35" s="127"/>
      <c r="G35" s="164"/>
      <c r="H35" s="128"/>
      <c r="I35" s="128"/>
      <c r="J35" s="469" t="s">
        <v>18</v>
      </c>
      <c r="K35" s="413"/>
      <c r="L35" s="618">
        <f>'Master Calculator'!L41</f>
        <v>2</v>
      </c>
      <c r="M35" s="413">
        <f ca="1">'Master Calculator'!M41</f>
        <v>0</v>
      </c>
      <c r="N35" s="468" t="str">
        <f ca="1">'Master Calculator'!N41</f>
        <v>Active</v>
      </c>
      <c r="Z35" s="362" t="s">
        <v>23</v>
      </c>
      <c r="AA35" s="362">
        <v>8</v>
      </c>
    </row>
    <row r="36" spans="1:31">
      <c r="A36" s="462" t="s">
        <v>37</v>
      </c>
      <c r="B36" s="463">
        <f>'Master Calculator'!B42</f>
        <v>0</v>
      </c>
      <c r="C36" s="127"/>
      <c r="D36" s="464">
        <f>'Master Calculator'!D42</f>
        <v>0</v>
      </c>
      <c r="E36" s="127">
        <f>'Master Calculator'!E42</f>
        <v>0</v>
      </c>
      <c r="F36" s="127"/>
      <c r="G36" s="164"/>
      <c r="H36" s="128"/>
      <c r="I36" s="128"/>
      <c r="J36" s="469" t="s">
        <v>25</v>
      </c>
      <c r="K36" s="413"/>
      <c r="L36" s="618">
        <f ca="1">'Master Calculator'!L42</f>
        <v>2</v>
      </c>
      <c r="M36" s="413"/>
      <c r="N36" s="470"/>
      <c r="Z36" s="362" t="s">
        <v>48</v>
      </c>
      <c r="AA36" s="362">
        <v>9</v>
      </c>
    </row>
    <row r="37" spans="1:31" ht="15" thickBot="1">
      <c r="A37" s="471"/>
      <c r="B37" s="472"/>
      <c r="C37" s="472"/>
      <c r="D37" s="473">
        <f>'Master Calculator'!D43</f>
        <v>33</v>
      </c>
      <c r="E37" s="472">
        <f>'Master Calculator'!E43</f>
        <v>6</v>
      </c>
      <c r="F37" s="474" t="str">
        <f>'Master Calculator'!F43</f>
        <v>EXP</v>
      </c>
      <c r="G37" s="475" t="str">
        <f>'Master Calculator'!G43</f>
        <v>√</v>
      </c>
      <c r="H37" s="128"/>
      <c r="I37" s="128"/>
      <c r="J37" s="469" t="s">
        <v>24</v>
      </c>
      <c r="K37" s="616">
        <f>'Master Calculator'!K43</f>
        <v>23</v>
      </c>
      <c r="L37" s="618">
        <f>'Master Calculator'!L43</f>
        <v>5</v>
      </c>
      <c r="M37" s="616" t="str">
        <f>'Master Calculator'!M43</f>
        <v>F</v>
      </c>
      <c r="N37" s="476" t="str">
        <f ca="1">'Master Calculator'!N43</f>
        <v>F</v>
      </c>
      <c r="Z37" s="362" t="s">
        <v>57</v>
      </c>
      <c r="AA37" s="362">
        <v>0</v>
      </c>
    </row>
    <row r="38" spans="1:31">
      <c r="A38" s="128"/>
      <c r="B38" s="128"/>
      <c r="C38" s="128"/>
      <c r="D38" s="477"/>
      <c r="E38" s="128"/>
      <c r="F38" s="128"/>
      <c r="G38" s="128"/>
      <c r="H38" s="128"/>
      <c r="I38" s="128"/>
      <c r="J38" s="478" t="s">
        <v>31</v>
      </c>
      <c r="K38" s="616">
        <f>'Master Calculator'!K44</f>
        <v>33</v>
      </c>
      <c r="L38" s="618">
        <f>'Master Calculator'!L44</f>
        <v>6</v>
      </c>
      <c r="M38" s="616" t="str">
        <f>'Master Calculator'!M44</f>
        <v>G</v>
      </c>
      <c r="N38" s="476" t="str">
        <f ca="1">'Master Calculator'!N44</f>
        <v>G</v>
      </c>
      <c r="Z38" s="362">
        <v>1</v>
      </c>
    </row>
    <row r="39" spans="1:31">
      <c r="A39" s="128"/>
      <c r="B39" s="128"/>
      <c r="C39" s="128"/>
      <c r="D39" s="477"/>
      <c r="E39" s="128"/>
      <c r="F39" s="128"/>
      <c r="G39" s="128"/>
      <c r="H39" s="128"/>
      <c r="I39" s="128"/>
      <c r="J39" s="478" t="s">
        <v>32</v>
      </c>
      <c r="K39" s="616">
        <f>'Master Calculator'!K45</f>
        <v>8</v>
      </c>
      <c r="L39" s="618">
        <f>'Master Calculator'!L45</f>
        <v>8</v>
      </c>
      <c r="M39" s="616" t="str">
        <f>'Master Calculator'!M45</f>
        <v>A</v>
      </c>
      <c r="N39" s="476" t="str">
        <f ca="1">'Master Calculator'!N45</f>
        <v>A</v>
      </c>
      <c r="Z39" s="362">
        <v>2</v>
      </c>
    </row>
    <row r="40" spans="1:31" ht="15" thickBot="1">
      <c r="A40" s="128"/>
      <c r="B40" s="128"/>
      <c r="C40" s="128"/>
      <c r="D40" s="477"/>
      <c r="E40" s="128"/>
      <c r="F40" s="128"/>
      <c r="G40" s="128"/>
      <c r="H40" s="128"/>
      <c r="I40" s="128"/>
      <c r="J40" s="479" t="s">
        <v>35</v>
      </c>
      <c r="K40" s="480">
        <f>'Master Calculator'!K46</f>
        <v>25</v>
      </c>
      <c r="L40" s="481">
        <f>'Master Calculator'!L46</f>
        <v>7</v>
      </c>
      <c r="M40" s="480" t="str">
        <f>'Master Calculator'!M46</f>
        <v>VG</v>
      </c>
      <c r="N40" s="482" t="str">
        <f ca="1">'Master Calculator'!N46</f>
        <v>VG</v>
      </c>
      <c r="Z40" s="363">
        <v>3</v>
      </c>
    </row>
    <row r="41" spans="1:31" ht="15" thickBot="1">
      <c r="Z41" s="362">
        <v>4</v>
      </c>
    </row>
    <row r="42" spans="1:31">
      <c r="A42" s="730" t="s">
        <v>193</v>
      </c>
      <c r="B42" s="731"/>
      <c r="C42" s="456"/>
      <c r="D42" s="457"/>
      <c r="E42" s="456"/>
      <c r="F42" s="456"/>
      <c r="G42" s="458"/>
      <c r="H42" s="459"/>
      <c r="I42" s="459"/>
      <c r="J42" s="460"/>
      <c r="K42" s="461"/>
      <c r="L42" s="461"/>
      <c r="M42" s="732" t="s">
        <v>99</v>
      </c>
      <c r="N42" s="733"/>
      <c r="Z42" s="362">
        <v>5</v>
      </c>
    </row>
    <row r="43" spans="1:31">
      <c r="A43" s="462" t="s">
        <v>17</v>
      </c>
      <c r="B43" s="463">
        <f>'Master Calculator'!B51</f>
        <v>0</v>
      </c>
      <c r="C43" s="127"/>
      <c r="D43" s="464">
        <f>'Master Calculator'!D51</f>
        <v>0</v>
      </c>
      <c r="E43" s="127">
        <f>'Master Calculator'!E51</f>
        <v>0</v>
      </c>
      <c r="F43" s="465" t="str">
        <f>'Master Calculator'!F51</f>
        <v>FN</v>
      </c>
      <c r="G43" s="220" t="e">
        <f>'Master Calculator'!G51</f>
        <v>#N/A</v>
      </c>
      <c r="H43" s="128"/>
      <c r="I43" s="128"/>
      <c r="J43" s="466" t="s">
        <v>200</v>
      </c>
      <c r="K43" s="413"/>
      <c r="L43" s="413"/>
      <c r="M43" s="467" t="s">
        <v>12</v>
      </c>
      <c r="N43" s="468" t="s">
        <v>13</v>
      </c>
      <c r="Z43" s="362">
        <v>6</v>
      </c>
    </row>
    <row r="44" spans="1:31">
      <c r="A44" s="462" t="s">
        <v>30</v>
      </c>
      <c r="B44" s="463">
        <f>'Master Calculator'!B52</f>
        <v>0</v>
      </c>
      <c r="C44" s="127"/>
      <c r="D44" s="464">
        <f>'Master Calculator'!D52</f>
        <v>0</v>
      </c>
      <c r="E44" s="127">
        <f>'Master Calculator'!E52</f>
        <v>0</v>
      </c>
      <c r="F44" s="127"/>
      <c r="G44" s="164"/>
      <c r="H44" s="128"/>
      <c r="I44" s="128"/>
      <c r="J44" s="469" t="s">
        <v>18</v>
      </c>
      <c r="K44" s="413"/>
      <c r="L44" s="618">
        <f>'Master Calculator'!L52</f>
        <v>2</v>
      </c>
      <c r="M44" s="413">
        <f ca="1">'Master Calculator'!M52</f>
        <v>0</v>
      </c>
      <c r="N44" s="468" t="str">
        <f ca="1">'Master Calculator'!N52</f>
        <v>Active</v>
      </c>
      <c r="Z44" s="362">
        <v>7</v>
      </c>
    </row>
    <row r="45" spans="1:31">
      <c r="A45" s="462" t="s">
        <v>37</v>
      </c>
      <c r="B45" s="463">
        <f>'Master Calculator'!B53</f>
        <v>0</v>
      </c>
      <c r="C45" s="127"/>
      <c r="D45" s="464">
        <f>'Master Calculator'!D53</f>
        <v>0</v>
      </c>
      <c r="E45" s="127">
        <f>'Master Calculator'!E53</f>
        <v>0</v>
      </c>
      <c r="F45" s="127"/>
      <c r="G45" s="164"/>
      <c r="H45" s="128"/>
      <c r="I45" s="128"/>
      <c r="J45" s="469" t="s">
        <v>25</v>
      </c>
      <c r="K45" s="413"/>
      <c r="L45" s="618">
        <f ca="1">'Master Calculator'!L53</f>
        <v>2</v>
      </c>
      <c r="M45" s="413"/>
      <c r="N45" s="470"/>
      <c r="Z45" s="362">
        <v>8</v>
      </c>
    </row>
    <row r="46" spans="1:31" ht="15" thickBot="1">
      <c r="A46" s="471"/>
      <c r="B46" s="472"/>
      <c r="C46" s="472"/>
      <c r="D46" s="473">
        <f>'Master Calculator'!D54</f>
        <v>0</v>
      </c>
      <c r="E46" s="472">
        <f>'Master Calculator'!E54</f>
        <v>0</v>
      </c>
      <c r="F46" s="474" t="str">
        <f>'Master Calculator'!F54</f>
        <v>EXP</v>
      </c>
      <c r="G46" s="475" t="e">
        <f>'Master Calculator'!G54</f>
        <v>#N/A</v>
      </c>
      <c r="H46" s="128"/>
      <c r="I46" s="128"/>
      <c r="J46" s="469" t="s">
        <v>24</v>
      </c>
      <c r="K46" s="616">
        <f>'Master Calculator'!K54</f>
        <v>0</v>
      </c>
      <c r="L46" s="618">
        <f>'Master Calculator'!L54</f>
        <v>9</v>
      </c>
      <c r="M46" s="616" t="str">
        <f>'Master Calculator'!M54</f>
        <v>A</v>
      </c>
      <c r="N46" s="476" t="str">
        <f ca="1">'Master Calculator'!N54</f>
        <v>A</v>
      </c>
      <c r="Z46" s="362">
        <v>9</v>
      </c>
    </row>
    <row r="47" spans="1:31">
      <c r="A47" s="128"/>
      <c r="B47" s="128"/>
      <c r="C47" s="128"/>
      <c r="D47" s="477"/>
      <c r="E47" s="128"/>
      <c r="F47" s="128"/>
      <c r="G47" s="128"/>
      <c r="H47" s="128"/>
      <c r="I47" s="128"/>
      <c r="J47" s="478" t="s">
        <v>31</v>
      </c>
      <c r="K47" s="616">
        <f>'Master Calculator'!K55</f>
        <v>0</v>
      </c>
      <c r="L47" s="618">
        <f>'Master Calculator'!L55</f>
        <v>9</v>
      </c>
      <c r="M47" s="616" t="str">
        <f>'Master Calculator'!M55</f>
        <v>A</v>
      </c>
      <c r="N47" s="476" t="str">
        <f ca="1">'Master Calculator'!N55</f>
        <v>A</v>
      </c>
      <c r="Z47" s="362">
        <v>0</v>
      </c>
    </row>
    <row r="48" spans="1:31">
      <c r="A48" s="128"/>
      <c r="B48" s="128"/>
      <c r="C48" s="128"/>
      <c r="D48" s="477"/>
      <c r="E48" s="128"/>
      <c r="F48" s="128"/>
      <c r="G48" s="128"/>
      <c r="H48" s="128"/>
      <c r="I48" s="128"/>
      <c r="J48" s="478" t="s">
        <v>32</v>
      </c>
      <c r="K48" s="616">
        <f>'Master Calculator'!K56</f>
        <v>0</v>
      </c>
      <c r="L48" s="618">
        <f>'Master Calculator'!L56</f>
        <v>9</v>
      </c>
      <c r="M48" s="616" t="str">
        <f>'Master Calculator'!M56</f>
        <v>A</v>
      </c>
      <c r="N48" s="476" t="str">
        <f ca="1">'Master Calculator'!N56</f>
        <v>A</v>
      </c>
    </row>
    <row r="49" spans="1:14" ht="15" thickBot="1">
      <c r="A49" s="128"/>
      <c r="B49" s="128"/>
      <c r="C49" s="128"/>
      <c r="D49" s="477"/>
      <c r="E49" s="128"/>
      <c r="F49" s="128"/>
      <c r="G49" s="128"/>
      <c r="H49" s="128"/>
      <c r="I49" s="128"/>
      <c r="J49" s="479" t="s">
        <v>35</v>
      </c>
      <c r="K49" s="480">
        <f>'Master Calculator'!K57</f>
        <v>0</v>
      </c>
      <c r="L49" s="481">
        <f>'Master Calculator'!L57</f>
        <v>9</v>
      </c>
      <c r="M49" s="480" t="str">
        <f>'Master Calculator'!M57</f>
        <v>A</v>
      </c>
      <c r="N49" s="482" t="str">
        <f ca="1">'Master Calculator'!N57</f>
        <v>A</v>
      </c>
    </row>
  </sheetData>
  <mergeCells count="18">
    <mergeCell ref="T13:V13"/>
    <mergeCell ref="B2:C2"/>
    <mergeCell ref="X11:X12"/>
    <mergeCell ref="D5:E5"/>
    <mergeCell ref="G5:H5"/>
    <mergeCell ref="J5:M5"/>
    <mergeCell ref="D6:E6"/>
    <mergeCell ref="G6:H6"/>
    <mergeCell ref="J6:M6"/>
    <mergeCell ref="X3:X4"/>
    <mergeCell ref="A33:B33"/>
    <mergeCell ref="M33:N33"/>
    <mergeCell ref="A14:B14"/>
    <mergeCell ref="M14:N14"/>
    <mergeCell ref="A42:B42"/>
    <mergeCell ref="M42:N42"/>
    <mergeCell ref="A24:B24"/>
    <mergeCell ref="M24:N24"/>
  </mergeCells>
  <conditionalFormatting sqref="U5:W10">
    <cfRule type="cellIs" dxfId="203" priority="66" operator="equal">
      <formula>0</formula>
    </cfRule>
  </conditionalFormatting>
  <conditionalFormatting sqref="U8:W8 U10:W10 U6:W6">
    <cfRule type="cellIs" dxfId="202" priority="65" operator="greaterThanOrEqual">
      <formula>1</formula>
    </cfRule>
  </conditionalFormatting>
  <conditionalFormatting sqref="W28:W31">
    <cfRule type="cellIs" dxfId="201" priority="64" operator="equal">
      <formula>"A"</formula>
    </cfRule>
  </conditionalFormatting>
  <conditionalFormatting sqref="X28:X31">
    <cfRule type="cellIs" dxfId="200" priority="61" operator="equal">
      <formula>"SA"</formula>
    </cfRule>
    <cfRule type="cellIs" dxfId="199" priority="63" operator="equal">
      <formula>"A"</formula>
    </cfRule>
  </conditionalFormatting>
  <conditionalFormatting sqref="W28">
    <cfRule type="cellIs" dxfId="198" priority="62" operator="equal">
      <formula>"SA"</formula>
    </cfRule>
  </conditionalFormatting>
  <conditionalFormatting sqref="W26">
    <cfRule type="cellIs" dxfId="197" priority="60" operator="equal">
      <formula>"Active"</formula>
    </cfRule>
  </conditionalFormatting>
  <conditionalFormatting sqref="X26">
    <cfRule type="cellIs" dxfId="196" priority="59" operator="equal">
      <formula>"Active"</formula>
    </cfRule>
  </conditionalFormatting>
  <conditionalFormatting sqref="M28">
    <cfRule type="cellIs" dxfId="195" priority="50" operator="equal">
      <formula>"SA"</formula>
    </cfRule>
    <cfRule type="cellIs" dxfId="194" priority="52" operator="equal">
      <formula>"A"</formula>
    </cfRule>
  </conditionalFormatting>
  <conditionalFormatting sqref="N28">
    <cfRule type="cellIs" dxfId="193" priority="49" operator="equal">
      <formula>"SA"</formula>
    </cfRule>
    <cfRule type="cellIs" dxfId="192" priority="51" operator="equal">
      <formula>"A"</formula>
    </cfRule>
  </conditionalFormatting>
  <conditionalFormatting sqref="M26">
    <cfRule type="cellIs" dxfId="191" priority="48" operator="equal">
      <formula>"Active"</formula>
    </cfRule>
  </conditionalFormatting>
  <conditionalFormatting sqref="N26">
    <cfRule type="cellIs" dxfId="190" priority="47" operator="equal">
      <formula>"Active"</formula>
    </cfRule>
  </conditionalFormatting>
  <conditionalFormatting sqref="M29:M31">
    <cfRule type="cellIs" dxfId="189" priority="44" operator="equal">
      <formula>"SA"</formula>
    </cfRule>
    <cfRule type="cellIs" dxfId="188" priority="46" operator="equal">
      <formula>"A"</formula>
    </cfRule>
  </conditionalFormatting>
  <conditionalFormatting sqref="N29:N31">
    <cfRule type="cellIs" dxfId="187" priority="43" operator="equal">
      <formula>"SA"</formula>
    </cfRule>
    <cfRule type="cellIs" dxfId="186" priority="45" operator="equal">
      <formula>"A"</formula>
    </cfRule>
  </conditionalFormatting>
  <conditionalFormatting sqref="G25">
    <cfRule type="cellIs" dxfId="185" priority="40" operator="equal">
      <formula>"√"</formula>
    </cfRule>
    <cfRule type="cellIs" dxfId="184" priority="41" operator="equal">
      <formula>"*"</formula>
    </cfRule>
    <cfRule type="cellIs" dxfId="183" priority="42" operator="equal">
      <formula>"X"</formula>
    </cfRule>
  </conditionalFormatting>
  <conditionalFormatting sqref="G28">
    <cfRule type="cellIs" dxfId="182" priority="37" operator="equal">
      <formula>"√"</formula>
    </cfRule>
    <cfRule type="cellIs" dxfId="181" priority="38" operator="equal">
      <formula>"*"</formula>
    </cfRule>
    <cfRule type="cellIs" dxfId="180" priority="39" operator="equal">
      <formula>"X"</formula>
    </cfRule>
  </conditionalFormatting>
  <conditionalFormatting sqref="G34">
    <cfRule type="cellIs" dxfId="179" priority="34" operator="equal">
      <formula>"√"</formula>
    </cfRule>
    <cfRule type="cellIs" dxfId="178" priority="35" operator="equal">
      <formula>"*"</formula>
    </cfRule>
    <cfRule type="cellIs" dxfId="177" priority="36" operator="equal">
      <formula>"X"</formula>
    </cfRule>
  </conditionalFormatting>
  <conditionalFormatting sqref="G37">
    <cfRule type="cellIs" dxfId="176" priority="31" operator="equal">
      <formula>"√"</formula>
    </cfRule>
    <cfRule type="cellIs" dxfId="175" priority="32" operator="equal">
      <formula>"*"</formula>
    </cfRule>
    <cfRule type="cellIs" dxfId="174" priority="33" operator="equal">
      <formula>"X"</formula>
    </cfRule>
  </conditionalFormatting>
  <conditionalFormatting sqref="M37:M40">
    <cfRule type="cellIs" dxfId="173" priority="28" operator="equal">
      <formula>"SA"</formula>
    </cfRule>
    <cfRule type="cellIs" dxfId="172" priority="30" operator="equal">
      <formula>"A"</formula>
    </cfRule>
  </conditionalFormatting>
  <conditionalFormatting sqref="N37:N40">
    <cfRule type="cellIs" dxfId="171" priority="27" operator="equal">
      <formula>"SA"</formula>
    </cfRule>
    <cfRule type="cellIs" dxfId="170" priority="29" operator="equal">
      <formula>"A"</formula>
    </cfRule>
  </conditionalFormatting>
  <conditionalFormatting sqref="M35">
    <cfRule type="cellIs" dxfId="169" priority="26" operator="equal">
      <formula>"Active"</formula>
    </cfRule>
  </conditionalFormatting>
  <conditionalFormatting sqref="N35">
    <cfRule type="cellIs" dxfId="168" priority="25" operator="equal">
      <formula>"Active"</formula>
    </cfRule>
  </conditionalFormatting>
  <conditionalFormatting sqref="G15">
    <cfRule type="cellIs" dxfId="167" priority="22" operator="equal">
      <formula>"√"</formula>
    </cfRule>
    <cfRule type="cellIs" dxfId="166" priority="23" operator="equal">
      <formula>"*"</formula>
    </cfRule>
    <cfRule type="cellIs" dxfId="165" priority="24" operator="equal">
      <formula>"X"</formula>
    </cfRule>
  </conditionalFormatting>
  <conditionalFormatting sqref="G18">
    <cfRule type="cellIs" dxfId="164" priority="19" operator="equal">
      <formula>"√"</formula>
    </cfRule>
    <cfRule type="cellIs" dxfId="163" priority="20" operator="equal">
      <formula>"*"</formula>
    </cfRule>
    <cfRule type="cellIs" dxfId="162" priority="21" operator="equal">
      <formula>"X"</formula>
    </cfRule>
  </conditionalFormatting>
  <conditionalFormatting sqref="M18:M21">
    <cfRule type="cellIs" dxfId="161" priority="16" operator="equal">
      <formula>"SA"</formula>
    </cfRule>
    <cfRule type="cellIs" dxfId="160" priority="18" operator="equal">
      <formula>"A"</formula>
    </cfRule>
  </conditionalFormatting>
  <conditionalFormatting sqref="N18:N21">
    <cfRule type="cellIs" dxfId="159" priority="15" operator="equal">
      <formula>"SA"</formula>
    </cfRule>
    <cfRule type="cellIs" dxfId="158" priority="17" operator="equal">
      <formula>"A"</formula>
    </cfRule>
  </conditionalFormatting>
  <conditionalFormatting sqref="M16">
    <cfRule type="cellIs" dxfId="157" priority="14" operator="equal">
      <formula>"Active"</formula>
    </cfRule>
  </conditionalFormatting>
  <conditionalFormatting sqref="N16">
    <cfRule type="cellIs" dxfId="156" priority="13" operator="equal">
      <formula>"Active"</formula>
    </cfRule>
  </conditionalFormatting>
  <conditionalFormatting sqref="G43">
    <cfRule type="cellIs" dxfId="155" priority="10" operator="equal">
      <formula>"√"</formula>
    </cfRule>
    <cfRule type="cellIs" dxfId="154" priority="11" operator="equal">
      <formula>"*"</formula>
    </cfRule>
    <cfRule type="cellIs" dxfId="153" priority="12" operator="equal">
      <formula>"X"</formula>
    </cfRule>
  </conditionalFormatting>
  <conditionalFormatting sqref="G46">
    <cfRule type="cellIs" dxfId="152" priority="7" operator="equal">
      <formula>"√"</formula>
    </cfRule>
    <cfRule type="cellIs" dxfId="151" priority="8" operator="equal">
      <formula>"*"</formula>
    </cfRule>
    <cfRule type="cellIs" dxfId="150" priority="9" operator="equal">
      <formula>"X"</formula>
    </cfRule>
  </conditionalFormatting>
  <conditionalFormatting sqref="M46:M49">
    <cfRule type="cellIs" dxfId="149" priority="4" operator="equal">
      <formula>"SA"</formula>
    </cfRule>
    <cfRule type="cellIs" dxfId="148" priority="6" operator="equal">
      <formula>"A"</formula>
    </cfRule>
  </conditionalFormatting>
  <conditionalFormatting sqref="N46:N49">
    <cfRule type="cellIs" dxfId="147" priority="3" operator="equal">
      <formula>"SA"</formula>
    </cfRule>
    <cfRule type="cellIs" dxfId="146" priority="5" operator="equal">
      <formula>"A"</formula>
    </cfRule>
  </conditionalFormatting>
  <conditionalFormatting sqref="M44">
    <cfRule type="cellIs" dxfId="145" priority="2" operator="equal">
      <formula>"Active"</formula>
    </cfRule>
  </conditionalFormatting>
  <conditionalFormatting sqref="N44">
    <cfRule type="cellIs" dxfId="144" priority="1" operator="equal">
      <formula>"Active"</formula>
    </cfRule>
  </conditionalFormatting>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sheetPr codeName="Sheet5">
    <tabColor rgb="FFFFFF00"/>
  </sheetPr>
  <dimension ref="A1:CE367"/>
  <sheetViews>
    <sheetView topLeftCell="A3" zoomScale="88" workbookViewId="0">
      <selection activeCell="Q15" sqref="Q15"/>
    </sheetView>
  </sheetViews>
  <sheetFormatPr defaultColWidth="9.1796875" defaultRowHeight="14.5"/>
  <cols>
    <col min="1" max="1" width="14.26953125" style="128" bestFit="1" customWidth="1"/>
    <col min="2" max="2" width="14" style="128" customWidth="1"/>
    <col min="3" max="3" width="17.1796875" style="128" bestFit="1" customWidth="1"/>
    <col min="4" max="4" width="6" style="128" bestFit="1" customWidth="1"/>
    <col min="5" max="5" width="3.453125" style="128" bestFit="1" customWidth="1"/>
    <col min="6" max="7" width="6" style="128" bestFit="1" customWidth="1"/>
    <col min="8" max="8" width="2.7265625" style="128" customWidth="1"/>
    <col min="9" max="9" width="5.81640625" style="128" bestFit="1" customWidth="1"/>
    <col min="10" max="10" width="3.54296875" style="128" bestFit="1" customWidth="1"/>
    <col min="11" max="12" width="2" style="128" bestFit="1" customWidth="1"/>
    <col min="13" max="13" width="3.1796875" style="128" bestFit="1" customWidth="1"/>
    <col min="14" max="15" width="2" style="128" bestFit="1" customWidth="1"/>
    <col min="16" max="16" width="4.1796875" style="127" customWidth="1"/>
    <col min="17" max="17" width="9" style="127" customWidth="1"/>
    <col min="18" max="18" width="3.26953125" style="162" customWidth="1"/>
    <col min="19" max="19" width="3.26953125" style="162" bestFit="1" customWidth="1"/>
    <col min="20" max="20" width="2" style="239" customWidth="1"/>
    <col min="21" max="21" width="3.26953125" style="162" bestFit="1" customWidth="1"/>
    <col min="22" max="22" width="3.453125" style="162" customWidth="1"/>
    <col min="23" max="23" width="2" style="239" customWidth="1"/>
    <col min="24" max="24" width="3.26953125" style="162" bestFit="1" customWidth="1"/>
    <col min="25" max="25" width="4.1796875" style="162" customWidth="1"/>
    <col min="26" max="26" width="1.81640625" style="239" customWidth="1"/>
    <col min="27" max="28" width="3.26953125" style="162" bestFit="1" customWidth="1"/>
    <col min="29" max="29" width="1.7265625" style="239" customWidth="1"/>
    <col min="30" max="31" width="3.26953125" style="162" bestFit="1" customWidth="1"/>
    <col min="32" max="32" width="1.26953125" style="239" customWidth="1"/>
    <col min="33" max="34" width="3.26953125" style="162" bestFit="1" customWidth="1"/>
    <col min="35" max="35" width="1.7265625" style="239" customWidth="1"/>
    <col min="36" max="37" width="3.26953125" style="162" bestFit="1" customWidth="1"/>
    <col min="38" max="38" width="1.81640625" style="239" customWidth="1"/>
    <col min="39" max="40" width="3.26953125" style="162" bestFit="1" customWidth="1"/>
    <col min="41" max="41" width="1.26953125" style="239" customWidth="1"/>
    <col min="42" max="42" width="3.54296875" style="162" bestFit="1" customWidth="1"/>
    <col min="43" max="43" width="4.1796875" style="162" customWidth="1"/>
    <col min="44" max="44" width="1.453125" style="239" customWidth="1"/>
    <col min="45" max="45" width="3.54296875" style="162" bestFit="1" customWidth="1"/>
    <col min="46" max="46" width="3.26953125" style="162" bestFit="1" customWidth="1"/>
    <col min="47" max="47" width="1.453125" style="239" customWidth="1"/>
    <col min="48" max="48" width="3.54296875" style="162" bestFit="1" customWidth="1"/>
    <col min="49" max="49" width="3.54296875" style="162" customWidth="1"/>
    <col min="50" max="50" width="1.26953125" style="239" customWidth="1"/>
    <col min="51" max="51" width="3.54296875" style="162" bestFit="1" customWidth="1"/>
    <col min="52" max="52" width="3.81640625" style="162" customWidth="1"/>
    <col min="53" max="78" width="9.1796875" style="127"/>
    <col min="79" max="80" width="8.1796875" style="127" bestFit="1" customWidth="1"/>
    <col min="81" max="81" width="11.1796875" style="127" bestFit="1" customWidth="1"/>
    <col min="82" max="82" width="8.7265625" style="127" bestFit="1" customWidth="1"/>
    <col min="83" max="83" width="16.81640625" style="127" bestFit="1" customWidth="1"/>
    <col min="84" max="16384" width="9.1796875" style="127"/>
  </cols>
  <sheetData>
    <row r="1" spans="1:83" ht="15" thickBot="1">
      <c r="R1" s="741" t="s">
        <v>156</v>
      </c>
      <c r="S1" s="742"/>
      <c r="T1" s="236"/>
      <c r="U1" s="741" t="s">
        <v>157</v>
      </c>
      <c r="V1" s="742"/>
      <c r="W1" s="236"/>
      <c r="X1" s="741" t="s">
        <v>158</v>
      </c>
      <c r="Y1" s="742"/>
      <c r="Z1" s="236"/>
      <c r="AA1" s="741" t="s">
        <v>159</v>
      </c>
      <c r="AB1" s="742"/>
      <c r="AC1" s="236"/>
      <c r="AD1" s="741" t="s">
        <v>160</v>
      </c>
      <c r="AE1" s="742"/>
      <c r="AF1" s="236"/>
      <c r="AG1" s="741" t="s">
        <v>161</v>
      </c>
      <c r="AH1" s="742"/>
      <c r="AI1" s="236"/>
      <c r="AJ1" s="741" t="s">
        <v>162</v>
      </c>
      <c r="AK1" s="742"/>
      <c r="AL1" s="236"/>
      <c r="AM1" s="741" t="s">
        <v>163</v>
      </c>
      <c r="AN1" s="742"/>
      <c r="AO1" s="236"/>
      <c r="AP1" s="741" t="s">
        <v>164</v>
      </c>
      <c r="AQ1" s="742"/>
      <c r="AR1" s="236"/>
      <c r="AS1" s="741" t="s">
        <v>165</v>
      </c>
      <c r="AT1" s="742"/>
      <c r="AU1" s="236"/>
      <c r="AV1" s="741" t="s">
        <v>166</v>
      </c>
      <c r="AW1" s="743"/>
      <c r="AX1" s="236"/>
      <c r="AY1" s="741" t="s">
        <v>167</v>
      </c>
      <c r="AZ1" s="742"/>
      <c r="CA1" s="445" t="s">
        <v>125</v>
      </c>
      <c r="CB1" s="445" t="s">
        <v>125</v>
      </c>
      <c r="CC1" s="445" t="s">
        <v>126</v>
      </c>
      <c r="CD1" s="445" t="s">
        <v>128</v>
      </c>
      <c r="CE1" s="445" t="str">
        <f t="shared" ref="CE1:CE64" si="0">CC1&amp;" - "&amp;CD1</f>
        <v>Zodiac - Element</v>
      </c>
    </row>
    <row r="2" spans="1:83" ht="29.5" thickBot="1">
      <c r="A2" s="127"/>
      <c r="B2" s="151"/>
      <c r="C2" s="152"/>
      <c r="D2" s="147" t="s">
        <v>29</v>
      </c>
      <c r="E2" s="147" t="s">
        <v>29</v>
      </c>
      <c r="F2" s="147"/>
      <c r="G2" s="147" t="s">
        <v>47</v>
      </c>
      <c r="H2" s="147" t="s">
        <v>47</v>
      </c>
      <c r="I2" s="147"/>
      <c r="J2" s="147" t="s">
        <v>48</v>
      </c>
      <c r="K2" s="147" t="s">
        <v>48</v>
      </c>
      <c r="L2" s="147" t="s">
        <v>48</v>
      </c>
      <c r="M2" s="147" t="s">
        <v>48</v>
      </c>
      <c r="N2" s="173"/>
      <c r="O2" s="127"/>
      <c r="Q2" s="154" t="s">
        <v>168</v>
      </c>
      <c r="R2" s="204">
        <v>1</v>
      </c>
      <c r="S2" s="155">
        <f ca="1">IF(LEN(R2+$F$16)&gt;1,LEFT(R2+$F$16,1)+RIGHT(R2+$F$16,1),R2+$F$16)</f>
        <v>1</v>
      </c>
      <c r="T2" s="237"/>
      <c r="U2" s="204">
        <v>2</v>
      </c>
      <c r="V2" s="155">
        <f ca="1">IF(LEN(U2+$F$16)&gt;1,LEFT(U2+$F$16,1)+RIGHT(U2+$F$16,1),U2+$F$16)</f>
        <v>2</v>
      </c>
      <c r="W2" s="240"/>
      <c r="X2" s="204">
        <v>3</v>
      </c>
      <c r="Y2" s="155">
        <f ca="1">IF(LEN(X2+$F$16)&gt;1,LEFT(X2+$F$16,1)+RIGHT(X2+$F$16,1),X2+$F$16)</f>
        <v>3</v>
      </c>
      <c r="Z2" s="237"/>
      <c r="AA2" s="204">
        <v>4</v>
      </c>
      <c r="AB2" s="155">
        <f ca="1">IF(LEN(AA2+$F$16)&gt;1,LEFT(AA2+$F$16,1)+RIGHT(AA2+$F$16,1),AA2+$F$16)</f>
        <v>4</v>
      </c>
      <c r="AC2" s="240"/>
      <c r="AD2" s="204">
        <v>5</v>
      </c>
      <c r="AE2" s="155">
        <f ca="1">IF(LEN(AD2+$F$16)&gt;1,LEFT(AD2+$F$16,1)+RIGHT(AD2+$F$16,1),AD2+$F$16)</f>
        <v>5</v>
      </c>
      <c r="AF2" s="237"/>
      <c r="AG2" s="204">
        <v>6</v>
      </c>
      <c r="AH2" s="155">
        <f ca="1">IF(LEN(AG2+$F$16)&gt;1,LEFT(AG2+$F$16,1)+RIGHT(AG2+$F$16,1),AG2+$F$16)</f>
        <v>6</v>
      </c>
      <c r="AI2" s="240"/>
      <c r="AJ2" s="204">
        <v>7</v>
      </c>
      <c r="AK2" s="155">
        <f ca="1">IF(LEN(AJ2+$F$16)&gt;1,LEFT(AJ2+$F$16,1)+RIGHT(AJ2+$F$16,1),AJ2+$F$16)</f>
        <v>7</v>
      </c>
      <c r="AL2" s="240"/>
      <c r="AM2" s="204">
        <v>8</v>
      </c>
      <c r="AN2" s="155">
        <f ca="1">IF(LEN(AM2+$F$16)&gt;1,LEFT(AM2+$F$16,1)+RIGHT(AM2+$F$16,1),AM2+$F$16)</f>
        <v>8</v>
      </c>
      <c r="AO2" s="237"/>
      <c r="AP2" s="204">
        <v>9</v>
      </c>
      <c r="AQ2" s="155">
        <f ca="1">IF(LEN(AP2+$F$16)&gt;1,LEFT(AP2+$F$16,1)+RIGHT(AP2+$F$16,1),AP2+$F$16)</f>
        <v>9</v>
      </c>
      <c r="AR2" s="240"/>
      <c r="AS2" s="204">
        <v>1</v>
      </c>
      <c r="AT2" s="155">
        <f ca="1">IF(LEN(AS2+$F$16)&gt;1,LEFT(AS2+$F$16,1)+RIGHT(AS2+$F$16,1),AS2+$F$16)</f>
        <v>1</v>
      </c>
      <c r="AU2" s="240"/>
      <c r="AV2" s="204">
        <v>2</v>
      </c>
      <c r="AW2" s="155">
        <f ca="1">IF(LEN(AV2+$F$16)&gt;1,LEFT(AV2+$F$16,1)+RIGHT(AV2+$F$16,1),AV2+$F$16)</f>
        <v>2</v>
      </c>
      <c r="AX2" s="240"/>
      <c r="AY2" s="204">
        <v>3</v>
      </c>
      <c r="AZ2" s="155">
        <f ca="1">IF(LEN(AY2+$F$16)&gt;1,LEFT(AY2+$F$16,1)+RIGHT(AY2+$F$16,1),AY2+$F$16)</f>
        <v>3</v>
      </c>
      <c r="CA2" s="446">
        <v>43831</v>
      </c>
      <c r="CB2" s="205" t="str">
        <f>TEXT(CA2,"DD-MMM")</f>
        <v>01-Jan</v>
      </c>
      <c r="CC2" s="205" t="s">
        <v>113</v>
      </c>
      <c r="CD2" s="447" t="s">
        <v>130</v>
      </c>
      <c r="CE2" s="447" t="str">
        <f t="shared" si="0"/>
        <v>Capricorn - Earth</v>
      </c>
    </row>
    <row r="3" spans="1:83" ht="29.5" thickBot="1">
      <c r="A3" s="127"/>
      <c r="B3" s="156" t="s">
        <v>108</v>
      </c>
      <c r="C3" s="448">
        <f>'Master Calculator'!B2</f>
        <v>28884</v>
      </c>
      <c r="D3" s="148" t="str">
        <f>MID(B5,1,1)</f>
        <v>2</v>
      </c>
      <c r="E3" s="148" t="str">
        <f>MID(B5,2,1)</f>
        <v>9</v>
      </c>
      <c r="F3" s="231"/>
      <c r="G3" s="148" t="str">
        <f>MID(B5,4,1)</f>
        <v>0</v>
      </c>
      <c r="H3" s="148" t="str">
        <f>MID(B5,5,1)</f>
        <v>1</v>
      </c>
      <c r="I3" s="231"/>
      <c r="J3" s="148" t="str">
        <f>MID(B5,7,1)</f>
        <v>1</v>
      </c>
      <c r="K3" s="52" t="str">
        <f>MID(B5,8,1)</f>
        <v>9</v>
      </c>
      <c r="L3" s="52" t="str">
        <f>MID(B5,9,1)</f>
        <v>7</v>
      </c>
      <c r="M3" s="52" t="str">
        <f>MID(B5,10,1)</f>
        <v>9</v>
      </c>
      <c r="N3" s="164"/>
      <c r="O3" s="127"/>
      <c r="Q3" s="159" t="s">
        <v>169</v>
      </c>
      <c r="R3" s="234">
        <v>1</v>
      </c>
      <c r="S3" s="235">
        <f t="shared" ref="S3:S33" ca="1" si="1">MOD((IF(LEN(R3+$S$2)&gt;1,LEFT(R3+$S$2,1)+RIGHT(R3+$S$2,1),R3+$S$2))-1,9)+1</f>
        <v>2</v>
      </c>
      <c r="T3" s="238"/>
      <c r="U3" s="234">
        <v>1</v>
      </c>
      <c r="V3" s="161">
        <f t="shared" ref="V3:V31" ca="1" si="2">MOD((IF(LEN(U3+$V$2)&gt;1,LEFT(U3+$V$2,1)+RIGHT(U3+$V$2,1),U3+$V$2))-1,9)+1</f>
        <v>3</v>
      </c>
      <c r="W3" s="238"/>
      <c r="X3" s="234">
        <v>1</v>
      </c>
      <c r="Y3" s="161">
        <f ca="1">MOD((IF(LEN(X3+$Y$2)&gt;1,LEFT(X3+$Y$2,1)+RIGHT(X3+$Y$2,1),X3+$Y$2))-1,9)+1</f>
        <v>4</v>
      </c>
      <c r="Z3" s="238"/>
      <c r="AA3" s="234">
        <v>1</v>
      </c>
      <c r="AB3" s="161">
        <f ca="1">MOD((IF(LEN(AA3+$AB$2)&gt;1,LEFT(AA3+$AB$2,1)+RIGHT(AA3+$AB$2,1),AA3+$AB$2))-1,9)+1</f>
        <v>5</v>
      </c>
      <c r="AC3" s="238"/>
      <c r="AD3" s="234">
        <v>1</v>
      </c>
      <c r="AE3" s="161">
        <f ca="1">MOD((IF(LEN(AD3+$AE$2)&gt;1,LEFT(AD3+$AE$2,1)+RIGHT(AD3+$AE$2,1),AD3+$AE$2))-1,9)+1</f>
        <v>6</v>
      </c>
      <c r="AF3" s="238"/>
      <c r="AG3" s="234">
        <v>1</v>
      </c>
      <c r="AH3" s="161">
        <f ca="1">MOD((IF(LEN(AG3+$AH$2)&gt;1,LEFT(AG3+$AH$2,1)+RIGHT(AG3+$AH$2,1),AG3+$AH$2))-1,9)+1</f>
        <v>7</v>
      </c>
      <c r="AI3" s="238"/>
      <c r="AJ3" s="234">
        <v>1</v>
      </c>
      <c r="AK3" s="161">
        <f ca="1">MOD((IF(LEN(AJ3+$AK$2)&gt;1,LEFT(AJ3+$AK$2,1)+RIGHT(AJ3+$AK$2,1),AJ3+$AK$2))-1,9)+1</f>
        <v>8</v>
      </c>
      <c r="AL3" s="238"/>
      <c r="AM3" s="234">
        <v>1</v>
      </c>
      <c r="AN3" s="161">
        <f ca="1">MOD((IF(LEN(AM3+$AN$2)&gt;1,LEFT(AM3+$AN$2,1)+RIGHT(AM3+$AN$2,1),AM3+$AN$2))-1,9)+1</f>
        <v>9</v>
      </c>
      <c r="AO3" s="238"/>
      <c r="AP3" s="234">
        <v>1</v>
      </c>
      <c r="AQ3" s="161">
        <f ca="1">MOD((IF(LEN(AP3+$AQ$2)&gt;1,LEFT(AP3+$AQ$2,1)+RIGHT(AP3+$AQ$2,1),AP3+$AQ$2))-1,9)+1</f>
        <v>1</v>
      </c>
      <c r="AR3" s="238"/>
      <c r="AS3" s="234">
        <v>1</v>
      </c>
      <c r="AT3" s="161">
        <f ca="1">MOD((IF(LEN(AS3+$AT$2)&gt;1,LEFT(AS3+$AT$2,1)+RIGHT(AS3+$AT$2,1),AS3+$AT$2))-1,9)+1</f>
        <v>2</v>
      </c>
      <c r="AU3" s="238"/>
      <c r="AV3" s="234">
        <v>1</v>
      </c>
      <c r="AW3" s="161">
        <f ca="1">MOD((IF(LEN(AV3+$AW$2)&gt;1,LEFT(AV3+$AW$2,1)+RIGHT(AV3+$AW$2,1),AV3+$AW$2))-1,9)+1</f>
        <v>3</v>
      </c>
      <c r="AX3" s="238"/>
      <c r="AY3" s="234">
        <v>1</v>
      </c>
      <c r="AZ3" s="161">
        <f ca="1">MOD((IF(LEN(AY3+$AZ$2)&gt;1,LEFT(AY3+$AZ$2,1)+RIGHT(AY3+$AZ$2,1),AY3+$AZ$2))-1,9)+1</f>
        <v>4</v>
      </c>
      <c r="CA3" s="446">
        <v>43832</v>
      </c>
      <c r="CB3" s="205" t="str">
        <f t="shared" ref="CB3:CB66" si="3">TEXT(CA3,"DD-MMM")</f>
        <v>02-Jan</v>
      </c>
      <c r="CC3" s="205" t="s">
        <v>113</v>
      </c>
      <c r="CD3" s="447" t="s">
        <v>130</v>
      </c>
      <c r="CE3" s="447" t="str">
        <f t="shared" si="0"/>
        <v>Capricorn - Earth</v>
      </c>
    </row>
    <row r="4" spans="1:83" ht="15" thickBot="1">
      <c r="A4" s="127"/>
      <c r="B4" s="163" t="str">
        <f>TEXT(C3,("DD-MMM"))</f>
        <v>29-Jan</v>
      </c>
      <c r="C4" s="127"/>
      <c r="D4" s="21"/>
      <c r="E4" s="21"/>
      <c r="F4" s="21"/>
      <c r="G4" s="21"/>
      <c r="H4" s="21"/>
      <c r="I4" s="21"/>
      <c r="J4" s="55" t="str">
        <f>J3&amp;K3&amp;L3&amp;M3</f>
        <v>1979</v>
      </c>
      <c r="K4" s="55"/>
      <c r="L4" s="55"/>
      <c r="M4" s="206">
        <f ca="1">SUMPRODUCT(1*MID(J4,ROW(INDIRECT("1:"&amp;LEN(J4))),1))</f>
        <v>26</v>
      </c>
      <c r="N4" s="164"/>
      <c r="O4" s="127"/>
      <c r="R4" s="160">
        <v>2</v>
      </c>
      <c r="S4" s="161">
        <f t="shared" ca="1" si="1"/>
        <v>3</v>
      </c>
      <c r="U4" s="160">
        <v>2</v>
      </c>
      <c r="V4" s="161">
        <f t="shared" ca="1" si="2"/>
        <v>4</v>
      </c>
      <c r="X4" s="160">
        <v>2</v>
      </c>
      <c r="Y4" s="161">
        <f t="shared" ref="Y4:Y33" ca="1" si="4">MOD((IF(LEN(X4+$Y$2)&gt;1,LEFT(X4+$Y$2,1)+RIGHT(X4+$Y$2,1),X4+$Y$2))-1,9)+1</f>
        <v>5</v>
      </c>
      <c r="AA4" s="160">
        <v>2</v>
      </c>
      <c r="AB4" s="161">
        <f t="shared" ref="AB4:AB32" ca="1" si="5">MOD((IF(LEN(AA4+$AB$2)&gt;1,LEFT(AA4+$AB$2,1)+RIGHT(AA4+$AB$2,1),AA4+$AB$2))-1,9)+1</f>
        <v>6</v>
      </c>
      <c r="AD4" s="160">
        <v>2</v>
      </c>
      <c r="AE4" s="161">
        <f t="shared" ref="AE4:AE33" ca="1" si="6">MOD((IF(LEN(AD4+$AE$2)&gt;1,LEFT(AD4+$AE$2,1)+RIGHT(AD4+$AE$2,1),AD4+$AE$2))-1,9)+1</f>
        <v>7</v>
      </c>
      <c r="AG4" s="160">
        <v>2</v>
      </c>
      <c r="AH4" s="161">
        <f t="shared" ref="AH4:AH32" ca="1" si="7">MOD((IF(LEN(AG4+$AH$2)&gt;1,LEFT(AG4+$AH$2,1)+RIGHT(AG4+$AH$2,1),AG4+$AH$2))-1,9)+1</f>
        <v>8</v>
      </c>
      <c r="AJ4" s="160">
        <v>2</v>
      </c>
      <c r="AK4" s="161">
        <f t="shared" ref="AK4:AK33" ca="1" si="8">MOD((IF(LEN(AJ4+$AK$2)&gt;1,LEFT(AJ4+$AK$2,1)+RIGHT(AJ4+$AK$2,1),AJ4+$AK$2))-1,9)+1</f>
        <v>9</v>
      </c>
      <c r="AM4" s="160">
        <v>2</v>
      </c>
      <c r="AN4" s="161">
        <f t="shared" ref="AN4:AN33" ca="1" si="9">MOD((IF(LEN(AM4+$AN$2)&gt;1,LEFT(AM4+$AN$2,1)+RIGHT(AM4+$AN$2,1),AM4+$AN$2))-1,9)+1</f>
        <v>1</v>
      </c>
      <c r="AP4" s="160">
        <v>2</v>
      </c>
      <c r="AQ4" s="161">
        <f t="shared" ref="AQ4:AQ32" ca="1" si="10">MOD((IF(LEN(AP4+$AQ$2)&gt;1,LEFT(AP4+$AQ$2,1)+RIGHT(AP4+$AQ$2,1),AP4+$AQ$2))-1,9)+1</f>
        <v>2</v>
      </c>
      <c r="AS4" s="160">
        <v>2</v>
      </c>
      <c r="AT4" s="161">
        <f t="shared" ref="AT4:AT33" ca="1" si="11">MOD((IF(LEN(AS4+$AT$2)&gt;1,LEFT(AS4+$AT$2,1)+RIGHT(AS4+$AT$2,1),AS4+$AT$2))-1,9)+1</f>
        <v>3</v>
      </c>
      <c r="AV4" s="160">
        <v>2</v>
      </c>
      <c r="AW4" s="161">
        <f t="shared" ref="AW4:AW32" ca="1" si="12">MOD((IF(LEN(AV4+$AW$2)&gt;1,LEFT(AV4+$AW$2,1)+RIGHT(AV4+$AW$2,1),AV4+$AW$2))-1,9)+1</f>
        <v>4</v>
      </c>
      <c r="AY4" s="160">
        <v>2</v>
      </c>
      <c r="AZ4" s="161">
        <f t="shared" ref="AZ4:AZ33" ca="1" si="13">MOD((IF(LEN(AY4+$AZ$2)&gt;1,LEFT(AY4+$AZ$2,1)+RIGHT(AY4+$AZ$2,1),AY4+$AZ$2))-1,9)+1</f>
        <v>5</v>
      </c>
      <c r="CA4" s="446">
        <v>43833</v>
      </c>
      <c r="CB4" s="205" t="str">
        <f t="shared" si="3"/>
        <v>03-Jan</v>
      </c>
      <c r="CC4" s="205" t="s">
        <v>113</v>
      </c>
      <c r="CD4" s="447" t="s">
        <v>130</v>
      </c>
      <c r="CE4" s="447" t="str">
        <f t="shared" si="0"/>
        <v>Capricorn - Earth</v>
      </c>
    </row>
    <row r="5" spans="1:83" s="165" customFormat="1" ht="33" customHeight="1" thickBot="1">
      <c r="B5" s="166" t="str">
        <f>TEXT(C3,"DD-MM-YYYY")</f>
        <v>29-01-1979</v>
      </c>
      <c r="C5" s="244" t="s">
        <v>127</v>
      </c>
      <c r="D5" s="724" t="s">
        <v>18</v>
      </c>
      <c r="E5" s="724"/>
      <c r="F5" s="221"/>
      <c r="G5" s="724" t="s">
        <v>54</v>
      </c>
      <c r="H5" s="724"/>
      <c r="I5" s="221"/>
      <c r="J5" s="724" t="s">
        <v>55</v>
      </c>
      <c r="K5" s="724"/>
      <c r="L5" s="724"/>
      <c r="M5" s="724"/>
      <c r="N5" s="220"/>
      <c r="R5" s="160">
        <v>3</v>
      </c>
      <c r="S5" s="161">
        <f t="shared" ca="1" si="1"/>
        <v>4</v>
      </c>
      <c r="T5" s="239"/>
      <c r="U5" s="160">
        <v>3</v>
      </c>
      <c r="V5" s="161">
        <f t="shared" ca="1" si="2"/>
        <v>5</v>
      </c>
      <c r="W5" s="239"/>
      <c r="X5" s="160">
        <v>3</v>
      </c>
      <c r="Y5" s="161">
        <f t="shared" ca="1" si="4"/>
        <v>6</v>
      </c>
      <c r="Z5" s="239"/>
      <c r="AA5" s="160">
        <v>3</v>
      </c>
      <c r="AB5" s="161">
        <f t="shared" ca="1" si="5"/>
        <v>7</v>
      </c>
      <c r="AC5" s="239"/>
      <c r="AD5" s="160">
        <v>3</v>
      </c>
      <c r="AE5" s="161">
        <f t="shared" ca="1" si="6"/>
        <v>8</v>
      </c>
      <c r="AF5" s="239"/>
      <c r="AG5" s="160">
        <v>3</v>
      </c>
      <c r="AH5" s="161">
        <f t="shared" ca="1" si="7"/>
        <v>9</v>
      </c>
      <c r="AI5" s="239"/>
      <c r="AJ5" s="160">
        <v>3</v>
      </c>
      <c r="AK5" s="161">
        <f t="shared" ca="1" si="8"/>
        <v>1</v>
      </c>
      <c r="AL5" s="239"/>
      <c r="AM5" s="160">
        <v>3</v>
      </c>
      <c r="AN5" s="161">
        <f t="shared" ca="1" si="9"/>
        <v>2</v>
      </c>
      <c r="AO5" s="239"/>
      <c r="AP5" s="160">
        <v>3</v>
      </c>
      <c r="AQ5" s="161">
        <f t="shared" ca="1" si="10"/>
        <v>3</v>
      </c>
      <c r="AR5" s="239"/>
      <c r="AS5" s="160">
        <v>3</v>
      </c>
      <c r="AT5" s="161">
        <f t="shared" ca="1" si="11"/>
        <v>4</v>
      </c>
      <c r="AU5" s="239"/>
      <c r="AV5" s="160">
        <v>3</v>
      </c>
      <c r="AW5" s="161">
        <f t="shared" ca="1" si="12"/>
        <v>5</v>
      </c>
      <c r="AX5" s="239"/>
      <c r="AY5" s="160">
        <v>3</v>
      </c>
      <c r="AZ5" s="161">
        <f t="shared" ca="1" si="13"/>
        <v>6</v>
      </c>
      <c r="CA5" s="446">
        <v>43834</v>
      </c>
      <c r="CB5" s="205" t="str">
        <f t="shared" si="3"/>
        <v>04-Jan</v>
      </c>
      <c r="CC5" s="205" t="s">
        <v>113</v>
      </c>
      <c r="CD5" s="447" t="s">
        <v>130</v>
      </c>
      <c r="CE5" s="447" t="str">
        <f t="shared" si="0"/>
        <v>Capricorn - Earth</v>
      </c>
    </row>
    <row r="6" spans="1:83" ht="15" thickBot="1">
      <c r="A6" s="127"/>
      <c r="B6" s="156"/>
      <c r="C6" s="443" t="str">
        <f>VLOOKUP(B4,CB:CE,4,0)</f>
        <v>Aquarius - Air</v>
      </c>
      <c r="D6" s="699">
        <f>D3+E3</f>
        <v>11</v>
      </c>
      <c r="E6" s="699"/>
      <c r="F6" s="148"/>
      <c r="G6" s="700">
        <f>G3+H3</f>
        <v>1</v>
      </c>
      <c r="H6" s="700"/>
      <c r="I6" s="148"/>
      <c r="J6" s="700">
        <f ca="1">SUMPRODUCT(1*MID(M4,ROW(INDIRECT("1:"&amp;LEN(M4))),1))</f>
        <v>8</v>
      </c>
      <c r="K6" s="700"/>
      <c r="L6" s="700"/>
      <c r="M6" s="700"/>
      <c r="N6" s="164"/>
      <c r="O6" s="127"/>
      <c r="R6" s="160">
        <v>4</v>
      </c>
      <c r="S6" s="161">
        <f t="shared" ca="1" si="1"/>
        <v>5</v>
      </c>
      <c r="U6" s="160">
        <v>4</v>
      </c>
      <c r="V6" s="161">
        <f t="shared" ca="1" si="2"/>
        <v>6</v>
      </c>
      <c r="X6" s="160">
        <v>4</v>
      </c>
      <c r="Y6" s="161">
        <f t="shared" ca="1" si="4"/>
        <v>7</v>
      </c>
      <c r="AA6" s="160">
        <v>4</v>
      </c>
      <c r="AB6" s="161">
        <f t="shared" ca="1" si="5"/>
        <v>8</v>
      </c>
      <c r="AD6" s="160">
        <v>4</v>
      </c>
      <c r="AE6" s="161">
        <f t="shared" ca="1" si="6"/>
        <v>9</v>
      </c>
      <c r="AG6" s="160">
        <v>4</v>
      </c>
      <c r="AH6" s="161">
        <f t="shared" ca="1" si="7"/>
        <v>1</v>
      </c>
      <c r="AJ6" s="160">
        <v>4</v>
      </c>
      <c r="AK6" s="161">
        <f t="shared" ca="1" si="8"/>
        <v>2</v>
      </c>
      <c r="AM6" s="160">
        <v>4</v>
      </c>
      <c r="AN6" s="161">
        <f t="shared" ca="1" si="9"/>
        <v>3</v>
      </c>
      <c r="AP6" s="160">
        <v>4</v>
      </c>
      <c r="AQ6" s="161">
        <f t="shared" ca="1" si="10"/>
        <v>4</v>
      </c>
      <c r="AS6" s="160">
        <v>4</v>
      </c>
      <c r="AT6" s="161">
        <f t="shared" ca="1" si="11"/>
        <v>5</v>
      </c>
      <c r="AV6" s="160">
        <v>4</v>
      </c>
      <c r="AW6" s="161">
        <f t="shared" ca="1" si="12"/>
        <v>6</v>
      </c>
      <c r="AY6" s="160">
        <v>4</v>
      </c>
      <c r="AZ6" s="161">
        <f t="shared" ca="1" si="13"/>
        <v>7</v>
      </c>
      <c r="CA6" s="446">
        <v>43835</v>
      </c>
      <c r="CB6" s="205" t="str">
        <f t="shared" si="3"/>
        <v>05-Jan</v>
      </c>
      <c r="CC6" s="205" t="s">
        <v>113</v>
      </c>
      <c r="CD6" s="447" t="s">
        <v>130</v>
      </c>
      <c r="CE6" s="447" t="str">
        <f t="shared" si="0"/>
        <v>Capricorn - Earth</v>
      </c>
    </row>
    <row r="7" spans="1:83">
      <c r="A7" s="127"/>
      <c r="B7" s="156"/>
      <c r="C7" s="242" t="s">
        <v>18</v>
      </c>
      <c r="D7" s="57">
        <f>IF(LEN(D6)&gt;1,LEFT(D6,1)+RIGHT(D6,1),D6)</f>
        <v>2</v>
      </c>
      <c r="E7" s="148"/>
      <c r="F7" s="148"/>
      <c r="G7" s="57">
        <f>IF(LEN(G6)&gt;1,LEFT(G6,1)+RIGHT(G6,1),G6)</f>
        <v>1</v>
      </c>
      <c r="H7" s="148"/>
      <c r="I7" s="148"/>
      <c r="J7" s="57">
        <f ca="1">SUMPRODUCT(1*MID(J6,ROW(INDIRECT("1:"&amp;LEN(J6))),1))</f>
        <v>8</v>
      </c>
      <c r="K7" s="148"/>
      <c r="L7" s="148"/>
      <c r="M7" s="148"/>
      <c r="N7" s="164"/>
      <c r="O7" s="127"/>
      <c r="R7" s="160">
        <v>5</v>
      </c>
      <c r="S7" s="161">
        <f t="shared" ca="1" si="1"/>
        <v>6</v>
      </c>
      <c r="U7" s="160">
        <v>5</v>
      </c>
      <c r="V7" s="161">
        <f t="shared" ca="1" si="2"/>
        <v>7</v>
      </c>
      <c r="X7" s="160">
        <v>5</v>
      </c>
      <c r="Y7" s="161">
        <f t="shared" ca="1" si="4"/>
        <v>8</v>
      </c>
      <c r="AA7" s="160">
        <v>5</v>
      </c>
      <c r="AB7" s="161">
        <f t="shared" ca="1" si="5"/>
        <v>9</v>
      </c>
      <c r="AD7" s="160">
        <v>5</v>
      </c>
      <c r="AE7" s="161">
        <f t="shared" ca="1" si="6"/>
        <v>1</v>
      </c>
      <c r="AG7" s="160">
        <v>5</v>
      </c>
      <c r="AH7" s="161">
        <f t="shared" ca="1" si="7"/>
        <v>2</v>
      </c>
      <c r="AJ7" s="160">
        <v>5</v>
      </c>
      <c r="AK7" s="161">
        <f t="shared" ca="1" si="8"/>
        <v>3</v>
      </c>
      <c r="AM7" s="160">
        <v>5</v>
      </c>
      <c r="AN7" s="161">
        <f t="shared" ca="1" si="9"/>
        <v>4</v>
      </c>
      <c r="AP7" s="160">
        <v>5</v>
      </c>
      <c r="AQ7" s="161">
        <f t="shared" ca="1" si="10"/>
        <v>5</v>
      </c>
      <c r="AS7" s="160">
        <v>5</v>
      </c>
      <c r="AT7" s="161">
        <f t="shared" ca="1" si="11"/>
        <v>6</v>
      </c>
      <c r="AV7" s="160">
        <v>5</v>
      </c>
      <c r="AW7" s="161">
        <f t="shared" ca="1" si="12"/>
        <v>7</v>
      </c>
      <c r="AY7" s="160">
        <v>5</v>
      </c>
      <c r="AZ7" s="161">
        <f t="shared" ca="1" si="13"/>
        <v>8</v>
      </c>
      <c r="CA7" s="446">
        <v>43836</v>
      </c>
      <c r="CB7" s="205" t="str">
        <f t="shared" si="3"/>
        <v>06-Jan</v>
      </c>
      <c r="CC7" s="205" t="s">
        <v>113</v>
      </c>
      <c r="CD7" s="447" t="s">
        <v>130</v>
      </c>
      <c r="CE7" s="447" t="str">
        <f t="shared" si="0"/>
        <v>Capricorn - Earth</v>
      </c>
    </row>
    <row r="8" spans="1:83" ht="15" thickBot="1">
      <c r="A8" s="127"/>
      <c r="B8" s="168"/>
      <c r="C8" s="243" t="s">
        <v>25</v>
      </c>
      <c r="D8" s="85">
        <f ca="1">MOD((D7+G7+J7)-1,9)+1</f>
        <v>2</v>
      </c>
      <c r="E8" s="93"/>
      <c r="F8" s="93"/>
      <c r="G8" s="93"/>
      <c r="H8" s="93"/>
      <c r="I8" s="93"/>
      <c r="J8" s="93"/>
      <c r="K8" s="93"/>
      <c r="L8" s="93"/>
      <c r="M8" s="93"/>
      <c r="N8" s="180"/>
      <c r="O8" s="127"/>
      <c r="R8" s="160">
        <v>6</v>
      </c>
      <c r="S8" s="161">
        <f t="shared" ca="1" si="1"/>
        <v>7</v>
      </c>
      <c r="U8" s="160">
        <v>6</v>
      </c>
      <c r="V8" s="161">
        <f t="shared" ca="1" si="2"/>
        <v>8</v>
      </c>
      <c r="X8" s="160">
        <v>6</v>
      </c>
      <c r="Y8" s="161">
        <f t="shared" ca="1" si="4"/>
        <v>9</v>
      </c>
      <c r="AA8" s="160">
        <v>6</v>
      </c>
      <c r="AB8" s="161">
        <f t="shared" ca="1" si="5"/>
        <v>1</v>
      </c>
      <c r="AD8" s="160">
        <v>6</v>
      </c>
      <c r="AE8" s="161">
        <f t="shared" ca="1" si="6"/>
        <v>2</v>
      </c>
      <c r="AG8" s="160">
        <v>6</v>
      </c>
      <c r="AH8" s="161">
        <f t="shared" ca="1" si="7"/>
        <v>3</v>
      </c>
      <c r="AJ8" s="160">
        <v>6</v>
      </c>
      <c r="AK8" s="161">
        <f t="shared" ca="1" si="8"/>
        <v>4</v>
      </c>
      <c r="AM8" s="160">
        <v>6</v>
      </c>
      <c r="AN8" s="161">
        <f t="shared" ca="1" si="9"/>
        <v>5</v>
      </c>
      <c r="AP8" s="160">
        <v>6</v>
      </c>
      <c r="AQ8" s="161">
        <f t="shared" ca="1" si="10"/>
        <v>6</v>
      </c>
      <c r="AS8" s="160">
        <v>6</v>
      </c>
      <c r="AT8" s="161">
        <f t="shared" ca="1" si="11"/>
        <v>7</v>
      </c>
      <c r="AV8" s="160">
        <v>6</v>
      </c>
      <c r="AW8" s="161">
        <f t="shared" ca="1" si="12"/>
        <v>8</v>
      </c>
      <c r="AY8" s="160">
        <v>6</v>
      </c>
      <c r="AZ8" s="161">
        <f t="shared" ca="1" si="13"/>
        <v>9</v>
      </c>
      <c r="CA8" s="446">
        <v>43837</v>
      </c>
      <c r="CB8" s="205" t="str">
        <f t="shared" si="3"/>
        <v>07-Jan</v>
      </c>
      <c r="CC8" s="205" t="s">
        <v>113</v>
      </c>
      <c r="CD8" s="447" t="s">
        <v>130</v>
      </c>
      <c r="CE8" s="447" t="str">
        <f t="shared" si="0"/>
        <v>Capricorn - Earth</v>
      </c>
    </row>
    <row r="9" spans="1:83">
      <c r="A9" s="127"/>
      <c r="B9" s="127"/>
      <c r="R9" s="160">
        <v>7</v>
      </c>
      <c r="S9" s="161">
        <f t="shared" ca="1" si="1"/>
        <v>8</v>
      </c>
      <c r="U9" s="160">
        <v>7</v>
      </c>
      <c r="V9" s="161">
        <f t="shared" ca="1" si="2"/>
        <v>9</v>
      </c>
      <c r="X9" s="160">
        <v>7</v>
      </c>
      <c r="Y9" s="161">
        <f t="shared" ca="1" si="4"/>
        <v>1</v>
      </c>
      <c r="AA9" s="160">
        <v>7</v>
      </c>
      <c r="AB9" s="161">
        <f t="shared" ca="1" si="5"/>
        <v>2</v>
      </c>
      <c r="AD9" s="160">
        <v>7</v>
      </c>
      <c r="AE9" s="161">
        <f t="shared" ca="1" si="6"/>
        <v>3</v>
      </c>
      <c r="AG9" s="160">
        <v>7</v>
      </c>
      <c r="AH9" s="161">
        <f t="shared" ca="1" si="7"/>
        <v>4</v>
      </c>
      <c r="AJ9" s="160">
        <v>7</v>
      </c>
      <c r="AK9" s="161">
        <f t="shared" ca="1" si="8"/>
        <v>5</v>
      </c>
      <c r="AM9" s="160">
        <v>7</v>
      </c>
      <c r="AN9" s="161">
        <f t="shared" ca="1" si="9"/>
        <v>6</v>
      </c>
      <c r="AP9" s="160">
        <v>7</v>
      </c>
      <c r="AQ9" s="161">
        <f t="shared" ca="1" si="10"/>
        <v>7</v>
      </c>
      <c r="AS9" s="160">
        <v>7</v>
      </c>
      <c r="AT9" s="161">
        <f t="shared" ca="1" si="11"/>
        <v>8</v>
      </c>
      <c r="AV9" s="160">
        <v>7</v>
      </c>
      <c r="AW9" s="161">
        <f t="shared" ca="1" si="12"/>
        <v>9</v>
      </c>
      <c r="AY9" s="160">
        <v>7</v>
      </c>
      <c r="AZ9" s="161">
        <f t="shared" ca="1" si="13"/>
        <v>1</v>
      </c>
      <c r="CA9" s="446">
        <v>43838</v>
      </c>
      <c r="CB9" s="205" t="str">
        <f t="shared" si="3"/>
        <v>08-Jan</v>
      </c>
      <c r="CC9" s="205" t="s">
        <v>113</v>
      </c>
      <c r="CD9" s="447" t="s">
        <v>130</v>
      </c>
      <c r="CE9" s="447" t="str">
        <f t="shared" si="0"/>
        <v>Capricorn - Earth</v>
      </c>
    </row>
    <row r="10" spans="1:83" ht="15" thickBot="1">
      <c r="R10" s="160">
        <v>8</v>
      </c>
      <c r="S10" s="161">
        <f t="shared" ca="1" si="1"/>
        <v>9</v>
      </c>
      <c r="U10" s="160">
        <v>8</v>
      </c>
      <c r="V10" s="161">
        <f t="shared" ca="1" si="2"/>
        <v>1</v>
      </c>
      <c r="X10" s="160">
        <v>8</v>
      </c>
      <c r="Y10" s="161">
        <f t="shared" ca="1" si="4"/>
        <v>2</v>
      </c>
      <c r="AA10" s="160">
        <v>8</v>
      </c>
      <c r="AB10" s="161">
        <f t="shared" ca="1" si="5"/>
        <v>3</v>
      </c>
      <c r="AD10" s="160">
        <v>8</v>
      </c>
      <c r="AE10" s="161">
        <f t="shared" ca="1" si="6"/>
        <v>4</v>
      </c>
      <c r="AG10" s="160">
        <v>8</v>
      </c>
      <c r="AH10" s="161">
        <f t="shared" ca="1" si="7"/>
        <v>5</v>
      </c>
      <c r="AJ10" s="160">
        <v>8</v>
      </c>
      <c r="AK10" s="161">
        <f t="shared" ca="1" si="8"/>
        <v>6</v>
      </c>
      <c r="AM10" s="160">
        <v>8</v>
      </c>
      <c r="AN10" s="161">
        <f t="shared" ca="1" si="9"/>
        <v>7</v>
      </c>
      <c r="AP10" s="160">
        <v>8</v>
      </c>
      <c r="AQ10" s="161">
        <f t="shared" ca="1" si="10"/>
        <v>8</v>
      </c>
      <c r="AS10" s="160">
        <v>8</v>
      </c>
      <c r="AT10" s="161">
        <f t="shared" ca="1" si="11"/>
        <v>9</v>
      </c>
      <c r="AV10" s="160">
        <v>8</v>
      </c>
      <c r="AW10" s="161">
        <f t="shared" ca="1" si="12"/>
        <v>1</v>
      </c>
      <c r="AY10" s="160">
        <v>8</v>
      </c>
      <c r="AZ10" s="161">
        <f t="shared" ca="1" si="13"/>
        <v>2</v>
      </c>
      <c r="CA10" s="446">
        <v>43839</v>
      </c>
      <c r="CB10" s="205" t="str">
        <f t="shared" si="3"/>
        <v>09-Jan</v>
      </c>
      <c r="CC10" s="205" t="s">
        <v>113</v>
      </c>
      <c r="CD10" s="447" t="s">
        <v>130</v>
      </c>
      <c r="CE10" s="447" t="str">
        <f t="shared" si="0"/>
        <v>Capricorn - Earth</v>
      </c>
    </row>
    <row r="11" spans="1:83">
      <c r="A11" s="170" t="s">
        <v>68</v>
      </c>
      <c r="B11" s="152"/>
      <c r="C11" s="153"/>
      <c r="D11" s="153" t="s">
        <v>29</v>
      </c>
      <c r="E11" s="153" t="s">
        <v>29</v>
      </c>
      <c r="F11" s="153"/>
      <c r="G11" s="153" t="s">
        <v>47</v>
      </c>
      <c r="H11" s="153" t="s">
        <v>47</v>
      </c>
      <c r="I11" s="153"/>
      <c r="J11" s="153" t="s">
        <v>48</v>
      </c>
      <c r="K11" s="171" t="s">
        <v>48</v>
      </c>
      <c r="L11" s="171" t="s">
        <v>48</v>
      </c>
      <c r="M11" s="171" t="s">
        <v>48</v>
      </c>
      <c r="N11" s="172"/>
      <c r="O11" s="173"/>
      <c r="R11" s="160">
        <v>9</v>
      </c>
      <c r="S11" s="161">
        <f t="shared" ca="1" si="1"/>
        <v>1</v>
      </c>
      <c r="U11" s="160">
        <v>9</v>
      </c>
      <c r="V11" s="161">
        <f t="shared" ca="1" si="2"/>
        <v>2</v>
      </c>
      <c r="X11" s="160">
        <v>9</v>
      </c>
      <c r="Y11" s="161">
        <f t="shared" ca="1" si="4"/>
        <v>3</v>
      </c>
      <c r="AA11" s="160">
        <v>9</v>
      </c>
      <c r="AB11" s="161">
        <f t="shared" ca="1" si="5"/>
        <v>4</v>
      </c>
      <c r="AD11" s="160">
        <v>9</v>
      </c>
      <c r="AE11" s="161">
        <f t="shared" ca="1" si="6"/>
        <v>5</v>
      </c>
      <c r="AG11" s="160">
        <v>9</v>
      </c>
      <c r="AH11" s="161">
        <f t="shared" ca="1" si="7"/>
        <v>6</v>
      </c>
      <c r="AJ11" s="160">
        <v>9</v>
      </c>
      <c r="AK11" s="161">
        <f t="shared" ca="1" si="8"/>
        <v>7</v>
      </c>
      <c r="AM11" s="160">
        <v>9</v>
      </c>
      <c r="AN11" s="161">
        <f t="shared" ca="1" si="9"/>
        <v>8</v>
      </c>
      <c r="AP11" s="160">
        <v>9</v>
      </c>
      <c r="AQ11" s="161">
        <f t="shared" ca="1" si="10"/>
        <v>9</v>
      </c>
      <c r="AS11" s="160">
        <v>9</v>
      </c>
      <c r="AT11" s="161">
        <f t="shared" ca="1" si="11"/>
        <v>1</v>
      </c>
      <c r="AV11" s="160">
        <v>9</v>
      </c>
      <c r="AW11" s="161">
        <f t="shared" ca="1" si="12"/>
        <v>2</v>
      </c>
      <c r="AY11" s="160">
        <v>9</v>
      </c>
      <c r="AZ11" s="161">
        <f t="shared" ca="1" si="13"/>
        <v>3</v>
      </c>
      <c r="CA11" s="446">
        <v>43840</v>
      </c>
      <c r="CB11" s="205" t="str">
        <f t="shared" si="3"/>
        <v>10-Jan</v>
      </c>
      <c r="CC11" s="205" t="s">
        <v>113</v>
      </c>
      <c r="CD11" s="447" t="s">
        <v>130</v>
      </c>
      <c r="CE11" s="447" t="str">
        <f t="shared" si="0"/>
        <v>Capricorn - Earth</v>
      </c>
    </row>
    <row r="12" spans="1:83">
      <c r="A12" s="174">
        <f ca="1">TODAY()</f>
        <v>44668</v>
      </c>
      <c r="B12" s="129"/>
      <c r="C12" s="219"/>
      <c r="D12" s="219" t="str">
        <f ca="1">MID(A13,1,1)</f>
        <v>1</v>
      </c>
      <c r="E12" s="219" t="str">
        <f ca="1">MID(A13,2,1)</f>
        <v>7</v>
      </c>
      <c r="F12" s="219"/>
      <c r="G12" s="219" t="str">
        <f ca="1">MID(A13,4,1)</f>
        <v>0</v>
      </c>
      <c r="H12" s="219" t="str">
        <f ca="1">MID(A13,5,1)</f>
        <v>4</v>
      </c>
      <c r="I12" s="219"/>
      <c r="J12" s="219" t="str">
        <f ca="1">MID(A13,7,1)</f>
        <v>2</v>
      </c>
      <c r="K12" s="129" t="str">
        <f ca="1">MID(A13,8,1)</f>
        <v>0</v>
      </c>
      <c r="L12" s="129" t="str">
        <f ca="1">MID(A13,9,1)</f>
        <v>2</v>
      </c>
      <c r="M12" s="129" t="str">
        <f ca="1">MID(A13,10,1)</f>
        <v>2</v>
      </c>
      <c r="N12" s="127"/>
      <c r="O12" s="164"/>
      <c r="R12" s="160">
        <v>10</v>
      </c>
      <c r="S12" s="161">
        <f t="shared" ca="1" si="1"/>
        <v>2</v>
      </c>
      <c r="U12" s="160">
        <v>10</v>
      </c>
      <c r="V12" s="161">
        <f t="shared" ca="1" si="2"/>
        <v>3</v>
      </c>
      <c r="X12" s="160">
        <v>10</v>
      </c>
      <c r="Y12" s="161">
        <f t="shared" ca="1" si="4"/>
        <v>4</v>
      </c>
      <c r="AA12" s="160">
        <v>10</v>
      </c>
      <c r="AB12" s="161">
        <f t="shared" ca="1" si="5"/>
        <v>5</v>
      </c>
      <c r="AD12" s="160">
        <v>10</v>
      </c>
      <c r="AE12" s="161">
        <f t="shared" ca="1" si="6"/>
        <v>6</v>
      </c>
      <c r="AG12" s="160">
        <v>10</v>
      </c>
      <c r="AH12" s="161">
        <f t="shared" ca="1" si="7"/>
        <v>7</v>
      </c>
      <c r="AJ12" s="160">
        <v>10</v>
      </c>
      <c r="AK12" s="161">
        <f t="shared" ca="1" si="8"/>
        <v>8</v>
      </c>
      <c r="AM12" s="160">
        <v>10</v>
      </c>
      <c r="AN12" s="161">
        <f t="shared" ca="1" si="9"/>
        <v>9</v>
      </c>
      <c r="AP12" s="160">
        <v>10</v>
      </c>
      <c r="AQ12" s="161">
        <f t="shared" ca="1" si="10"/>
        <v>1</v>
      </c>
      <c r="AS12" s="160">
        <v>10</v>
      </c>
      <c r="AT12" s="161">
        <f t="shared" ca="1" si="11"/>
        <v>2</v>
      </c>
      <c r="AV12" s="160">
        <v>10</v>
      </c>
      <c r="AW12" s="161">
        <f t="shared" ca="1" si="12"/>
        <v>3</v>
      </c>
      <c r="AY12" s="160">
        <v>10</v>
      </c>
      <c r="AZ12" s="161">
        <f t="shared" ca="1" si="13"/>
        <v>4</v>
      </c>
      <c r="CA12" s="446">
        <v>43841</v>
      </c>
      <c r="CB12" s="205" t="str">
        <f t="shared" si="3"/>
        <v>11-Jan</v>
      </c>
      <c r="CC12" s="205" t="s">
        <v>113</v>
      </c>
      <c r="CD12" s="447" t="s">
        <v>130</v>
      </c>
      <c r="CE12" s="447" t="str">
        <f t="shared" si="0"/>
        <v>Capricorn - Earth</v>
      </c>
    </row>
    <row r="13" spans="1:83">
      <c r="A13" s="156" t="str">
        <f ca="1">TEXT(A12,"DD-MM-YYYY")</f>
        <v>17-04-2022</v>
      </c>
      <c r="B13" s="129"/>
      <c r="C13" s="219"/>
      <c r="D13" s="175">
        <f ca="1">D12+E12</f>
        <v>8</v>
      </c>
      <c r="E13" s="175"/>
      <c r="F13" s="157"/>
      <c r="G13" s="175">
        <f ca="1">G12+H12</f>
        <v>4</v>
      </c>
      <c r="H13" s="175"/>
      <c r="I13" s="157"/>
      <c r="J13" s="157">
        <f ca="1">J12+K12+L12+M12</f>
        <v>6</v>
      </c>
      <c r="K13" s="157"/>
      <c r="L13" s="157"/>
      <c r="M13" s="157"/>
      <c r="N13" s="127"/>
      <c r="O13" s="164"/>
      <c r="R13" s="160">
        <v>11</v>
      </c>
      <c r="S13" s="161">
        <f t="shared" ca="1" si="1"/>
        <v>3</v>
      </c>
      <c r="U13" s="160">
        <v>11</v>
      </c>
      <c r="V13" s="161">
        <f t="shared" ca="1" si="2"/>
        <v>4</v>
      </c>
      <c r="X13" s="160">
        <v>11</v>
      </c>
      <c r="Y13" s="161">
        <f t="shared" ca="1" si="4"/>
        <v>5</v>
      </c>
      <c r="AA13" s="160">
        <v>11</v>
      </c>
      <c r="AB13" s="161">
        <f t="shared" ca="1" si="5"/>
        <v>6</v>
      </c>
      <c r="AD13" s="160">
        <v>11</v>
      </c>
      <c r="AE13" s="161">
        <f t="shared" ca="1" si="6"/>
        <v>7</v>
      </c>
      <c r="AG13" s="160">
        <v>11</v>
      </c>
      <c r="AH13" s="161">
        <f t="shared" ca="1" si="7"/>
        <v>8</v>
      </c>
      <c r="AJ13" s="160">
        <v>11</v>
      </c>
      <c r="AK13" s="161">
        <f t="shared" ca="1" si="8"/>
        <v>9</v>
      </c>
      <c r="AM13" s="160">
        <v>11</v>
      </c>
      <c r="AN13" s="161">
        <f t="shared" ca="1" si="9"/>
        <v>1</v>
      </c>
      <c r="AP13" s="160">
        <v>11</v>
      </c>
      <c r="AQ13" s="161">
        <f t="shared" ca="1" si="10"/>
        <v>2</v>
      </c>
      <c r="AS13" s="160">
        <v>11</v>
      </c>
      <c r="AT13" s="161">
        <f t="shared" ca="1" si="11"/>
        <v>3</v>
      </c>
      <c r="AV13" s="160">
        <v>11</v>
      </c>
      <c r="AW13" s="161">
        <f t="shared" ca="1" si="12"/>
        <v>4</v>
      </c>
      <c r="AY13" s="160">
        <v>11</v>
      </c>
      <c r="AZ13" s="161">
        <f t="shared" ca="1" si="13"/>
        <v>5</v>
      </c>
      <c r="CA13" s="446">
        <v>43842</v>
      </c>
      <c r="CB13" s="205" t="str">
        <f t="shared" si="3"/>
        <v>12-Jan</v>
      </c>
      <c r="CC13" s="205" t="s">
        <v>113</v>
      </c>
      <c r="CD13" s="447" t="s">
        <v>130</v>
      </c>
      <c r="CE13" s="447" t="str">
        <f t="shared" si="0"/>
        <v>Capricorn - Earth</v>
      </c>
    </row>
    <row r="14" spans="1:83">
      <c r="A14" s="156"/>
      <c r="B14" s="129"/>
      <c r="C14" s="219"/>
      <c r="D14" s="175">
        <f ca="1">IF(LEN(D13)&gt;1,LEFT(D13,1)+RIGHT(D13,1),D13)</f>
        <v>8</v>
      </c>
      <c r="E14" s="157"/>
      <c r="F14" s="157"/>
      <c r="G14" s="175">
        <f ca="1">IF(LEN(G13)&gt;1,LEFT(G13,1)+RIGHT(G13,1),G13)</f>
        <v>4</v>
      </c>
      <c r="H14" s="157"/>
      <c r="I14" s="157"/>
      <c r="J14" s="175">
        <f ca="1">IF(LEN(J13)&gt;1,LEFT(J13,1)+RIGHT(J13,1),J13)</f>
        <v>6</v>
      </c>
      <c r="K14" s="176"/>
      <c r="L14" s="176"/>
      <c r="M14" s="176"/>
      <c r="N14" s="127"/>
      <c r="O14" s="164"/>
      <c r="R14" s="160">
        <v>12</v>
      </c>
      <c r="S14" s="161">
        <f t="shared" ca="1" si="1"/>
        <v>4</v>
      </c>
      <c r="U14" s="160">
        <v>12</v>
      </c>
      <c r="V14" s="161">
        <f t="shared" ca="1" si="2"/>
        <v>5</v>
      </c>
      <c r="X14" s="160">
        <v>12</v>
      </c>
      <c r="Y14" s="161">
        <f t="shared" ca="1" si="4"/>
        <v>6</v>
      </c>
      <c r="AA14" s="160">
        <v>12</v>
      </c>
      <c r="AB14" s="161">
        <f t="shared" ca="1" si="5"/>
        <v>7</v>
      </c>
      <c r="AD14" s="160">
        <v>12</v>
      </c>
      <c r="AE14" s="161">
        <f t="shared" ca="1" si="6"/>
        <v>8</v>
      </c>
      <c r="AG14" s="160">
        <v>12</v>
      </c>
      <c r="AH14" s="161">
        <f t="shared" ca="1" si="7"/>
        <v>9</v>
      </c>
      <c r="AJ14" s="160">
        <v>12</v>
      </c>
      <c r="AK14" s="161">
        <f t="shared" ca="1" si="8"/>
        <v>1</v>
      </c>
      <c r="AM14" s="160">
        <v>12</v>
      </c>
      <c r="AN14" s="161">
        <f t="shared" ca="1" si="9"/>
        <v>2</v>
      </c>
      <c r="AP14" s="160">
        <v>12</v>
      </c>
      <c r="AQ14" s="161">
        <f t="shared" ca="1" si="10"/>
        <v>3</v>
      </c>
      <c r="AS14" s="160">
        <v>12</v>
      </c>
      <c r="AT14" s="161">
        <f t="shared" ca="1" si="11"/>
        <v>4</v>
      </c>
      <c r="AV14" s="160">
        <v>12</v>
      </c>
      <c r="AW14" s="161">
        <f t="shared" ca="1" si="12"/>
        <v>5</v>
      </c>
      <c r="AY14" s="160">
        <v>12</v>
      </c>
      <c r="AZ14" s="161">
        <f t="shared" ca="1" si="13"/>
        <v>6</v>
      </c>
      <c r="CA14" s="446">
        <v>43843</v>
      </c>
      <c r="CB14" s="205" t="str">
        <f t="shared" si="3"/>
        <v>13-Jan</v>
      </c>
      <c r="CC14" s="205" t="s">
        <v>113</v>
      </c>
      <c r="CD14" s="447" t="s">
        <v>130</v>
      </c>
      <c r="CE14" s="447" t="str">
        <f t="shared" si="0"/>
        <v>Capricorn - Earth</v>
      </c>
    </row>
    <row r="15" spans="1:83">
      <c r="A15" s="156"/>
      <c r="B15" s="129"/>
      <c r="C15" s="219"/>
      <c r="D15" s="219"/>
      <c r="E15" s="219"/>
      <c r="F15" s="219"/>
      <c r="G15" s="219"/>
      <c r="H15" s="219"/>
      <c r="I15" s="219"/>
      <c r="J15" s="219"/>
      <c r="K15" s="129"/>
      <c r="L15" s="129"/>
      <c r="M15" s="129"/>
      <c r="N15" s="127"/>
      <c r="O15" s="164"/>
      <c r="R15" s="160">
        <v>13</v>
      </c>
      <c r="S15" s="161">
        <f t="shared" ca="1" si="1"/>
        <v>5</v>
      </c>
      <c r="U15" s="160">
        <v>13</v>
      </c>
      <c r="V15" s="161">
        <f t="shared" ca="1" si="2"/>
        <v>6</v>
      </c>
      <c r="X15" s="160">
        <v>13</v>
      </c>
      <c r="Y15" s="161">
        <f t="shared" ca="1" si="4"/>
        <v>7</v>
      </c>
      <c r="AA15" s="160">
        <v>13</v>
      </c>
      <c r="AB15" s="161">
        <f t="shared" ca="1" si="5"/>
        <v>8</v>
      </c>
      <c r="AD15" s="160">
        <v>13</v>
      </c>
      <c r="AE15" s="161">
        <f t="shared" ca="1" si="6"/>
        <v>9</v>
      </c>
      <c r="AG15" s="160">
        <v>13</v>
      </c>
      <c r="AH15" s="161">
        <f t="shared" ca="1" si="7"/>
        <v>1</v>
      </c>
      <c r="AJ15" s="160">
        <v>13</v>
      </c>
      <c r="AK15" s="161">
        <f t="shared" ca="1" si="8"/>
        <v>2</v>
      </c>
      <c r="AM15" s="160">
        <v>13</v>
      </c>
      <c r="AN15" s="161">
        <f t="shared" ca="1" si="9"/>
        <v>3</v>
      </c>
      <c r="AP15" s="160">
        <v>13</v>
      </c>
      <c r="AQ15" s="161">
        <f t="shared" ca="1" si="10"/>
        <v>4</v>
      </c>
      <c r="AS15" s="160">
        <v>13</v>
      </c>
      <c r="AT15" s="161">
        <f t="shared" ca="1" si="11"/>
        <v>5</v>
      </c>
      <c r="AV15" s="160">
        <v>13</v>
      </c>
      <c r="AW15" s="161">
        <f t="shared" ca="1" si="12"/>
        <v>6</v>
      </c>
      <c r="AY15" s="160">
        <v>13</v>
      </c>
      <c r="AZ15" s="161">
        <f t="shared" ca="1" si="13"/>
        <v>7</v>
      </c>
      <c r="CA15" s="446">
        <v>43844</v>
      </c>
      <c r="CB15" s="205" t="str">
        <f t="shared" si="3"/>
        <v>14-Jan</v>
      </c>
      <c r="CC15" s="205" t="s">
        <v>113</v>
      </c>
      <c r="CD15" s="447" t="s">
        <v>130</v>
      </c>
      <c r="CE15" s="447" t="str">
        <f t="shared" si="0"/>
        <v>Capricorn - Earth</v>
      </c>
    </row>
    <row r="16" spans="1:83">
      <c r="A16" s="177" t="s">
        <v>69</v>
      </c>
      <c r="B16" s="178" t="s">
        <v>170</v>
      </c>
      <c r="C16" s="127"/>
      <c r="D16" s="219">
        <f ca="1">D7+G7+J14</f>
        <v>9</v>
      </c>
      <c r="E16" s="219"/>
      <c r="F16" s="549">
        <f ca="1">MOD(D16-1,9)+1</f>
        <v>9</v>
      </c>
      <c r="G16" s="219"/>
      <c r="H16" s="219"/>
      <c r="I16" s="219"/>
      <c r="J16" s="219"/>
      <c r="K16" s="129"/>
      <c r="L16" s="129"/>
      <c r="M16" s="129"/>
      <c r="N16" s="127"/>
      <c r="O16" s="164"/>
      <c r="R16" s="160">
        <v>14</v>
      </c>
      <c r="S16" s="161">
        <f t="shared" ca="1" si="1"/>
        <v>6</v>
      </c>
      <c r="U16" s="160">
        <v>14</v>
      </c>
      <c r="V16" s="161">
        <f t="shared" ca="1" si="2"/>
        <v>7</v>
      </c>
      <c r="X16" s="160">
        <v>14</v>
      </c>
      <c r="Y16" s="161">
        <f t="shared" ca="1" si="4"/>
        <v>8</v>
      </c>
      <c r="AA16" s="160">
        <v>14</v>
      </c>
      <c r="AB16" s="161">
        <f t="shared" ca="1" si="5"/>
        <v>9</v>
      </c>
      <c r="AD16" s="160">
        <v>14</v>
      </c>
      <c r="AE16" s="161">
        <f t="shared" ca="1" si="6"/>
        <v>1</v>
      </c>
      <c r="AG16" s="160">
        <v>14</v>
      </c>
      <c r="AH16" s="161">
        <f t="shared" ca="1" si="7"/>
        <v>2</v>
      </c>
      <c r="AJ16" s="160">
        <v>14</v>
      </c>
      <c r="AK16" s="161">
        <f t="shared" ca="1" si="8"/>
        <v>3</v>
      </c>
      <c r="AM16" s="160">
        <v>14</v>
      </c>
      <c r="AN16" s="161">
        <f t="shared" ca="1" si="9"/>
        <v>4</v>
      </c>
      <c r="AP16" s="160">
        <v>14</v>
      </c>
      <c r="AQ16" s="161">
        <f t="shared" ca="1" si="10"/>
        <v>5</v>
      </c>
      <c r="AS16" s="160">
        <v>14</v>
      </c>
      <c r="AT16" s="161">
        <f t="shared" ca="1" si="11"/>
        <v>6</v>
      </c>
      <c r="AV16" s="160">
        <v>14</v>
      </c>
      <c r="AW16" s="161">
        <f t="shared" ca="1" si="12"/>
        <v>7</v>
      </c>
      <c r="AY16" s="160">
        <v>14</v>
      </c>
      <c r="AZ16" s="161">
        <f t="shared" ca="1" si="13"/>
        <v>8</v>
      </c>
      <c r="CA16" s="446">
        <v>43845</v>
      </c>
      <c r="CB16" s="205" t="str">
        <f t="shared" si="3"/>
        <v>15-Jan</v>
      </c>
      <c r="CC16" s="205" t="s">
        <v>113</v>
      </c>
      <c r="CD16" s="447" t="s">
        <v>130</v>
      </c>
      <c r="CE16" s="447" t="str">
        <f t="shared" si="0"/>
        <v>Capricorn - Earth</v>
      </c>
    </row>
    <row r="17" spans="1:83">
      <c r="A17" s="177" t="s">
        <v>71</v>
      </c>
      <c r="B17" s="178" t="s">
        <v>168</v>
      </c>
      <c r="C17" s="127"/>
      <c r="D17" s="219">
        <f ca="1">F16+G14</f>
        <v>13</v>
      </c>
      <c r="E17" s="219"/>
      <c r="F17" s="167">
        <f t="shared" ref="F17:F18" ca="1" si="14">MOD(D17-1,9)+1</f>
        <v>4</v>
      </c>
      <c r="G17" s="219"/>
      <c r="H17" s="219"/>
      <c r="I17" s="219"/>
      <c r="J17" s="219"/>
      <c r="K17" s="129"/>
      <c r="L17" s="129"/>
      <c r="M17" s="129"/>
      <c r="N17" s="127"/>
      <c r="O17" s="164"/>
      <c r="R17" s="160">
        <v>15</v>
      </c>
      <c r="S17" s="161">
        <f t="shared" ca="1" si="1"/>
        <v>7</v>
      </c>
      <c r="U17" s="160">
        <v>15</v>
      </c>
      <c r="V17" s="161">
        <f t="shared" ca="1" si="2"/>
        <v>8</v>
      </c>
      <c r="X17" s="160">
        <v>15</v>
      </c>
      <c r="Y17" s="161">
        <f t="shared" ca="1" si="4"/>
        <v>9</v>
      </c>
      <c r="AA17" s="160">
        <v>15</v>
      </c>
      <c r="AB17" s="161">
        <f t="shared" ca="1" si="5"/>
        <v>1</v>
      </c>
      <c r="AD17" s="160">
        <v>15</v>
      </c>
      <c r="AE17" s="161">
        <f t="shared" ca="1" si="6"/>
        <v>2</v>
      </c>
      <c r="AG17" s="160">
        <v>15</v>
      </c>
      <c r="AH17" s="161">
        <f t="shared" ca="1" si="7"/>
        <v>3</v>
      </c>
      <c r="AJ17" s="160">
        <v>15</v>
      </c>
      <c r="AK17" s="161">
        <f t="shared" ca="1" si="8"/>
        <v>4</v>
      </c>
      <c r="AM17" s="160">
        <v>15</v>
      </c>
      <c r="AN17" s="161">
        <f t="shared" ca="1" si="9"/>
        <v>5</v>
      </c>
      <c r="AP17" s="160">
        <v>15</v>
      </c>
      <c r="AQ17" s="161">
        <f t="shared" ca="1" si="10"/>
        <v>6</v>
      </c>
      <c r="AS17" s="160">
        <v>15</v>
      </c>
      <c r="AT17" s="161">
        <f t="shared" ca="1" si="11"/>
        <v>7</v>
      </c>
      <c r="AV17" s="160">
        <v>15</v>
      </c>
      <c r="AW17" s="161">
        <f t="shared" ca="1" si="12"/>
        <v>8</v>
      </c>
      <c r="AY17" s="160">
        <v>15</v>
      </c>
      <c r="AZ17" s="161">
        <f t="shared" ca="1" si="13"/>
        <v>9</v>
      </c>
      <c r="CA17" s="446">
        <v>43846</v>
      </c>
      <c r="CB17" s="205" t="str">
        <f t="shared" si="3"/>
        <v>16-Jan</v>
      </c>
      <c r="CC17" s="205" t="s">
        <v>113</v>
      </c>
      <c r="CD17" s="447" t="s">
        <v>130</v>
      </c>
      <c r="CE17" s="447" t="str">
        <f t="shared" si="0"/>
        <v>Capricorn - Earth</v>
      </c>
    </row>
    <row r="18" spans="1:83">
      <c r="A18" s="177" t="s">
        <v>74</v>
      </c>
      <c r="B18" s="178" t="s">
        <v>169</v>
      </c>
      <c r="C18" s="127"/>
      <c r="D18" s="219">
        <f ca="1">D14+F17</f>
        <v>12</v>
      </c>
      <c r="E18" s="219"/>
      <c r="F18" s="167">
        <f t="shared" ca="1" si="14"/>
        <v>3</v>
      </c>
      <c r="G18" s="219"/>
      <c r="H18" s="219"/>
      <c r="I18" s="219"/>
      <c r="J18" s="219"/>
      <c r="K18" s="129"/>
      <c r="L18" s="129"/>
      <c r="M18" s="129"/>
      <c r="N18" s="127"/>
      <c r="O18" s="164"/>
      <c r="R18" s="160">
        <v>16</v>
      </c>
      <c r="S18" s="161">
        <f t="shared" ca="1" si="1"/>
        <v>8</v>
      </c>
      <c r="U18" s="160">
        <v>16</v>
      </c>
      <c r="V18" s="161">
        <f t="shared" ca="1" si="2"/>
        <v>9</v>
      </c>
      <c r="X18" s="160">
        <v>16</v>
      </c>
      <c r="Y18" s="161">
        <f t="shared" ca="1" si="4"/>
        <v>1</v>
      </c>
      <c r="AA18" s="160">
        <v>16</v>
      </c>
      <c r="AB18" s="161">
        <f t="shared" ca="1" si="5"/>
        <v>2</v>
      </c>
      <c r="AD18" s="160">
        <v>16</v>
      </c>
      <c r="AE18" s="161">
        <f t="shared" ca="1" si="6"/>
        <v>3</v>
      </c>
      <c r="AG18" s="160">
        <v>16</v>
      </c>
      <c r="AH18" s="161">
        <f t="shared" ca="1" si="7"/>
        <v>4</v>
      </c>
      <c r="AJ18" s="160">
        <v>16</v>
      </c>
      <c r="AK18" s="161">
        <f t="shared" ca="1" si="8"/>
        <v>5</v>
      </c>
      <c r="AM18" s="160">
        <v>16</v>
      </c>
      <c r="AN18" s="161">
        <f t="shared" ca="1" si="9"/>
        <v>6</v>
      </c>
      <c r="AP18" s="160">
        <v>16</v>
      </c>
      <c r="AQ18" s="161">
        <f t="shared" ca="1" si="10"/>
        <v>7</v>
      </c>
      <c r="AS18" s="160">
        <v>16</v>
      </c>
      <c r="AT18" s="161">
        <f t="shared" ca="1" si="11"/>
        <v>8</v>
      </c>
      <c r="AV18" s="160">
        <v>16</v>
      </c>
      <c r="AW18" s="161">
        <f t="shared" ca="1" si="12"/>
        <v>9</v>
      </c>
      <c r="AY18" s="160">
        <v>16</v>
      </c>
      <c r="AZ18" s="161">
        <f t="shared" ca="1" si="13"/>
        <v>1</v>
      </c>
      <c r="CA18" s="446">
        <v>43847</v>
      </c>
      <c r="CB18" s="205" t="str">
        <f t="shared" si="3"/>
        <v>17-Jan</v>
      </c>
      <c r="CC18" s="205" t="s">
        <v>113</v>
      </c>
      <c r="CD18" s="447" t="s">
        <v>130</v>
      </c>
      <c r="CE18" s="447" t="str">
        <f t="shared" si="0"/>
        <v>Capricorn - Earth</v>
      </c>
    </row>
    <row r="19" spans="1:83">
      <c r="A19" s="156"/>
      <c r="B19" s="129"/>
      <c r="C19" s="219"/>
      <c r="D19" s="219"/>
      <c r="E19" s="219"/>
      <c r="F19" s="219"/>
      <c r="G19" s="219"/>
      <c r="H19" s="219"/>
      <c r="I19" s="219"/>
      <c r="J19" s="219"/>
      <c r="K19" s="219"/>
      <c r="L19" s="219"/>
      <c r="M19" s="129"/>
      <c r="N19" s="129"/>
      <c r="O19" s="158"/>
      <c r="R19" s="160">
        <v>17</v>
      </c>
      <c r="S19" s="161">
        <f t="shared" ca="1" si="1"/>
        <v>9</v>
      </c>
      <c r="U19" s="160">
        <v>17</v>
      </c>
      <c r="V19" s="161">
        <f t="shared" ca="1" si="2"/>
        <v>1</v>
      </c>
      <c r="X19" s="160">
        <v>17</v>
      </c>
      <c r="Y19" s="161">
        <f t="shared" ca="1" si="4"/>
        <v>2</v>
      </c>
      <c r="AA19" s="160">
        <v>17</v>
      </c>
      <c r="AB19" s="161">
        <f t="shared" ca="1" si="5"/>
        <v>3</v>
      </c>
      <c r="AD19" s="160">
        <v>17</v>
      </c>
      <c r="AE19" s="161">
        <f t="shared" ca="1" si="6"/>
        <v>4</v>
      </c>
      <c r="AG19" s="160">
        <v>17</v>
      </c>
      <c r="AH19" s="161">
        <f t="shared" ca="1" si="7"/>
        <v>5</v>
      </c>
      <c r="AJ19" s="160">
        <v>17</v>
      </c>
      <c r="AK19" s="161">
        <f t="shared" ca="1" si="8"/>
        <v>6</v>
      </c>
      <c r="AM19" s="160">
        <v>17</v>
      </c>
      <c r="AN19" s="161">
        <f t="shared" ca="1" si="9"/>
        <v>7</v>
      </c>
      <c r="AP19" s="160">
        <v>17</v>
      </c>
      <c r="AQ19" s="161">
        <f t="shared" ca="1" si="10"/>
        <v>8</v>
      </c>
      <c r="AS19" s="160">
        <v>17</v>
      </c>
      <c r="AT19" s="161">
        <f t="shared" ca="1" si="11"/>
        <v>9</v>
      </c>
      <c r="AV19" s="160">
        <v>17</v>
      </c>
      <c r="AW19" s="161">
        <f t="shared" ca="1" si="12"/>
        <v>1</v>
      </c>
      <c r="AY19" s="160">
        <v>17</v>
      </c>
      <c r="AZ19" s="161">
        <f t="shared" ca="1" si="13"/>
        <v>2</v>
      </c>
      <c r="CA19" s="446">
        <v>43848</v>
      </c>
      <c r="CB19" s="205" t="str">
        <f t="shared" si="3"/>
        <v>18-Jan</v>
      </c>
      <c r="CC19" s="205" t="s">
        <v>113</v>
      </c>
      <c r="CD19" s="447" t="s">
        <v>130</v>
      </c>
      <c r="CE19" s="447" t="str">
        <f t="shared" si="0"/>
        <v>Capricorn - Earth</v>
      </c>
    </row>
    <row r="20" spans="1:83" ht="19" thickBot="1">
      <c r="A20" s="168"/>
      <c r="B20" s="179"/>
      <c r="C20" s="229"/>
      <c r="D20" s="169"/>
      <c r="E20" s="169"/>
      <c r="F20" s="169"/>
      <c r="G20" s="169"/>
      <c r="H20" s="169"/>
      <c r="I20" s="169"/>
      <c r="J20" s="169"/>
      <c r="K20" s="169"/>
      <c r="L20" s="169"/>
      <c r="M20" s="179"/>
      <c r="N20" s="179"/>
      <c r="O20" s="230"/>
      <c r="R20" s="160">
        <v>18</v>
      </c>
      <c r="S20" s="161">
        <f t="shared" ca="1" si="1"/>
        <v>1</v>
      </c>
      <c r="U20" s="160">
        <v>18</v>
      </c>
      <c r="V20" s="161">
        <f t="shared" ca="1" si="2"/>
        <v>2</v>
      </c>
      <c r="X20" s="160">
        <v>18</v>
      </c>
      <c r="Y20" s="161">
        <f t="shared" ca="1" si="4"/>
        <v>3</v>
      </c>
      <c r="AA20" s="160">
        <v>18</v>
      </c>
      <c r="AB20" s="161">
        <f t="shared" ca="1" si="5"/>
        <v>4</v>
      </c>
      <c r="AD20" s="160">
        <v>18</v>
      </c>
      <c r="AE20" s="161">
        <f t="shared" ca="1" si="6"/>
        <v>5</v>
      </c>
      <c r="AG20" s="160">
        <v>18</v>
      </c>
      <c r="AH20" s="161">
        <f t="shared" ca="1" si="7"/>
        <v>6</v>
      </c>
      <c r="AJ20" s="160">
        <v>18</v>
      </c>
      <c r="AK20" s="161">
        <f t="shared" ca="1" si="8"/>
        <v>7</v>
      </c>
      <c r="AM20" s="160">
        <v>18</v>
      </c>
      <c r="AN20" s="161">
        <f t="shared" ca="1" si="9"/>
        <v>8</v>
      </c>
      <c r="AP20" s="160">
        <v>18</v>
      </c>
      <c r="AQ20" s="161">
        <f t="shared" ca="1" si="10"/>
        <v>9</v>
      </c>
      <c r="AS20" s="160">
        <v>18</v>
      </c>
      <c r="AT20" s="161">
        <f t="shared" ca="1" si="11"/>
        <v>1</v>
      </c>
      <c r="AV20" s="160">
        <v>18</v>
      </c>
      <c r="AW20" s="161">
        <f t="shared" ca="1" si="12"/>
        <v>2</v>
      </c>
      <c r="AY20" s="160">
        <v>18</v>
      </c>
      <c r="AZ20" s="161">
        <f t="shared" ca="1" si="13"/>
        <v>3</v>
      </c>
      <c r="CA20" s="446">
        <v>43849</v>
      </c>
      <c r="CB20" s="205" t="str">
        <f t="shared" si="3"/>
        <v>19-Jan</v>
      </c>
      <c r="CC20" s="205" t="s">
        <v>113</v>
      </c>
      <c r="CD20" s="447" t="s">
        <v>130</v>
      </c>
      <c r="CE20" s="447" t="str">
        <f t="shared" si="0"/>
        <v>Capricorn - Earth</v>
      </c>
    </row>
    <row r="21" spans="1:83" s="165" customFormat="1">
      <c r="A21" s="223"/>
      <c r="B21" s="224"/>
      <c r="C21" s="225"/>
      <c r="D21" s="225"/>
      <c r="E21" s="225"/>
      <c r="F21" s="225"/>
      <c r="G21" s="225"/>
      <c r="H21" s="225"/>
      <c r="I21" s="225"/>
      <c r="J21" s="225"/>
      <c r="K21" s="224"/>
      <c r="L21" s="224"/>
      <c r="M21" s="224"/>
      <c r="N21" s="226"/>
      <c r="O21" s="226"/>
      <c r="R21" s="160">
        <v>19</v>
      </c>
      <c r="S21" s="161">
        <f t="shared" ca="1" si="1"/>
        <v>2</v>
      </c>
      <c r="T21" s="239"/>
      <c r="U21" s="160">
        <v>19</v>
      </c>
      <c r="V21" s="161">
        <f t="shared" ca="1" si="2"/>
        <v>3</v>
      </c>
      <c r="W21" s="239"/>
      <c r="X21" s="160">
        <v>19</v>
      </c>
      <c r="Y21" s="161">
        <f t="shared" ca="1" si="4"/>
        <v>4</v>
      </c>
      <c r="Z21" s="239"/>
      <c r="AA21" s="160">
        <v>19</v>
      </c>
      <c r="AB21" s="161">
        <f t="shared" ca="1" si="5"/>
        <v>5</v>
      </c>
      <c r="AC21" s="239"/>
      <c r="AD21" s="160">
        <v>19</v>
      </c>
      <c r="AE21" s="161">
        <f t="shared" ca="1" si="6"/>
        <v>6</v>
      </c>
      <c r="AF21" s="239"/>
      <c r="AG21" s="160">
        <v>19</v>
      </c>
      <c r="AH21" s="161">
        <f t="shared" ca="1" si="7"/>
        <v>7</v>
      </c>
      <c r="AI21" s="239"/>
      <c r="AJ21" s="160">
        <v>19</v>
      </c>
      <c r="AK21" s="161">
        <f t="shared" ca="1" si="8"/>
        <v>8</v>
      </c>
      <c r="AL21" s="239"/>
      <c r="AM21" s="160">
        <v>19</v>
      </c>
      <c r="AN21" s="161">
        <f t="shared" ca="1" si="9"/>
        <v>9</v>
      </c>
      <c r="AO21" s="239"/>
      <c r="AP21" s="160">
        <v>19</v>
      </c>
      <c r="AQ21" s="161">
        <f t="shared" ca="1" si="10"/>
        <v>1</v>
      </c>
      <c r="AR21" s="239"/>
      <c r="AS21" s="160">
        <v>19</v>
      </c>
      <c r="AT21" s="161">
        <f t="shared" ca="1" si="11"/>
        <v>2</v>
      </c>
      <c r="AU21" s="239"/>
      <c r="AV21" s="160">
        <v>19</v>
      </c>
      <c r="AW21" s="161">
        <f t="shared" ca="1" si="12"/>
        <v>3</v>
      </c>
      <c r="AX21" s="239"/>
      <c r="AY21" s="160">
        <v>19</v>
      </c>
      <c r="AZ21" s="161">
        <f t="shared" ca="1" si="13"/>
        <v>4</v>
      </c>
      <c r="CA21" s="446">
        <v>43850</v>
      </c>
      <c r="CB21" s="205" t="str">
        <f t="shared" si="3"/>
        <v>20-Jan</v>
      </c>
      <c r="CC21" s="205" t="s">
        <v>114</v>
      </c>
      <c r="CD21" s="447" t="s">
        <v>132</v>
      </c>
      <c r="CE21" s="447" t="str">
        <f t="shared" si="0"/>
        <v>Aquarius - Air</v>
      </c>
    </row>
    <row r="22" spans="1:83">
      <c r="A22" s="227"/>
      <c r="B22" s="176"/>
      <c r="C22" s="157" t="s">
        <v>170</v>
      </c>
      <c r="D22" s="549"/>
      <c r="E22" s="157"/>
      <c r="F22" s="157"/>
      <c r="G22" s="157"/>
      <c r="H22" s="157"/>
      <c r="I22" s="157"/>
      <c r="J22" s="157"/>
      <c r="K22" s="176"/>
      <c r="L22" s="176"/>
      <c r="M22" s="176"/>
      <c r="N22" s="222"/>
      <c r="O22" s="222"/>
      <c r="R22" s="160">
        <v>20</v>
      </c>
      <c r="S22" s="161">
        <f t="shared" ca="1" si="1"/>
        <v>3</v>
      </c>
      <c r="U22" s="160">
        <v>20</v>
      </c>
      <c r="V22" s="161">
        <f t="shared" ca="1" si="2"/>
        <v>4</v>
      </c>
      <c r="X22" s="160">
        <v>20</v>
      </c>
      <c r="Y22" s="161">
        <f t="shared" ca="1" si="4"/>
        <v>5</v>
      </c>
      <c r="AA22" s="160">
        <v>20</v>
      </c>
      <c r="AB22" s="161">
        <f t="shared" ca="1" si="5"/>
        <v>6</v>
      </c>
      <c r="AD22" s="160">
        <v>20</v>
      </c>
      <c r="AE22" s="161">
        <f t="shared" ca="1" si="6"/>
        <v>7</v>
      </c>
      <c r="AG22" s="160">
        <v>20</v>
      </c>
      <c r="AH22" s="161">
        <f t="shared" ca="1" si="7"/>
        <v>8</v>
      </c>
      <c r="AJ22" s="160">
        <v>20</v>
      </c>
      <c r="AK22" s="161">
        <f t="shared" ca="1" si="8"/>
        <v>9</v>
      </c>
      <c r="AM22" s="160">
        <v>20</v>
      </c>
      <c r="AN22" s="161">
        <f t="shared" ca="1" si="9"/>
        <v>1</v>
      </c>
      <c r="AP22" s="160">
        <v>20</v>
      </c>
      <c r="AQ22" s="161">
        <f t="shared" ca="1" si="10"/>
        <v>2</v>
      </c>
      <c r="AS22" s="160">
        <v>20</v>
      </c>
      <c r="AT22" s="161">
        <f t="shared" ca="1" si="11"/>
        <v>3</v>
      </c>
      <c r="AV22" s="160">
        <v>20</v>
      </c>
      <c r="AW22" s="161">
        <f t="shared" ca="1" si="12"/>
        <v>4</v>
      </c>
      <c r="AY22" s="160">
        <v>20</v>
      </c>
      <c r="AZ22" s="161">
        <f t="shared" ca="1" si="13"/>
        <v>5</v>
      </c>
      <c r="CA22" s="446">
        <v>43851</v>
      </c>
      <c r="CB22" s="205" t="str">
        <f t="shared" si="3"/>
        <v>21-Jan</v>
      </c>
      <c r="CC22" s="205" t="s">
        <v>114</v>
      </c>
      <c r="CD22" s="447" t="s">
        <v>132</v>
      </c>
      <c r="CE22" s="447" t="str">
        <f t="shared" si="0"/>
        <v>Aquarius - Air</v>
      </c>
    </row>
    <row r="23" spans="1:83">
      <c r="A23" s="228"/>
      <c r="B23" s="176"/>
      <c r="C23" s="157" t="s">
        <v>253</v>
      </c>
      <c r="D23" s="631"/>
      <c r="E23" s="175"/>
      <c r="F23" s="157"/>
      <c r="G23" s="175"/>
      <c r="H23" s="175"/>
      <c r="I23" s="157"/>
      <c r="J23" s="157"/>
      <c r="K23" s="157"/>
      <c r="L23" s="157"/>
      <c r="M23" s="157"/>
      <c r="N23" s="222"/>
      <c r="O23" s="222"/>
      <c r="R23" s="160">
        <v>21</v>
      </c>
      <c r="S23" s="161">
        <f t="shared" ca="1" si="1"/>
        <v>4</v>
      </c>
      <c r="U23" s="160">
        <v>21</v>
      </c>
      <c r="V23" s="161">
        <f t="shared" ca="1" si="2"/>
        <v>5</v>
      </c>
      <c r="X23" s="160">
        <v>21</v>
      </c>
      <c r="Y23" s="161">
        <f t="shared" ca="1" si="4"/>
        <v>6</v>
      </c>
      <c r="AA23" s="160">
        <v>21</v>
      </c>
      <c r="AB23" s="161">
        <f t="shared" ca="1" si="5"/>
        <v>7</v>
      </c>
      <c r="AD23" s="160">
        <v>21</v>
      </c>
      <c r="AE23" s="161">
        <f t="shared" ca="1" si="6"/>
        <v>8</v>
      </c>
      <c r="AG23" s="160">
        <v>21</v>
      </c>
      <c r="AH23" s="161">
        <f t="shared" ca="1" si="7"/>
        <v>9</v>
      </c>
      <c r="AJ23" s="160">
        <v>21</v>
      </c>
      <c r="AK23" s="161">
        <f t="shared" ca="1" si="8"/>
        <v>1</v>
      </c>
      <c r="AM23" s="160">
        <v>21</v>
      </c>
      <c r="AN23" s="161">
        <f t="shared" ca="1" si="9"/>
        <v>2</v>
      </c>
      <c r="AP23" s="160">
        <v>21</v>
      </c>
      <c r="AQ23" s="161">
        <f t="shared" ca="1" si="10"/>
        <v>3</v>
      </c>
      <c r="AS23" s="160">
        <v>21</v>
      </c>
      <c r="AT23" s="161">
        <f t="shared" ca="1" si="11"/>
        <v>4</v>
      </c>
      <c r="AV23" s="160">
        <v>21</v>
      </c>
      <c r="AW23" s="161">
        <f t="shared" ca="1" si="12"/>
        <v>5</v>
      </c>
      <c r="AY23" s="160">
        <v>21</v>
      </c>
      <c r="AZ23" s="161">
        <f t="shared" ca="1" si="13"/>
        <v>6</v>
      </c>
      <c r="CA23" s="446">
        <v>43852</v>
      </c>
      <c r="CB23" s="205" t="str">
        <f t="shared" si="3"/>
        <v>22-Jan</v>
      </c>
      <c r="CC23" s="205" t="s">
        <v>114</v>
      </c>
      <c r="CD23" s="447" t="s">
        <v>132</v>
      </c>
      <c r="CE23" s="447" t="str">
        <f t="shared" si="0"/>
        <v>Aquarius - Air</v>
      </c>
    </row>
    <row r="24" spans="1:83">
      <c r="A24" s="228"/>
      <c r="B24" s="176"/>
      <c r="C24" s="157"/>
      <c r="D24" s="175"/>
      <c r="E24" s="157"/>
      <c r="F24" s="157"/>
      <c r="G24" s="175"/>
      <c r="H24" s="157"/>
      <c r="I24" s="157"/>
      <c r="J24" s="175"/>
      <c r="K24" s="176"/>
      <c r="L24" s="176"/>
      <c r="M24" s="176"/>
      <c r="N24" s="222"/>
      <c r="O24" s="222"/>
      <c r="R24" s="160">
        <v>22</v>
      </c>
      <c r="S24" s="161">
        <f t="shared" ca="1" si="1"/>
        <v>5</v>
      </c>
      <c r="U24" s="160">
        <v>22</v>
      </c>
      <c r="V24" s="161">
        <f t="shared" ca="1" si="2"/>
        <v>6</v>
      </c>
      <c r="X24" s="160">
        <v>22</v>
      </c>
      <c r="Y24" s="161">
        <f t="shared" ca="1" si="4"/>
        <v>7</v>
      </c>
      <c r="AA24" s="160">
        <v>22</v>
      </c>
      <c r="AB24" s="161">
        <f t="shared" ca="1" si="5"/>
        <v>8</v>
      </c>
      <c r="AD24" s="160">
        <v>22</v>
      </c>
      <c r="AE24" s="161">
        <f t="shared" ca="1" si="6"/>
        <v>9</v>
      </c>
      <c r="AG24" s="160">
        <v>22</v>
      </c>
      <c r="AH24" s="161">
        <f t="shared" ca="1" si="7"/>
        <v>1</v>
      </c>
      <c r="AJ24" s="160">
        <v>22</v>
      </c>
      <c r="AK24" s="161">
        <f t="shared" ca="1" si="8"/>
        <v>2</v>
      </c>
      <c r="AM24" s="160">
        <v>22</v>
      </c>
      <c r="AN24" s="161">
        <f t="shared" ca="1" si="9"/>
        <v>3</v>
      </c>
      <c r="AP24" s="160">
        <v>22</v>
      </c>
      <c r="AQ24" s="161">
        <f t="shared" ca="1" si="10"/>
        <v>4</v>
      </c>
      <c r="AS24" s="160">
        <v>22</v>
      </c>
      <c r="AT24" s="161">
        <f t="shared" ca="1" si="11"/>
        <v>5</v>
      </c>
      <c r="AV24" s="160">
        <v>22</v>
      </c>
      <c r="AW24" s="161">
        <f t="shared" ca="1" si="12"/>
        <v>6</v>
      </c>
      <c r="AY24" s="160">
        <v>22</v>
      </c>
      <c r="AZ24" s="161">
        <f t="shared" ca="1" si="13"/>
        <v>7</v>
      </c>
      <c r="CA24" s="446">
        <v>43853</v>
      </c>
      <c r="CB24" s="205" t="str">
        <f t="shared" si="3"/>
        <v>23-Jan</v>
      </c>
      <c r="CC24" s="205" t="s">
        <v>114</v>
      </c>
      <c r="CD24" s="447" t="s">
        <v>132</v>
      </c>
      <c r="CE24" s="447" t="str">
        <f t="shared" si="0"/>
        <v>Aquarius - Air</v>
      </c>
    </row>
    <row r="25" spans="1:83">
      <c r="A25" s="21"/>
      <c r="B25" s="634" t="s">
        <v>256</v>
      </c>
      <c r="C25" s="634" t="s">
        <v>257</v>
      </c>
      <c r="D25" s="157"/>
      <c r="E25" s="157"/>
      <c r="F25" s="157"/>
      <c r="G25" s="157"/>
      <c r="H25" s="157"/>
      <c r="I25" s="157"/>
      <c r="J25" s="157"/>
      <c r="K25" s="176"/>
      <c r="L25" s="176"/>
      <c r="M25" s="176"/>
      <c r="N25" s="222"/>
      <c r="O25" s="222"/>
      <c r="R25" s="160">
        <v>23</v>
      </c>
      <c r="S25" s="161">
        <f t="shared" ca="1" si="1"/>
        <v>6</v>
      </c>
      <c r="U25" s="160">
        <v>23</v>
      </c>
      <c r="V25" s="161">
        <f t="shared" ca="1" si="2"/>
        <v>7</v>
      </c>
      <c r="X25" s="160">
        <v>23</v>
      </c>
      <c r="Y25" s="161">
        <f t="shared" ca="1" si="4"/>
        <v>8</v>
      </c>
      <c r="AA25" s="160">
        <v>23</v>
      </c>
      <c r="AB25" s="161">
        <f t="shared" ca="1" si="5"/>
        <v>9</v>
      </c>
      <c r="AD25" s="160">
        <v>23</v>
      </c>
      <c r="AE25" s="161">
        <f t="shared" ca="1" si="6"/>
        <v>1</v>
      </c>
      <c r="AG25" s="160">
        <v>23</v>
      </c>
      <c r="AH25" s="161">
        <f t="shared" ca="1" si="7"/>
        <v>2</v>
      </c>
      <c r="AJ25" s="160">
        <v>23</v>
      </c>
      <c r="AK25" s="161">
        <f t="shared" ca="1" si="8"/>
        <v>3</v>
      </c>
      <c r="AM25" s="160">
        <v>23</v>
      </c>
      <c r="AN25" s="161">
        <f t="shared" ca="1" si="9"/>
        <v>4</v>
      </c>
      <c r="AP25" s="160">
        <v>23</v>
      </c>
      <c r="AQ25" s="161">
        <f t="shared" ca="1" si="10"/>
        <v>5</v>
      </c>
      <c r="AS25" s="160">
        <v>23</v>
      </c>
      <c r="AT25" s="161">
        <f t="shared" ca="1" si="11"/>
        <v>6</v>
      </c>
      <c r="AV25" s="160">
        <v>23</v>
      </c>
      <c r="AW25" s="161">
        <f t="shared" ca="1" si="12"/>
        <v>7</v>
      </c>
      <c r="AY25" s="160">
        <v>23</v>
      </c>
      <c r="AZ25" s="161">
        <f t="shared" ca="1" si="13"/>
        <v>8</v>
      </c>
      <c r="CA25" s="446">
        <v>43854</v>
      </c>
      <c r="CB25" s="205" t="str">
        <f t="shared" si="3"/>
        <v>24-Jan</v>
      </c>
      <c r="CC25" s="205" t="s">
        <v>114</v>
      </c>
      <c r="CD25" s="447" t="s">
        <v>132</v>
      </c>
      <c r="CE25" s="447" t="str">
        <f t="shared" si="0"/>
        <v>Aquarius - Air</v>
      </c>
    </row>
    <row r="26" spans="1:83">
      <c r="A26" s="635">
        <f>MOD(B26-1,9)+1</f>
        <v>8</v>
      </c>
      <c r="B26" s="50">
        <v>2015</v>
      </c>
      <c r="C26" s="50">
        <f>MOD($D$7+$G$7+A26-1,9)+1</f>
        <v>2</v>
      </c>
      <c r="D26" s="157"/>
      <c r="E26" s="157"/>
      <c r="F26" s="175"/>
      <c r="G26" s="157"/>
      <c r="H26" s="157"/>
      <c r="I26" s="157"/>
      <c r="J26" s="157"/>
      <c r="K26" s="176"/>
      <c r="L26" s="176"/>
      <c r="M26" s="176"/>
      <c r="N26" s="222"/>
      <c r="O26" s="222"/>
      <c r="R26" s="160">
        <v>24</v>
      </c>
      <c r="S26" s="161">
        <f t="shared" ca="1" si="1"/>
        <v>7</v>
      </c>
      <c r="U26" s="160">
        <v>24</v>
      </c>
      <c r="V26" s="161">
        <f t="shared" ca="1" si="2"/>
        <v>8</v>
      </c>
      <c r="X26" s="160">
        <v>24</v>
      </c>
      <c r="Y26" s="161">
        <f t="shared" ca="1" si="4"/>
        <v>9</v>
      </c>
      <c r="AA26" s="160">
        <v>24</v>
      </c>
      <c r="AB26" s="161">
        <f t="shared" ca="1" si="5"/>
        <v>1</v>
      </c>
      <c r="AD26" s="160">
        <v>24</v>
      </c>
      <c r="AE26" s="161">
        <f t="shared" ca="1" si="6"/>
        <v>2</v>
      </c>
      <c r="AG26" s="160">
        <v>24</v>
      </c>
      <c r="AH26" s="161">
        <f t="shared" ca="1" si="7"/>
        <v>3</v>
      </c>
      <c r="AJ26" s="160">
        <v>24</v>
      </c>
      <c r="AK26" s="161">
        <f t="shared" ca="1" si="8"/>
        <v>4</v>
      </c>
      <c r="AM26" s="160">
        <v>24</v>
      </c>
      <c r="AN26" s="161">
        <f t="shared" ca="1" si="9"/>
        <v>5</v>
      </c>
      <c r="AP26" s="160">
        <v>24</v>
      </c>
      <c r="AQ26" s="161">
        <f t="shared" ca="1" si="10"/>
        <v>6</v>
      </c>
      <c r="AS26" s="160">
        <v>24</v>
      </c>
      <c r="AT26" s="161">
        <f t="shared" ca="1" si="11"/>
        <v>7</v>
      </c>
      <c r="AV26" s="160">
        <v>24</v>
      </c>
      <c r="AW26" s="161">
        <f t="shared" ca="1" si="12"/>
        <v>8</v>
      </c>
      <c r="AY26" s="160">
        <v>24</v>
      </c>
      <c r="AZ26" s="161">
        <f t="shared" ca="1" si="13"/>
        <v>9</v>
      </c>
      <c r="CA26" s="446">
        <v>43855</v>
      </c>
      <c r="CB26" s="205" t="str">
        <f t="shared" si="3"/>
        <v>25-Jan</v>
      </c>
      <c r="CC26" s="205" t="s">
        <v>114</v>
      </c>
      <c r="CD26" s="447" t="s">
        <v>132</v>
      </c>
      <c r="CE26" s="447" t="str">
        <f t="shared" si="0"/>
        <v>Aquarius - Air</v>
      </c>
    </row>
    <row r="27" spans="1:83">
      <c r="A27" s="635">
        <f t="shared" ref="A27:A40" si="15">MOD(B27-1,9)+1</f>
        <v>9</v>
      </c>
      <c r="B27" s="50">
        <v>2016</v>
      </c>
      <c r="C27" s="50">
        <f t="shared" ref="C27:C40" si="16">MOD($D$7+$G$7+A27-1,9)+1</f>
        <v>3</v>
      </c>
      <c r="D27" s="157"/>
      <c r="E27" s="157"/>
      <c r="F27" s="175"/>
      <c r="G27" s="157"/>
      <c r="H27" s="157"/>
      <c r="I27" s="157"/>
      <c r="J27" s="157"/>
      <c r="K27" s="176"/>
      <c r="L27" s="176"/>
      <c r="M27" s="176"/>
      <c r="N27" s="222"/>
      <c r="O27" s="222"/>
      <c r="R27" s="160">
        <v>25</v>
      </c>
      <c r="S27" s="161">
        <f t="shared" ca="1" si="1"/>
        <v>8</v>
      </c>
      <c r="U27" s="160">
        <v>25</v>
      </c>
      <c r="V27" s="161">
        <f t="shared" ca="1" si="2"/>
        <v>9</v>
      </c>
      <c r="X27" s="160">
        <v>25</v>
      </c>
      <c r="Y27" s="161">
        <f t="shared" ca="1" si="4"/>
        <v>1</v>
      </c>
      <c r="AA27" s="160">
        <v>25</v>
      </c>
      <c r="AB27" s="161">
        <f t="shared" ca="1" si="5"/>
        <v>2</v>
      </c>
      <c r="AD27" s="160">
        <v>25</v>
      </c>
      <c r="AE27" s="161">
        <f t="shared" ca="1" si="6"/>
        <v>3</v>
      </c>
      <c r="AG27" s="160">
        <v>25</v>
      </c>
      <c r="AH27" s="161">
        <f t="shared" ca="1" si="7"/>
        <v>4</v>
      </c>
      <c r="AJ27" s="160">
        <v>25</v>
      </c>
      <c r="AK27" s="161">
        <f t="shared" ca="1" si="8"/>
        <v>5</v>
      </c>
      <c r="AM27" s="160">
        <v>25</v>
      </c>
      <c r="AN27" s="161">
        <f t="shared" ca="1" si="9"/>
        <v>6</v>
      </c>
      <c r="AP27" s="160">
        <v>25</v>
      </c>
      <c r="AQ27" s="161">
        <f t="shared" ca="1" si="10"/>
        <v>7</v>
      </c>
      <c r="AS27" s="160">
        <v>25</v>
      </c>
      <c r="AT27" s="161">
        <f t="shared" ca="1" si="11"/>
        <v>8</v>
      </c>
      <c r="AV27" s="160">
        <v>25</v>
      </c>
      <c r="AW27" s="161">
        <f t="shared" ca="1" si="12"/>
        <v>9</v>
      </c>
      <c r="AY27" s="160">
        <v>25</v>
      </c>
      <c r="AZ27" s="161">
        <f t="shared" ca="1" si="13"/>
        <v>1</v>
      </c>
      <c r="CA27" s="446">
        <v>43856</v>
      </c>
      <c r="CB27" s="205" t="str">
        <f t="shared" si="3"/>
        <v>26-Jan</v>
      </c>
      <c r="CC27" s="205" t="s">
        <v>114</v>
      </c>
      <c r="CD27" s="447" t="s">
        <v>132</v>
      </c>
      <c r="CE27" s="447" t="str">
        <f t="shared" si="0"/>
        <v>Aquarius - Air</v>
      </c>
    </row>
    <row r="28" spans="1:83">
      <c r="A28" s="635">
        <f t="shared" si="15"/>
        <v>1</v>
      </c>
      <c r="B28" s="50">
        <v>2017</v>
      </c>
      <c r="C28" s="50">
        <f t="shared" si="16"/>
        <v>4</v>
      </c>
      <c r="D28" s="157"/>
      <c r="E28" s="157"/>
      <c r="F28" s="175"/>
      <c r="G28" s="157"/>
      <c r="H28" s="157"/>
      <c r="I28" s="157"/>
      <c r="J28" s="157"/>
      <c r="K28" s="176"/>
      <c r="L28" s="176"/>
      <c r="M28" s="176"/>
      <c r="N28" s="222"/>
      <c r="O28" s="222"/>
      <c r="R28" s="160">
        <v>26</v>
      </c>
      <c r="S28" s="161">
        <f t="shared" ca="1" si="1"/>
        <v>9</v>
      </c>
      <c r="U28" s="160">
        <v>26</v>
      </c>
      <c r="V28" s="161">
        <f t="shared" ca="1" si="2"/>
        <v>1</v>
      </c>
      <c r="X28" s="160">
        <v>26</v>
      </c>
      <c r="Y28" s="161">
        <f t="shared" ca="1" si="4"/>
        <v>2</v>
      </c>
      <c r="AA28" s="160">
        <v>26</v>
      </c>
      <c r="AB28" s="161">
        <f t="shared" ca="1" si="5"/>
        <v>3</v>
      </c>
      <c r="AD28" s="160">
        <v>26</v>
      </c>
      <c r="AE28" s="161">
        <f t="shared" ca="1" si="6"/>
        <v>4</v>
      </c>
      <c r="AG28" s="160">
        <v>26</v>
      </c>
      <c r="AH28" s="161">
        <f t="shared" ca="1" si="7"/>
        <v>5</v>
      </c>
      <c r="AJ28" s="160">
        <v>26</v>
      </c>
      <c r="AK28" s="161">
        <f t="shared" ca="1" si="8"/>
        <v>6</v>
      </c>
      <c r="AM28" s="160">
        <v>26</v>
      </c>
      <c r="AN28" s="161">
        <f t="shared" ca="1" si="9"/>
        <v>7</v>
      </c>
      <c r="AP28" s="160">
        <v>26</v>
      </c>
      <c r="AQ28" s="161">
        <f t="shared" ca="1" si="10"/>
        <v>8</v>
      </c>
      <c r="AS28" s="160">
        <v>26</v>
      </c>
      <c r="AT28" s="161">
        <f t="shared" ca="1" si="11"/>
        <v>9</v>
      </c>
      <c r="AV28" s="160">
        <v>26</v>
      </c>
      <c r="AW28" s="161">
        <f t="shared" ca="1" si="12"/>
        <v>1</v>
      </c>
      <c r="AY28" s="160">
        <v>26</v>
      </c>
      <c r="AZ28" s="161">
        <f t="shared" ca="1" si="13"/>
        <v>2</v>
      </c>
      <c r="CA28" s="446">
        <v>43857</v>
      </c>
      <c r="CB28" s="205" t="str">
        <f t="shared" si="3"/>
        <v>27-Jan</v>
      </c>
      <c r="CC28" s="205" t="s">
        <v>114</v>
      </c>
      <c r="CD28" s="447" t="s">
        <v>132</v>
      </c>
      <c r="CE28" s="447" t="str">
        <f t="shared" si="0"/>
        <v>Aquarius - Air</v>
      </c>
    </row>
    <row r="29" spans="1:83">
      <c r="A29" s="635">
        <f t="shared" si="15"/>
        <v>2</v>
      </c>
      <c r="B29" s="50">
        <v>2018</v>
      </c>
      <c r="C29" s="50">
        <f t="shared" si="16"/>
        <v>5</v>
      </c>
      <c r="D29" s="222"/>
      <c r="E29" s="222"/>
      <c r="F29" s="222"/>
      <c r="G29" s="222"/>
      <c r="H29" s="222"/>
      <c r="I29" s="222"/>
      <c r="J29" s="222"/>
      <c r="K29" s="222"/>
      <c r="L29" s="222"/>
      <c r="M29" s="222"/>
      <c r="N29" s="222"/>
      <c r="O29" s="222"/>
      <c r="R29" s="160">
        <v>27</v>
      </c>
      <c r="S29" s="161">
        <f t="shared" ca="1" si="1"/>
        <v>1</v>
      </c>
      <c r="U29" s="160">
        <v>27</v>
      </c>
      <c r="V29" s="161">
        <f t="shared" ca="1" si="2"/>
        <v>2</v>
      </c>
      <c r="X29" s="160">
        <v>27</v>
      </c>
      <c r="Y29" s="161">
        <f t="shared" ca="1" si="4"/>
        <v>3</v>
      </c>
      <c r="AA29" s="160">
        <v>27</v>
      </c>
      <c r="AB29" s="161">
        <f t="shared" ca="1" si="5"/>
        <v>4</v>
      </c>
      <c r="AD29" s="160">
        <v>27</v>
      </c>
      <c r="AE29" s="161">
        <f t="shared" ca="1" si="6"/>
        <v>5</v>
      </c>
      <c r="AG29" s="160">
        <v>27</v>
      </c>
      <c r="AH29" s="161">
        <f t="shared" ca="1" si="7"/>
        <v>6</v>
      </c>
      <c r="AJ29" s="160">
        <v>27</v>
      </c>
      <c r="AK29" s="161">
        <f t="shared" ca="1" si="8"/>
        <v>7</v>
      </c>
      <c r="AM29" s="160">
        <v>27</v>
      </c>
      <c r="AN29" s="161">
        <f t="shared" ca="1" si="9"/>
        <v>8</v>
      </c>
      <c r="AP29" s="160">
        <v>27</v>
      </c>
      <c r="AQ29" s="161">
        <f t="shared" ca="1" si="10"/>
        <v>9</v>
      </c>
      <c r="AS29" s="160">
        <v>27</v>
      </c>
      <c r="AT29" s="161">
        <f t="shared" ca="1" si="11"/>
        <v>1</v>
      </c>
      <c r="AV29" s="160">
        <v>27</v>
      </c>
      <c r="AW29" s="161">
        <f t="shared" ca="1" si="12"/>
        <v>2</v>
      </c>
      <c r="AY29" s="160">
        <v>27</v>
      </c>
      <c r="AZ29" s="161">
        <f t="shared" ca="1" si="13"/>
        <v>3</v>
      </c>
      <c r="CA29" s="446">
        <v>43858</v>
      </c>
      <c r="CB29" s="205" t="str">
        <f t="shared" si="3"/>
        <v>28-Jan</v>
      </c>
      <c r="CC29" s="205" t="s">
        <v>114</v>
      </c>
      <c r="CD29" s="447" t="s">
        <v>132</v>
      </c>
      <c r="CE29" s="447" t="str">
        <f t="shared" si="0"/>
        <v>Aquarius - Air</v>
      </c>
    </row>
    <row r="30" spans="1:83">
      <c r="A30" s="635">
        <f t="shared" si="15"/>
        <v>3</v>
      </c>
      <c r="B30" s="50">
        <v>2019</v>
      </c>
      <c r="C30" s="50">
        <f t="shared" si="16"/>
        <v>6</v>
      </c>
      <c r="R30" s="160">
        <v>28</v>
      </c>
      <c r="S30" s="161">
        <f t="shared" ca="1" si="1"/>
        <v>2</v>
      </c>
      <c r="U30" s="160">
        <v>28</v>
      </c>
      <c r="V30" s="161">
        <f t="shared" ca="1" si="2"/>
        <v>3</v>
      </c>
      <c r="X30" s="160">
        <v>28</v>
      </c>
      <c r="Y30" s="161">
        <f t="shared" ca="1" si="4"/>
        <v>4</v>
      </c>
      <c r="AA30" s="160">
        <v>28</v>
      </c>
      <c r="AB30" s="161">
        <f t="shared" ca="1" si="5"/>
        <v>5</v>
      </c>
      <c r="AD30" s="160">
        <v>28</v>
      </c>
      <c r="AE30" s="161">
        <f t="shared" ca="1" si="6"/>
        <v>6</v>
      </c>
      <c r="AG30" s="160">
        <v>28</v>
      </c>
      <c r="AH30" s="161">
        <f t="shared" ca="1" si="7"/>
        <v>7</v>
      </c>
      <c r="AJ30" s="160">
        <v>28</v>
      </c>
      <c r="AK30" s="161">
        <f t="shared" ca="1" si="8"/>
        <v>8</v>
      </c>
      <c r="AM30" s="160">
        <v>28</v>
      </c>
      <c r="AN30" s="161">
        <f t="shared" ca="1" si="9"/>
        <v>9</v>
      </c>
      <c r="AP30" s="160">
        <v>28</v>
      </c>
      <c r="AQ30" s="161">
        <f t="shared" ca="1" si="10"/>
        <v>1</v>
      </c>
      <c r="AS30" s="160">
        <v>28</v>
      </c>
      <c r="AT30" s="161">
        <f t="shared" ca="1" si="11"/>
        <v>2</v>
      </c>
      <c r="AV30" s="160">
        <v>28</v>
      </c>
      <c r="AW30" s="161">
        <f t="shared" ca="1" si="12"/>
        <v>3</v>
      </c>
      <c r="AY30" s="160">
        <v>28</v>
      </c>
      <c r="AZ30" s="161">
        <f t="shared" ca="1" si="13"/>
        <v>4</v>
      </c>
      <c r="CA30" s="446">
        <v>43859</v>
      </c>
      <c r="CB30" s="205" t="str">
        <f t="shared" si="3"/>
        <v>29-Jan</v>
      </c>
      <c r="CC30" s="205" t="s">
        <v>114</v>
      </c>
      <c r="CD30" s="447" t="s">
        <v>132</v>
      </c>
      <c r="CE30" s="447" t="str">
        <f t="shared" si="0"/>
        <v>Aquarius - Air</v>
      </c>
    </row>
    <row r="31" spans="1:83" ht="15" thickBot="1">
      <c r="A31" s="635">
        <f t="shared" si="15"/>
        <v>4</v>
      </c>
      <c r="B31" s="289">
        <v>2020</v>
      </c>
      <c r="C31" s="50">
        <f t="shared" si="16"/>
        <v>7</v>
      </c>
      <c r="R31" s="160">
        <v>29</v>
      </c>
      <c r="S31" s="161">
        <f t="shared" ca="1" si="1"/>
        <v>3</v>
      </c>
      <c r="U31" s="182">
        <v>29</v>
      </c>
      <c r="V31" s="161">
        <f t="shared" ca="1" si="2"/>
        <v>4</v>
      </c>
      <c r="X31" s="160">
        <v>29</v>
      </c>
      <c r="Y31" s="161">
        <f t="shared" ca="1" si="4"/>
        <v>5</v>
      </c>
      <c r="AA31" s="160">
        <v>29</v>
      </c>
      <c r="AB31" s="161">
        <f t="shared" ca="1" si="5"/>
        <v>6</v>
      </c>
      <c r="AD31" s="160">
        <v>29</v>
      </c>
      <c r="AE31" s="161">
        <f t="shared" ca="1" si="6"/>
        <v>7</v>
      </c>
      <c r="AG31" s="160">
        <v>29</v>
      </c>
      <c r="AH31" s="161">
        <f t="shared" ca="1" si="7"/>
        <v>8</v>
      </c>
      <c r="AJ31" s="160">
        <v>29</v>
      </c>
      <c r="AK31" s="161">
        <f t="shared" ca="1" si="8"/>
        <v>9</v>
      </c>
      <c r="AM31" s="160">
        <v>29</v>
      </c>
      <c r="AN31" s="161">
        <f t="shared" ca="1" si="9"/>
        <v>1</v>
      </c>
      <c r="AP31" s="160">
        <v>29</v>
      </c>
      <c r="AQ31" s="161">
        <f t="shared" ca="1" si="10"/>
        <v>2</v>
      </c>
      <c r="AS31" s="160">
        <v>29</v>
      </c>
      <c r="AT31" s="161">
        <f t="shared" ca="1" si="11"/>
        <v>3</v>
      </c>
      <c r="AV31" s="160">
        <v>29</v>
      </c>
      <c r="AW31" s="161">
        <f t="shared" ca="1" si="12"/>
        <v>4</v>
      </c>
      <c r="AY31" s="160">
        <v>29</v>
      </c>
      <c r="AZ31" s="161">
        <f t="shared" ca="1" si="13"/>
        <v>5</v>
      </c>
      <c r="CA31" s="446">
        <v>43860</v>
      </c>
      <c r="CB31" s="205" t="str">
        <f t="shared" si="3"/>
        <v>30-Jan</v>
      </c>
      <c r="CC31" s="205" t="s">
        <v>114</v>
      </c>
      <c r="CD31" s="447" t="s">
        <v>132</v>
      </c>
      <c r="CE31" s="447" t="str">
        <f t="shared" si="0"/>
        <v>Aquarius - Air</v>
      </c>
    </row>
    <row r="32" spans="1:83" ht="15" thickBot="1">
      <c r="A32" s="635">
        <f t="shared" si="15"/>
        <v>5</v>
      </c>
      <c r="B32" s="289">
        <v>2021</v>
      </c>
      <c r="C32" s="50">
        <f t="shared" si="16"/>
        <v>8</v>
      </c>
      <c r="R32" s="160">
        <v>30</v>
      </c>
      <c r="S32" s="161">
        <f t="shared" ca="1" si="1"/>
        <v>4</v>
      </c>
      <c r="X32" s="160">
        <v>30</v>
      </c>
      <c r="Y32" s="161">
        <f t="shared" ca="1" si="4"/>
        <v>6</v>
      </c>
      <c r="AA32" s="182">
        <v>30</v>
      </c>
      <c r="AB32" s="161">
        <f t="shared" ca="1" si="5"/>
        <v>7</v>
      </c>
      <c r="AD32" s="160">
        <v>30</v>
      </c>
      <c r="AE32" s="161">
        <f t="shared" ca="1" si="6"/>
        <v>8</v>
      </c>
      <c r="AG32" s="182">
        <v>30</v>
      </c>
      <c r="AH32" s="161">
        <f t="shared" ca="1" si="7"/>
        <v>9</v>
      </c>
      <c r="AJ32" s="160">
        <v>30</v>
      </c>
      <c r="AK32" s="161">
        <f t="shared" ca="1" si="8"/>
        <v>1</v>
      </c>
      <c r="AM32" s="160">
        <v>30</v>
      </c>
      <c r="AN32" s="161">
        <f t="shared" ca="1" si="9"/>
        <v>2</v>
      </c>
      <c r="AP32" s="182">
        <v>30</v>
      </c>
      <c r="AQ32" s="161">
        <f t="shared" ca="1" si="10"/>
        <v>3</v>
      </c>
      <c r="AS32" s="160">
        <v>30</v>
      </c>
      <c r="AT32" s="161">
        <f t="shared" ca="1" si="11"/>
        <v>4</v>
      </c>
      <c r="AV32" s="182">
        <v>30</v>
      </c>
      <c r="AW32" s="161">
        <f t="shared" ca="1" si="12"/>
        <v>5</v>
      </c>
      <c r="AY32" s="160">
        <v>30</v>
      </c>
      <c r="AZ32" s="161">
        <f t="shared" ca="1" si="13"/>
        <v>6</v>
      </c>
      <c r="CA32" s="446">
        <v>43861</v>
      </c>
      <c r="CB32" s="205" t="str">
        <f t="shared" si="3"/>
        <v>31-Jan</v>
      </c>
      <c r="CC32" s="205" t="s">
        <v>114</v>
      </c>
      <c r="CD32" s="447" t="s">
        <v>132</v>
      </c>
      <c r="CE32" s="447" t="str">
        <f t="shared" si="0"/>
        <v>Aquarius - Air</v>
      </c>
    </row>
    <row r="33" spans="1:83" ht="15" thickBot="1">
      <c r="A33" s="635">
        <f t="shared" si="15"/>
        <v>6</v>
      </c>
      <c r="B33" s="50">
        <v>2022</v>
      </c>
      <c r="C33" s="50">
        <f t="shared" si="16"/>
        <v>9</v>
      </c>
      <c r="R33" s="182">
        <v>31</v>
      </c>
      <c r="S33" s="181">
        <f t="shared" ca="1" si="1"/>
        <v>5</v>
      </c>
      <c r="X33" s="182">
        <v>31</v>
      </c>
      <c r="Y33" s="161">
        <f t="shared" ca="1" si="4"/>
        <v>7</v>
      </c>
      <c r="AD33" s="182">
        <v>31</v>
      </c>
      <c r="AE33" s="161">
        <f t="shared" ca="1" si="6"/>
        <v>9</v>
      </c>
      <c r="AJ33" s="182">
        <v>31</v>
      </c>
      <c r="AK33" s="161">
        <f t="shared" ca="1" si="8"/>
        <v>2</v>
      </c>
      <c r="AL33" s="241"/>
      <c r="AM33" s="182">
        <v>31</v>
      </c>
      <c r="AN33" s="161">
        <f t="shared" ca="1" si="9"/>
        <v>3</v>
      </c>
      <c r="AS33" s="182">
        <v>31</v>
      </c>
      <c r="AT33" s="161">
        <f t="shared" ca="1" si="11"/>
        <v>5</v>
      </c>
      <c r="AY33" s="182">
        <v>31</v>
      </c>
      <c r="AZ33" s="161">
        <f t="shared" ca="1" si="13"/>
        <v>7</v>
      </c>
      <c r="CA33" s="446">
        <v>43862</v>
      </c>
      <c r="CB33" s="205" t="str">
        <f t="shared" si="3"/>
        <v>01-Feb</v>
      </c>
      <c r="CC33" s="205" t="s">
        <v>114</v>
      </c>
      <c r="CD33" s="447" t="s">
        <v>132</v>
      </c>
      <c r="CE33" s="447" t="str">
        <f t="shared" si="0"/>
        <v>Aquarius - Air</v>
      </c>
    </row>
    <row r="34" spans="1:83">
      <c r="A34" s="635">
        <f t="shared" si="15"/>
        <v>7</v>
      </c>
      <c r="B34" s="50">
        <v>2023</v>
      </c>
      <c r="C34" s="50">
        <f t="shared" si="16"/>
        <v>1</v>
      </c>
      <c r="CA34" s="446">
        <v>43863</v>
      </c>
      <c r="CB34" s="205" t="str">
        <f t="shared" si="3"/>
        <v>02-Feb</v>
      </c>
      <c r="CC34" s="205" t="s">
        <v>114</v>
      </c>
      <c r="CD34" s="447" t="s">
        <v>132</v>
      </c>
      <c r="CE34" s="447" t="str">
        <f t="shared" si="0"/>
        <v>Aquarius - Air</v>
      </c>
    </row>
    <row r="35" spans="1:83">
      <c r="A35" s="635">
        <f t="shared" si="15"/>
        <v>8</v>
      </c>
      <c r="B35" s="50">
        <v>2024</v>
      </c>
      <c r="C35" s="50">
        <f t="shared" si="16"/>
        <v>2</v>
      </c>
      <c r="CA35" s="446">
        <v>43864</v>
      </c>
      <c r="CB35" s="205" t="str">
        <f t="shared" si="3"/>
        <v>03-Feb</v>
      </c>
      <c r="CC35" s="205" t="s">
        <v>114</v>
      </c>
      <c r="CD35" s="447" t="s">
        <v>132</v>
      </c>
      <c r="CE35" s="447" t="str">
        <f t="shared" si="0"/>
        <v>Aquarius - Air</v>
      </c>
    </row>
    <row r="36" spans="1:83">
      <c r="A36" s="635">
        <f t="shared" si="15"/>
        <v>9</v>
      </c>
      <c r="B36" s="50">
        <v>2025</v>
      </c>
      <c r="C36" s="50">
        <f t="shared" si="16"/>
        <v>3</v>
      </c>
      <c r="CA36" s="446">
        <v>43865</v>
      </c>
      <c r="CB36" s="205" t="str">
        <f t="shared" si="3"/>
        <v>04-Feb</v>
      </c>
      <c r="CC36" s="205" t="s">
        <v>114</v>
      </c>
      <c r="CD36" s="447" t="s">
        <v>132</v>
      </c>
      <c r="CE36" s="447" t="str">
        <f t="shared" si="0"/>
        <v>Aquarius - Air</v>
      </c>
    </row>
    <row r="37" spans="1:83">
      <c r="A37" s="635">
        <f t="shared" si="15"/>
        <v>1</v>
      </c>
      <c r="B37" s="50">
        <v>2026</v>
      </c>
      <c r="C37" s="50">
        <f t="shared" si="16"/>
        <v>4</v>
      </c>
      <c r="CA37" s="446">
        <v>43866</v>
      </c>
      <c r="CB37" s="205" t="str">
        <f t="shared" si="3"/>
        <v>05-Feb</v>
      </c>
      <c r="CC37" s="205" t="s">
        <v>114</v>
      </c>
      <c r="CD37" s="447" t="s">
        <v>132</v>
      </c>
      <c r="CE37" s="447" t="str">
        <f t="shared" si="0"/>
        <v>Aquarius - Air</v>
      </c>
    </row>
    <row r="38" spans="1:83">
      <c r="A38" s="635">
        <f t="shared" si="15"/>
        <v>2</v>
      </c>
      <c r="B38" s="50">
        <v>2027</v>
      </c>
      <c r="C38" s="50">
        <f t="shared" si="16"/>
        <v>5</v>
      </c>
      <c r="CA38" s="446">
        <v>43867</v>
      </c>
      <c r="CB38" s="205" t="str">
        <f t="shared" si="3"/>
        <v>06-Feb</v>
      </c>
      <c r="CC38" s="205" t="s">
        <v>114</v>
      </c>
      <c r="CD38" s="447" t="s">
        <v>132</v>
      </c>
      <c r="CE38" s="447" t="str">
        <f t="shared" si="0"/>
        <v>Aquarius - Air</v>
      </c>
    </row>
    <row r="39" spans="1:83">
      <c r="A39" s="635">
        <f t="shared" si="15"/>
        <v>3</v>
      </c>
      <c r="B39" s="50">
        <v>2028</v>
      </c>
      <c r="C39" s="50">
        <f t="shared" si="16"/>
        <v>6</v>
      </c>
      <c r="CA39" s="446">
        <v>43868</v>
      </c>
      <c r="CB39" s="205" t="str">
        <f t="shared" si="3"/>
        <v>07-Feb</v>
      </c>
      <c r="CC39" s="205" t="s">
        <v>114</v>
      </c>
      <c r="CD39" s="447" t="s">
        <v>132</v>
      </c>
      <c r="CE39" s="447" t="str">
        <f t="shared" si="0"/>
        <v>Aquarius - Air</v>
      </c>
    </row>
    <row r="40" spans="1:83">
      <c r="A40" s="635">
        <f t="shared" si="15"/>
        <v>4</v>
      </c>
      <c r="B40" s="50">
        <v>2029</v>
      </c>
      <c r="C40" s="50">
        <f t="shared" si="16"/>
        <v>7</v>
      </c>
      <c r="CA40" s="446">
        <v>43869</v>
      </c>
      <c r="CB40" s="205" t="str">
        <f t="shared" si="3"/>
        <v>08-Feb</v>
      </c>
      <c r="CC40" s="205" t="s">
        <v>114</v>
      </c>
      <c r="CD40" s="447" t="s">
        <v>132</v>
      </c>
      <c r="CE40" s="447" t="str">
        <f t="shared" si="0"/>
        <v>Aquarius - Air</v>
      </c>
    </row>
    <row r="41" spans="1:83">
      <c r="CA41" s="446">
        <v>43870</v>
      </c>
      <c r="CB41" s="205" t="str">
        <f t="shared" si="3"/>
        <v>09-Feb</v>
      </c>
      <c r="CC41" s="205" t="s">
        <v>114</v>
      </c>
      <c r="CD41" s="447" t="s">
        <v>132</v>
      </c>
      <c r="CE41" s="447" t="str">
        <f t="shared" si="0"/>
        <v>Aquarius - Air</v>
      </c>
    </row>
    <row r="42" spans="1:83">
      <c r="CA42" s="446">
        <v>43871</v>
      </c>
      <c r="CB42" s="205" t="str">
        <f t="shared" si="3"/>
        <v>10-Feb</v>
      </c>
      <c r="CC42" s="205" t="s">
        <v>114</v>
      </c>
      <c r="CD42" s="447" t="s">
        <v>132</v>
      </c>
      <c r="CE42" s="447" t="str">
        <f t="shared" si="0"/>
        <v>Aquarius - Air</v>
      </c>
    </row>
    <row r="43" spans="1:83">
      <c r="CA43" s="446">
        <v>43872</v>
      </c>
      <c r="CB43" s="205" t="str">
        <f t="shared" si="3"/>
        <v>11-Feb</v>
      </c>
      <c r="CC43" s="205" t="s">
        <v>114</v>
      </c>
      <c r="CD43" s="447" t="s">
        <v>132</v>
      </c>
      <c r="CE43" s="447" t="str">
        <f t="shared" si="0"/>
        <v>Aquarius - Air</v>
      </c>
    </row>
    <row r="44" spans="1:83">
      <c r="CA44" s="446">
        <v>43873</v>
      </c>
      <c r="CB44" s="205" t="str">
        <f t="shared" si="3"/>
        <v>12-Feb</v>
      </c>
      <c r="CC44" s="205" t="s">
        <v>114</v>
      </c>
      <c r="CD44" s="447" t="s">
        <v>132</v>
      </c>
      <c r="CE44" s="447" t="str">
        <f t="shared" si="0"/>
        <v>Aquarius - Air</v>
      </c>
    </row>
    <row r="45" spans="1:83">
      <c r="CA45" s="446">
        <v>43874</v>
      </c>
      <c r="CB45" s="205" t="str">
        <f t="shared" si="3"/>
        <v>13-Feb</v>
      </c>
      <c r="CC45" s="205" t="s">
        <v>114</v>
      </c>
      <c r="CD45" s="447" t="s">
        <v>132</v>
      </c>
      <c r="CE45" s="447" t="str">
        <f t="shared" si="0"/>
        <v>Aquarius - Air</v>
      </c>
    </row>
    <row r="46" spans="1:83">
      <c r="CA46" s="446">
        <v>43875</v>
      </c>
      <c r="CB46" s="205" t="str">
        <f t="shared" si="3"/>
        <v>14-Feb</v>
      </c>
      <c r="CC46" s="205" t="s">
        <v>114</v>
      </c>
      <c r="CD46" s="447" t="s">
        <v>132</v>
      </c>
      <c r="CE46" s="447" t="str">
        <f t="shared" si="0"/>
        <v>Aquarius - Air</v>
      </c>
    </row>
    <row r="47" spans="1:83">
      <c r="CA47" s="446">
        <v>43876</v>
      </c>
      <c r="CB47" s="205" t="str">
        <f t="shared" si="3"/>
        <v>15-Feb</v>
      </c>
      <c r="CC47" s="205" t="s">
        <v>114</v>
      </c>
      <c r="CD47" s="447" t="s">
        <v>132</v>
      </c>
      <c r="CE47" s="447" t="str">
        <f t="shared" si="0"/>
        <v>Aquarius - Air</v>
      </c>
    </row>
    <row r="48" spans="1:83">
      <c r="CA48" s="446">
        <v>43877</v>
      </c>
      <c r="CB48" s="205" t="str">
        <f t="shared" si="3"/>
        <v>16-Feb</v>
      </c>
      <c r="CC48" s="205" t="s">
        <v>114</v>
      </c>
      <c r="CD48" s="447" t="s">
        <v>132</v>
      </c>
      <c r="CE48" s="447" t="str">
        <f t="shared" si="0"/>
        <v>Aquarius - Air</v>
      </c>
    </row>
    <row r="49" spans="79:83">
      <c r="CA49" s="446">
        <v>43878</v>
      </c>
      <c r="CB49" s="205" t="str">
        <f t="shared" si="3"/>
        <v>17-Feb</v>
      </c>
      <c r="CC49" s="205" t="s">
        <v>114</v>
      </c>
      <c r="CD49" s="447" t="s">
        <v>132</v>
      </c>
      <c r="CE49" s="447" t="str">
        <f t="shared" si="0"/>
        <v>Aquarius - Air</v>
      </c>
    </row>
    <row r="50" spans="79:83">
      <c r="CA50" s="446">
        <v>43879</v>
      </c>
      <c r="CB50" s="205" t="str">
        <f t="shared" si="3"/>
        <v>18-Feb</v>
      </c>
      <c r="CC50" s="205" t="s">
        <v>114</v>
      </c>
      <c r="CD50" s="447" t="s">
        <v>132</v>
      </c>
      <c r="CE50" s="447" t="str">
        <f t="shared" si="0"/>
        <v>Aquarius - Air</v>
      </c>
    </row>
    <row r="51" spans="79:83">
      <c r="CA51" s="446">
        <v>43880</v>
      </c>
      <c r="CB51" s="205" t="str">
        <f t="shared" si="3"/>
        <v>19-Feb</v>
      </c>
      <c r="CC51" s="205" t="s">
        <v>115</v>
      </c>
      <c r="CD51" s="447" t="s">
        <v>131</v>
      </c>
      <c r="CE51" s="447" t="str">
        <f t="shared" si="0"/>
        <v>Pisces - Water</v>
      </c>
    </row>
    <row r="52" spans="79:83">
      <c r="CA52" s="446">
        <v>43881</v>
      </c>
      <c r="CB52" s="205" t="str">
        <f t="shared" si="3"/>
        <v>20-Feb</v>
      </c>
      <c r="CC52" s="205" t="s">
        <v>115</v>
      </c>
      <c r="CD52" s="447" t="s">
        <v>131</v>
      </c>
      <c r="CE52" s="447" t="str">
        <f t="shared" si="0"/>
        <v>Pisces - Water</v>
      </c>
    </row>
    <row r="53" spans="79:83">
      <c r="CA53" s="446">
        <v>43882</v>
      </c>
      <c r="CB53" s="205" t="str">
        <f t="shared" si="3"/>
        <v>21-Feb</v>
      </c>
      <c r="CC53" s="205" t="s">
        <v>115</v>
      </c>
      <c r="CD53" s="447" t="s">
        <v>131</v>
      </c>
      <c r="CE53" s="447" t="str">
        <f t="shared" si="0"/>
        <v>Pisces - Water</v>
      </c>
    </row>
    <row r="54" spans="79:83">
      <c r="CA54" s="446">
        <v>43883</v>
      </c>
      <c r="CB54" s="205" t="str">
        <f t="shared" si="3"/>
        <v>22-Feb</v>
      </c>
      <c r="CC54" s="205" t="s">
        <v>115</v>
      </c>
      <c r="CD54" s="447" t="s">
        <v>131</v>
      </c>
      <c r="CE54" s="447" t="str">
        <f t="shared" si="0"/>
        <v>Pisces - Water</v>
      </c>
    </row>
    <row r="55" spans="79:83">
      <c r="CA55" s="446">
        <v>43884</v>
      </c>
      <c r="CB55" s="205" t="str">
        <f t="shared" si="3"/>
        <v>23-Feb</v>
      </c>
      <c r="CC55" s="205" t="s">
        <v>115</v>
      </c>
      <c r="CD55" s="447" t="s">
        <v>131</v>
      </c>
      <c r="CE55" s="447" t="str">
        <f t="shared" si="0"/>
        <v>Pisces - Water</v>
      </c>
    </row>
    <row r="56" spans="79:83">
      <c r="CA56" s="446">
        <v>43885</v>
      </c>
      <c r="CB56" s="205" t="str">
        <f t="shared" si="3"/>
        <v>24-Feb</v>
      </c>
      <c r="CC56" s="205" t="s">
        <v>115</v>
      </c>
      <c r="CD56" s="447" t="s">
        <v>131</v>
      </c>
      <c r="CE56" s="447" t="str">
        <f t="shared" si="0"/>
        <v>Pisces - Water</v>
      </c>
    </row>
    <row r="57" spans="79:83">
      <c r="CA57" s="446">
        <v>43886</v>
      </c>
      <c r="CB57" s="205" t="str">
        <f t="shared" si="3"/>
        <v>25-Feb</v>
      </c>
      <c r="CC57" s="205" t="s">
        <v>115</v>
      </c>
      <c r="CD57" s="447" t="s">
        <v>131</v>
      </c>
      <c r="CE57" s="447" t="str">
        <f t="shared" si="0"/>
        <v>Pisces - Water</v>
      </c>
    </row>
    <row r="58" spans="79:83">
      <c r="CA58" s="446">
        <v>43887</v>
      </c>
      <c r="CB58" s="205" t="str">
        <f t="shared" si="3"/>
        <v>26-Feb</v>
      </c>
      <c r="CC58" s="205" t="s">
        <v>115</v>
      </c>
      <c r="CD58" s="447" t="s">
        <v>131</v>
      </c>
      <c r="CE58" s="447" t="str">
        <f t="shared" si="0"/>
        <v>Pisces - Water</v>
      </c>
    </row>
    <row r="59" spans="79:83">
      <c r="CA59" s="446">
        <v>43888</v>
      </c>
      <c r="CB59" s="205" t="str">
        <f t="shared" si="3"/>
        <v>27-Feb</v>
      </c>
      <c r="CC59" s="205" t="s">
        <v>115</v>
      </c>
      <c r="CD59" s="447" t="s">
        <v>131</v>
      </c>
      <c r="CE59" s="447" t="str">
        <f t="shared" si="0"/>
        <v>Pisces - Water</v>
      </c>
    </row>
    <row r="60" spans="79:83">
      <c r="CA60" s="446">
        <v>43889</v>
      </c>
      <c r="CB60" s="205" t="str">
        <f t="shared" si="3"/>
        <v>28-Feb</v>
      </c>
      <c r="CC60" s="205" t="s">
        <v>115</v>
      </c>
      <c r="CD60" s="447" t="s">
        <v>131</v>
      </c>
      <c r="CE60" s="447" t="str">
        <f t="shared" si="0"/>
        <v>Pisces - Water</v>
      </c>
    </row>
    <row r="61" spans="79:83">
      <c r="CA61" s="446">
        <v>43890</v>
      </c>
      <c r="CB61" s="205" t="str">
        <f t="shared" si="3"/>
        <v>29-Feb</v>
      </c>
      <c r="CC61" s="205" t="s">
        <v>115</v>
      </c>
      <c r="CD61" s="447" t="s">
        <v>131</v>
      </c>
      <c r="CE61" s="447" t="str">
        <f t="shared" si="0"/>
        <v>Pisces - Water</v>
      </c>
    </row>
    <row r="62" spans="79:83">
      <c r="CA62" s="446">
        <v>43891</v>
      </c>
      <c r="CB62" s="205" t="str">
        <f t="shared" si="3"/>
        <v>01-Mar</v>
      </c>
      <c r="CC62" s="205" t="s">
        <v>115</v>
      </c>
      <c r="CD62" s="447" t="s">
        <v>131</v>
      </c>
      <c r="CE62" s="447" t="str">
        <f t="shared" si="0"/>
        <v>Pisces - Water</v>
      </c>
    </row>
    <row r="63" spans="79:83">
      <c r="CA63" s="446">
        <v>43892</v>
      </c>
      <c r="CB63" s="205" t="str">
        <f t="shared" si="3"/>
        <v>02-Mar</v>
      </c>
      <c r="CC63" s="205" t="s">
        <v>115</v>
      </c>
      <c r="CD63" s="447" t="s">
        <v>131</v>
      </c>
      <c r="CE63" s="447" t="str">
        <f t="shared" si="0"/>
        <v>Pisces - Water</v>
      </c>
    </row>
    <row r="64" spans="79:83">
      <c r="CA64" s="446">
        <v>43893</v>
      </c>
      <c r="CB64" s="205" t="str">
        <f t="shared" si="3"/>
        <v>03-Mar</v>
      </c>
      <c r="CC64" s="205" t="s">
        <v>115</v>
      </c>
      <c r="CD64" s="447" t="s">
        <v>131</v>
      </c>
      <c r="CE64" s="447" t="str">
        <f t="shared" si="0"/>
        <v>Pisces - Water</v>
      </c>
    </row>
    <row r="65" spans="79:83">
      <c r="CA65" s="446">
        <v>43894</v>
      </c>
      <c r="CB65" s="205" t="str">
        <f t="shared" si="3"/>
        <v>04-Mar</v>
      </c>
      <c r="CC65" s="205" t="s">
        <v>115</v>
      </c>
      <c r="CD65" s="447" t="s">
        <v>131</v>
      </c>
      <c r="CE65" s="447" t="str">
        <f t="shared" ref="CE65:CE128" si="17">CC65&amp;" - "&amp;CD65</f>
        <v>Pisces - Water</v>
      </c>
    </row>
    <row r="66" spans="79:83">
      <c r="CA66" s="446">
        <v>43895</v>
      </c>
      <c r="CB66" s="205" t="str">
        <f t="shared" si="3"/>
        <v>05-Mar</v>
      </c>
      <c r="CC66" s="205" t="s">
        <v>115</v>
      </c>
      <c r="CD66" s="447" t="s">
        <v>131</v>
      </c>
      <c r="CE66" s="447" t="str">
        <f t="shared" si="17"/>
        <v>Pisces - Water</v>
      </c>
    </row>
    <row r="67" spans="79:83">
      <c r="CA67" s="446">
        <v>43896</v>
      </c>
      <c r="CB67" s="205" t="str">
        <f t="shared" ref="CB67:CB130" si="18">TEXT(CA67,"DD-MMM")</f>
        <v>06-Mar</v>
      </c>
      <c r="CC67" s="205" t="s">
        <v>115</v>
      </c>
      <c r="CD67" s="447" t="s">
        <v>131</v>
      </c>
      <c r="CE67" s="447" t="str">
        <f t="shared" si="17"/>
        <v>Pisces - Water</v>
      </c>
    </row>
    <row r="68" spans="79:83">
      <c r="CA68" s="446">
        <v>43897</v>
      </c>
      <c r="CB68" s="205" t="str">
        <f t="shared" si="18"/>
        <v>07-Mar</v>
      </c>
      <c r="CC68" s="205" t="s">
        <v>115</v>
      </c>
      <c r="CD68" s="447" t="s">
        <v>131</v>
      </c>
      <c r="CE68" s="447" t="str">
        <f t="shared" si="17"/>
        <v>Pisces - Water</v>
      </c>
    </row>
    <row r="69" spans="79:83">
      <c r="CA69" s="446">
        <v>43898</v>
      </c>
      <c r="CB69" s="205" t="str">
        <f t="shared" si="18"/>
        <v>08-Mar</v>
      </c>
      <c r="CC69" s="205" t="s">
        <v>115</v>
      </c>
      <c r="CD69" s="447" t="s">
        <v>131</v>
      </c>
      <c r="CE69" s="447" t="str">
        <f t="shared" si="17"/>
        <v>Pisces - Water</v>
      </c>
    </row>
    <row r="70" spans="79:83">
      <c r="CA70" s="446">
        <v>43899</v>
      </c>
      <c r="CB70" s="205" t="str">
        <f t="shared" si="18"/>
        <v>09-Mar</v>
      </c>
      <c r="CC70" s="205" t="s">
        <v>115</v>
      </c>
      <c r="CD70" s="447" t="s">
        <v>131</v>
      </c>
      <c r="CE70" s="447" t="str">
        <f t="shared" si="17"/>
        <v>Pisces - Water</v>
      </c>
    </row>
    <row r="71" spans="79:83">
      <c r="CA71" s="446">
        <v>43900</v>
      </c>
      <c r="CB71" s="205" t="str">
        <f t="shared" si="18"/>
        <v>10-Mar</v>
      </c>
      <c r="CC71" s="205" t="s">
        <v>115</v>
      </c>
      <c r="CD71" s="447" t="s">
        <v>131</v>
      </c>
      <c r="CE71" s="447" t="str">
        <f t="shared" si="17"/>
        <v>Pisces - Water</v>
      </c>
    </row>
    <row r="72" spans="79:83">
      <c r="CA72" s="446">
        <v>43901</v>
      </c>
      <c r="CB72" s="205" t="str">
        <f t="shared" si="18"/>
        <v>11-Mar</v>
      </c>
      <c r="CC72" s="205" t="s">
        <v>115</v>
      </c>
      <c r="CD72" s="447" t="s">
        <v>131</v>
      </c>
      <c r="CE72" s="447" t="str">
        <f t="shared" si="17"/>
        <v>Pisces - Water</v>
      </c>
    </row>
    <row r="73" spans="79:83">
      <c r="CA73" s="446">
        <v>43902</v>
      </c>
      <c r="CB73" s="205" t="str">
        <f t="shared" si="18"/>
        <v>12-Mar</v>
      </c>
      <c r="CC73" s="205" t="s">
        <v>115</v>
      </c>
      <c r="CD73" s="447" t="s">
        <v>131</v>
      </c>
      <c r="CE73" s="447" t="str">
        <f t="shared" si="17"/>
        <v>Pisces - Water</v>
      </c>
    </row>
    <row r="74" spans="79:83">
      <c r="CA74" s="446">
        <v>43903</v>
      </c>
      <c r="CB74" s="205" t="str">
        <f t="shared" si="18"/>
        <v>13-Mar</v>
      </c>
      <c r="CC74" s="205" t="s">
        <v>115</v>
      </c>
      <c r="CD74" s="447" t="s">
        <v>131</v>
      </c>
      <c r="CE74" s="447" t="str">
        <f t="shared" si="17"/>
        <v>Pisces - Water</v>
      </c>
    </row>
    <row r="75" spans="79:83">
      <c r="CA75" s="446">
        <v>43904</v>
      </c>
      <c r="CB75" s="205" t="str">
        <f t="shared" si="18"/>
        <v>14-Mar</v>
      </c>
      <c r="CC75" s="205" t="s">
        <v>115</v>
      </c>
      <c r="CD75" s="447" t="s">
        <v>131</v>
      </c>
      <c r="CE75" s="447" t="str">
        <f t="shared" si="17"/>
        <v>Pisces - Water</v>
      </c>
    </row>
    <row r="76" spans="79:83">
      <c r="CA76" s="446">
        <v>43905</v>
      </c>
      <c r="CB76" s="205" t="str">
        <f t="shared" si="18"/>
        <v>15-Mar</v>
      </c>
      <c r="CC76" s="205" t="s">
        <v>115</v>
      </c>
      <c r="CD76" s="447" t="s">
        <v>131</v>
      </c>
      <c r="CE76" s="447" t="str">
        <f t="shared" si="17"/>
        <v>Pisces - Water</v>
      </c>
    </row>
    <row r="77" spans="79:83">
      <c r="CA77" s="446">
        <v>43906</v>
      </c>
      <c r="CB77" s="205" t="str">
        <f t="shared" si="18"/>
        <v>16-Mar</v>
      </c>
      <c r="CC77" s="205" t="s">
        <v>115</v>
      </c>
      <c r="CD77" s="447" t="s">
        <v>131</v>
      </c>
      <c r="CE77" s="447" t="str">
        <f t="shared" si="17"/>
        <v>Pisces - Water</v>
      </c>
    </row>
    <row r="78" spans="79:83">
      <c r="CA78" s="446">
        <v>43907</v>
      </c>
      <c r="CB78" s="205" t="str">
        <f t="shared" si="18"/>
        <v>17-Mar</v>
      </c>
      <c r="CC78" s="205" t="s">
        <v>115</v>
      </c>
      <c r="CD78" s="447" t="s">
        <v>131</v>
      </c>
      <c r="CE78" s="447" t="str">
        <f t="shared" si="17"/>
        <v>Pisces - Water</v>
      </c>
    </row>
    <row r="79" spans="79:83">
      <c r="CA79" s="446">
        <v>43908</v>
      </c>
      <c r="CB79" s="205" t="str">
        <f t="shared" si="18"/>
        <v>18-Mar</v>
      </c>
      <c r="CC79" s="205" t="s">
        <v>115</v>
      </c>
      <c r="CD79" s="447" t="s">
        <v>131</v>
      </c>
      <c r="CE79" s="447" t="str">
        <f t="shared" si="17"/>
        <v>Pisces - Water</v>
      </c>
    </row>
    <row r="80" spans="79:83">
      <c r="CA80" s="446">
        <v>43909</v>
      </c>
      <c r="CB80" s="205" t="str">
        <f t="shared" si="18"/>
        <v>19-Mar</v>
      </c>
      <c r="CC80" s="205" t="s">
        <v>115</v>
      </c>
      <c r="CD80" s="447" t="s">
        <v>131</v>
      </c>
      <c r="CE80" s="447" t="str">
        <f t="shared" si="17"/>
        <v>Pisces - Water</v>
      </c>
    </row>
    <row r="81" spans="79:83">
      <c r="CA81" s="446">
        <v>43910</v>
      </c>
      <c r="CB81" s="205" t="str">
        <f t="shared" si="18"/>
        <v>20-Mar</v>
      </c>
      <c r="CC81" s="205" t="s">
        <v>115</v>
      </c>
      <c r="CD81" s="447" t="s">
        <v>131</v>
      </c>
      <c r="CE81" s="447" t="str">
        <f t="shared" si="17"/>
        <v>Pisces - Water</v>
      </c>
    </row>
    <row r="82" spans="79:83">
      <c r="CA82" s="446">
        <v>43911</v>
      </c>
      <c r="CB82" s="205" t="str">
        <f t="shared" si="18"/>
        <v>21-Mar</v>
      </c>
      <c r="CC82" s="205" t="s">
        <v>116</v>
      </c>
      <c r="CD82" s="447" t="s">
        <v>129</v>
      </c>
      <c r="CE82" s="447" t="str">
        <f t="shared" si="17"/>
        <v>Aries - Fire</v>
      </c>
    </row>
    <row r="83" spans="79:83">
      <c r="CA83" s="446">
        <v>43912</v>
      </c>
      <c r="CB83" s="205" t="str">
        <f t="shared" si="18"/>
        <v>22-Mar</v>
      </c>
      <c r="CC83" s="205" t="s">
        <v>116</v>
      </c>
      <c r="CD83" s="447" t="s">
        <v>129</v>
      </c>
      <c r="CE83" s="447" t="str">
        <f t="shared" si="17"/>
        <v>Aries - Fire</v>
      </c>
    </row>
    <row r="84" spans="79:83">
      <c r="CA84" s="446">
        <v>43913</v>
      </c>
      <c r="CB84" s="205" t="str">
        <f t="shared" si="18"/>
        <v>23-Mar</v>
      </c>
      <c r="CC84" s="205" t="s">
        <v>116</v>
      </c>
      <c r="CD84" s="447" t="s">
        <v>129</v>
      </c>
      <c r="CE84" s="447" t="str">
        <f t="shared" si="17"/>
        <v>Aries - Fire</v>
      </c>
    </row>
    <row r="85" spans="79:83">
      <c r="CA85" s="446">
        <v>43914</v>
      </c>
      <c r="CB85" s="205" t="str">
        <f t="shared" si="18"/>
        <v>24-Mar</v>
      </c>
      <c r="CC85" s="205" t="s">
        <v>116</v>
      </c>
      <c r="CD85" s="447" t="s">
        <v>129</v>
      </c>
      <c r="CE85" s="447" t="str">
        <f t="shared" si="17"/>
        <v>Aries - Fire</v>
      </c>
    </row>
    <row r="86" spans="79:83">
      <c r="CA86" s="446">
        <v>43915</v>
      </c>
      <c r="CB86" s="205" t="str">
        <f t="shared" si="18"/>
        <v>25-Mar</v>
      </c>
      <c r="CC86" s="205" t="s">
        <v>116</v>
      </c>
      <c r="CD86" s="447" t="s">
        <v>129</v>
      </c>
      <c r="CE86" s="447" t="str">
        <f t="shared" si="17"/>
        <v>Aries - Fire</v>
      </c>
    </row>
    <row r="87" spans="79:83">
      <c r="CA87" s="446">
        <v>43916</v>
      </c>
      <c r="CB87" s="205" t="str">
        <f t="shared" si="18"/>
        <v>26-Mar</v>
      </c>
      <c r="CC87" s="205" t="s">
        <v>116</v>
      </c>
      <c r="CD87" s="447" t="s">
        <v>129</v>
      </c>
      <c r="CE87" s="447" t="str">
        <f t="shared" si="17"/>
        <v>Aries - Fire</v>
      </c>
    </row>
    <row r="88" spans="79:83">
      <c r="CA88" s="446">
        <v>43917</v>
      </c>
      <c r="CB88" s="205" t="str">
        <f t="shared" si="18"/>
        <v>27-Mar</v>
      </c>
      <c r="CC88" s="205" t="s">
        <v>116</v>
      </c>
      <c r="CD88" s="447" t="s">
        <v>129</v>
      </c>
      <c r="CE88" s="447" t="str">
        <f t="shared" si="17"/>
        <v>Aries - Fire</v>
      </c>
    </row>
    <row r="89" spans="79:83">
      <c r="CA89" s="446">
        <v>43918</v>
      </c>
      <c r="CB89" s="205" t="str">
        <f t="shared" si="18"/>
        <v>28-Mar</v>
      </c>
      <c r="CC89" s="205" t="s">
        <v>116</v>
      </c>
      <c r="CD89" s="447" t="s">
        <v>129</v>
      </c>
      <c r="CE89" s="447" t="str">
        <f t="shared" si="17"/>
        <v>Aries - Fire</v>
      </c>
    </row>
    <row r="90" spans="79:83">
      <c r="CA90" s="446">
        <v>43919</v>
      </c>
      <c r="CB90" s="205" t="str">
        <f t="shared" si="18"/>
        <v>29-Mar</v>
      </c>
      <c r="CC90" s="205" t="s">
        <v>116</v>
      </c>
      <c r="CD90" s="447" t="s">
        <v>129</v>
      </c>
      <c r="CE90" s="447" t="str">
        <f t="shared" si="17"/>
        <v>Aries - Fire</v>
      </c>
    </row>
    <row r="91" spans="79:83">
      <c r="CA91" s="446">
        <v>43920</v>
      </c>
      <c r="CB91" s="205" t="str">
        <f t="shared" si="18"/>
        <v>30-Mar</v>
      </c>
      <c r="CC91" s="205" t="s">
        <v>116</v>
      </c>
      <c r="CD91" s="447" t="s">
        <v>129</v>
      </c>
      <c r="CE91" s="447" t="str">
        <f t="shared" si="17"/>
        <v>Aries - Fire</v>
      </c>
    </row>
    <row r="92" spans="79:83">
      <c r="CA92" s="446">
        <v>43921</v>
      </c>
      <c r="CB92" s="205" t="str">
        <f t="shared" si="18"/>
        <v>31-Mar</v>
      </c>
      <c r="CC92" s="205" t="s">
        <v>116</v>
      </c>
      <c r="CD92" s="447" t="s">
        <v>129</v>
      </c>
      <c r="CE92" s="447" t="str">
        <f t="shared" si="17"/>
        <v>Aries - Fire</v>
      </c>
    </row>
    <row r="93" spans="79:83">
      <c r="CA93" s="446">
        <v>43922</v>
      </c>
      <c r="CB93" s="205" t="str">
        <f t="shared" si="18"/>
        <v>01-Apr</v>
      </c>
      <c r="CC93" s="205" t="s">
        <v>116</v>
      </c>
      <c r="CD93" s="447" t="s">
        <v>129</v>
      </c>
      <c r="CE93" s="447" t="str">
        <f t="shared" si="17"/>
        <v>Aries - Fire</v>
      </c>
    </row>
    <row r="94" spans="79:83">
      <c r="CA94" s="446">
        <v>43923</v>
      </c>
      <c r="CB94" s="205" t="str">
        <f t="shared" si="18"/>
        <v>02-Apr</v>
      </c>
      <c r="CC94" s="205" t="s">
        <v>116</v>
      </c>
      <c r="CD94" s="447" t="s">
        <v>129</v>
      </c>
      <c r="CE94" s="447" t="str">
        <f t="shared" si="17"/>
        <v>Aries - Fire</v>
      </c>
    </row>
    <row r="95" spans="79:83">
      <c r="CA95" s="446">
        <v>43924</v>
      </c>
      <c r="CB95" s="205" t="str">
        <f t="shared" si="18"/>
        <v>03-Apr</v>
      </c>
      <c r="CC95" s="205" t="s">
        <v>116</v>
      </c>
      <c r="CD95" s="447" t="s">
        <v>129</v>
      </c>
      <c r="CE95" s="447" t="str">
        <f t="shared" si="17"/>
        <v>Aries - Fire</v>
      </c>
    </row>
    <row r="96" spans="79:83">
      <c r="CA96" s="446">
        <v>43925</v>
      </c>
      <c r="CB96" s="205" t="str">
        <f t="shared" si="18"/>
        <v>04-Apr</v>
      </c>
      <c r="CC96" s="205" t="s">
        <v>116</v>
      </c>
      <c r="CD96" s="447" t="s">
        <v>129</v>
      </c>
      <c r="CE96" s="447" t="str">
        <f t="shared" si="17"/>
        <v>Aries - Fire</v>
      </c>
    </row>
    <row r="97" spans="79:83">
      <c r="CA97" s="446">
        <v>43926</v>
      </c>
      <c r="CB97" s="205" t="str">
        <f t="shared" si="18"/>
        <v>05-Apr</v>
      </c>
      <c r="CC97" s="205" t="s">
        <v>116</v>
      </c>
      <c r="CD97" s="447" t="s">
        <v>129</v>
      </c>
      <c r="CE97" s="447" t="str">
        <f t="shared" si="17"/>
        <v>Aries - Fire</v>
      </c>
    </row>
    <row r="98" spans="79:83">
      <c r="CA98" s="446">
        <v>43927</v>
      </c>
      <c r="CB98" s="205" t="str">
        <f t="shared" si="18"/>
        <v>06-Apr</v>
      </c>
      <c r="CC98" s="205" t="s">
        <v>116</v>
      </c>
      <c r="CD98" s="447" t="s">
        <v>129</v>
      </c>
      <c r="CE98" s="447" t="str">
        <f t="shared" si="17"/>
        <v>Aries - Fire</v>
      </c>
    </row>
    <row r="99" spans="79:83">
      <c r="CA99" s="446">
        <v>43928</v>
      </c>
      <c r="CB99" s="205" t="str">
        <f t="shared" si="18"/>
        <v>07-Apr</v>
      </c>
      <c r="CC99" s="205" t="s">
        <v>116</v>
      </c>
      <c r="CD99" s="447" t="s">
        <v>129</v>
      </c>
      <c r="CE99" s="447" t="str">
        <f t="shared" si="17"/>
        <v>Aries - Fire</v>
      </c>
    </row>
    <row r="100" spans="79:83">
      <c r="CA100" s="446">
        <v>43929</v>
      </c>
      <c r="CB100" s="205" t="str">
        <f t="shared" si="18"/>
        <v>08-Apr</v>
      </c>
      <c r="CC100" s="205" t="s">
        <v>116</v>
      </c>
      <c r="CD100" s="447" t="s">
        <v>129</v>
      </c>
      <c r="CE100" s="447" t="str">
        <f t="shared" si="17"/>
        <v>Aries - Fire</v>
      </c>
    </row>
    <row r="101" spans="79:83">
      <c r="CA101" s="446">
        <v>43930</v>
      </c>
      <c r="CB101" s="205" t="str">
        <f t="shared" si="18"/>
        <v>09-Apr</v>
      </c>
      <c r="CC101" s="205" t="s">
        <v>116</v>
      </c>
      <c r="CD101" s="447" t="s">
        <v>129</v>
      </c>
      <c r="CE101" s="447" t="str">
        <f t="shared" si="17"/>
        <v>Aries - Fire</v>
      </c>
    </row>
    <row r="102" spans="79:83">
      <c r="CA102" s="446">
        <v>43931</v>
      </c>
      <c r="CB102" s="205" t="str">
        <f t="shared" si="18"/>
        <v>10-Apr</v>
      </c>
      <c r="CC102" s="205" t="s">
        <v>116</v>
      </c>
      <c r="CD102" s="447" t="s">
        <v>129</v>
      </c>
      <c r="CE102" s="447" t="str">
        <f t="shared" si="17"/>
        <v>Aries - Fire</v>
      </c>
    </row>
    <row r="103" spans="79:83">
      <c r="CA103" s="446">
        <v>43932</v>
      </c>
      <c r="CB103" s="205" t="str">
        <f t="shared" si="18"/>
        <v>11-Apr</v>
      </c>
      <c r="CC103" s="205" t="s">
        <v>116</v>
      </c>
      <c r="CD103" s="447" t="s">
        <v>129</v>
      </c>
      <c r="CE103" s="447" t="str">
        <f t="shared" si="17"/>
        <v>Aries - Fire</v>
      </c>
    </row>
    <row r="104" spans="79:83">
      <c r="CA104" s="446">
        <v>43933</v>
      </c>
      <c r="CB104" s="205" t="str">
        <f t="shared" si="18"/>
        <v>12-Apr</v>
      </c>
      <c r="CC104" s="205" t="s">
        <v>116</v>
      </c>
      <c r="CD104" s="447" t="s">
        <v>129</v>
      </c>
      <c r="CE104" s="447" t="str">
        <f t="shared" si="17"/>
        <v>Aries - Fire</v>
      </c>
    </row>
    <row r="105" spans="79:83">
      <c r="CA105" s="446">
        <v>43934</v>
      </c>
      <c r="CB105" s="205" t="str">
        <f t="shared" si="18"/>
        <v>13-Apr</v>
      </c>
      <c r="CC105" s="205" t="s">
        <v>116</v>
      </c>
      <c r="CD105" s="447" t="s">
        <v>129</v>
      </c>
      <c r="CE105" s="447" t="str">
        <f t="shared" si="17"/>
        <v>Aries - Fire</v>
      </c>
    </row>
    <row r="106" spans="79:83">
      <c r="CA106" s="446">
        <v>43935</v>
      </c>
      <c r="CB106" s="205" t="str">
        <f t="shared" si="18"/>
        <v>14-Apr</v>
      </c>
      <c r="CC106" s="205" t="s">
        <v>116</v>
      </c>
      <c r="CD106" s="447" t="s">
        <v>129</v>
      </c>
      <c r="CE106" s="447" t="str">
        <f t="shared" si="17"/>
        <v>Aries - Fire</v>
      </c>
    </row>
    <row r="107" spans="79:83">
      <c r="CA107" s="446">
        <v>43936</v>
      </c>
      <c r="CB107" s="205" t="str">
        <f t="shared" si="18"/>
        <v>15-Apr</v>
      </c>
      <c r="CC107" s="205" t="s">
        <v>116</v>
      </c>
      <c r="CD107" s="447" t="s">
        <v>129</v>
      </c>
      <c r="CE107" s="447" t="str">
        <f t="shared" si="17"/>
        <v>Aries - Fire</v>
      </c>
    </row>
    <row r="108" spans="79:83">
      <c r="CA108" s="446">
        <v>43937</v>
      </c>
      <c r="CB108" s="205" t="str">
        <f t="shared" si="18"/>
        <v>16-Apr</v>
      </c>
      <c r="CC108" s="205" t="s">
        <v>116</v>
      </c>
      <c r="CD108" s="447" t="s">
        <v>129</v>
      </c>
      <c r="CE108" s="447" t="str">
        <f t="shared" si="17"/>
        <v>Aries - Fire</v>
      </c>
    </row>
    <row r="109" spans="79:83">
      <c r="CA109" s="446">
        <v>43938</v>
      </c>
      <c r="CB109" s="205" t="str">
        <f t="shared" si="18"/>
        <v>17-Apr</v>
      </c>
      <c r="CC109" s="205" t="s">
        <v>116</v>
      </c>
      <c r="CD109" s="447" t="s">
        <v>129</v>
      </c>
      <c r="CE109" s="447" t="str">
        <f t="shared" si="17"/>
        <v>Aries - Fire</v>
      </c>
    </row>
    <row r="110" spans="79:83">
      <c r="CA110" s="446">
        <v>43939</v>
      </c>
      <c r="CB110" s="205" t="str">
        <f t="shared" si="18"/>
        <v>18-Apr</v>
      </c>
      <c r="CC110" s="205" t="s">
        <v>116</v>
      </c>
      <c r="CD110" s="447" t="s">
        <v>129</v>
      </c>
      <c r="CE110" s="447" t="str">
        <f t="shared" si="17"/>
        <v>Aries - Fire</v>
      </c>
    </row>
    <row r="111" spans="79:83">
      <c r="CA111" s="446">
        <v>43940</v>
      </c>
      <c r="CB111" s="205" t="str">
        <f t="shared" si="18"/>
        <v>19-Apr</v>
      </c>
      <c r="CC111" s="205" t="s">
        <v>116</v>
      </c>
      <c r="CD111" s="447" t="s">
        <v>129</v>
      </c>
      <c r="CE111" s="447" t="str">
        <f t="shared" si="17"/>
        <v>Aries - Fire</v>
      </c>
    </row>
    <row r="112" spans="79:83">
      <c r="CA112" s="446">
        <v>43941</v>
      </c>
      <c r="CB112" s="205" t="str">
        <f t="shared" si="18"/>
        <v>20-Apr</v>
      </c>
      <c r="CC112" s="205" t="s">
        <v>117</v>
      </c>
      <c r="CD112" s="447" t="s">
        <v>130</v>
      </c>
      <c r="CE112" s="447" t="str">
        <f t="shared" si="17"/>
        <v>Taurus - Earth</v>
      </c>
    </row>
    <row r="113" spans="79:83">
      <c r="CA113" s="446">
        <v>43942</v>
      </c>
      <c r="CB113" s="205" t="str">
        <f t="shared" si="18"/>
        <v>21-Apr</v>
      </c>
      <c r="CC113" s="205" t="s">
        <v>117</v>
      </c>
      <c r="CD113" s="447" t="s">
        <v>130</v>
      </c>
      <c r="CE113" s="447" t="str">
        <f t="shared" si="17"/>
        <v>Taurus - Earth</v>
      </c>
    </row>
    <row r="114" spans="79:83">
      <c r="CA114" s="446">
        <v>43943</v>
      </c>
      <c r="CB114" s="205" t="str">
        <f t="shared" si="18"/>
        <v>22-Apr</v>
      </c>
      <c r="CC114" s="205" t="s">
        <v>117</v>
      </c>
      <c r="CD114" s="447" t="s">
        <v>130</v>
      </c>
      <c r="CE114" s="447" t="str">
        <f t="shared" si="17"/>
        <v>Taurus - Earth</v>
      </c>
    </row>
    <row r="115" spans="79:83">
      <c r="CA115" s="446">
        <v>43944</v>
      </c>
      <c r="CB115" s="205" t="str">
        <f t="shared" si="18"/>
        <v>23-Apr</v>
      </c>
      <c r="CC115" s="205" t="s">
        <v>117</v>
      </c>
      <c r="CD115" s="447" t="s">
        <v>130</v>
      </c>
      <c r="CE115" s="447" t="str">
        <f t="shared" si="17"/>
        <v>Taurus - Earth</v>
      </c>
    </row>
    <row r="116" spans="79:83">
      <c r="CA116" s="446">
        <v>43945</v>
      </c>
      <c r="CB116" s="205" t="str">
        <f t="shared" si="18"/>
        <v>24-Apr</v>
      </c>
      <c r="CC116" s="205" t="s">
        <v>117</v>
      </c>
      <c r="CD116" s="447" t="s">
        <v>130</v>
      </c>
      <c r="CE116" s="447" t="str">
        <f t="shared" si="17"/>
        <v>Taurus - Earth</v>
      </c>
    </row>
    <row r="117" spans="79:83">
      <c r="CA117" s="446">
        <v>43946</v>
      </c>
      <c r="CB117" s="205" t="str">
        <f t="shared" si="18"/>
        <v>25-Apr</v>
      </c>
      <c r="CC117" s="205" t="s">
        <v>117</v>
      </c>
      <c r="CD117" s="447" t="s">
        <v>130</v>
      </c>
      <c r="CE117" s="447" t="str">
        <f t="shared" si="17"/>
        <v>Taurus - Earth</v>
      </c>
    </row>
    <row r="118" spans="79:83">
      <c r="CA118" s="446">
        <v>43947</v>
      </c>
      <c r="CB118" s="205" t="str">
        <f t="shared" si="18"/>
        <v>26-Apr</v>
      </c>
      <c r="CC118" s="205" t="s">
        <v>117</v>
      </c>
      <c r="CD118" s="447" t="s">
        <v>130</v>
      </c>
      <c r="CE118" s="447" t="str">
        <f t="shared" si="17"/>
        <v>Taurus - Earth</v>
      </c>
    </row>
    <row r="119" spans="79:83">
      <c r="CA119" s="446">
        <v>43948</v>
      </c>
      <c r="CB119" s="205" t="str">
        <f t="shared" si="18"/>
        <v>27-Apr</v>
      </c>
      <c r="CC119" s="205" t="s">
        <v>117</v>
      </c>
      <c r="CD119" s="447" t="s">
        <v>130</v>
      </c>
      <c r="CE119" s="447" t="str">
        <f t="shared" si="17"/>
        <v>Taurus - Earth</v>
      </c>
    </row>
    <row r="120" spans="79:83">
      <c r="CA120" s="446">
        <v>43949</v>
      </c>
      <c r="CB120" s="205" t="str">
        <f t="shared" si="18"/>
        <v>28-Apr</v>
      </c>
      <c r="CC120" s="205" t="s">
        <v>117</v>
      </c>
      <c r="CD120" s="447" t="s">
        <v>130</v>
      </c>
      <c r="CE120" s="447" t="str">
        <f t="shared" si="17"/>
        <v>Taurus - Earth</v>
      </c>
    </row>
    <row r="121" spans="79:83">
      <c r="CA121" s="446">
        <v>43950</v>
      </c>
      <c r="CB121" s="205" t="str">
        <f t="shared" si="18"/>
        <v>29-Apr</v>
      </c>
      <c r="CC121" s="205" t="s">
        <v>117</v>
      </c>
      <c r="CD121" s="447" t="s">
        <v>130</v>
      </c>
      <c r="CE121" s="447" t="str">
        <f t="shared" si="17"/>
        <v>Taurus - Earth</v>
      </c>
    </row>
    <row r="122" spans="79:83">
      <c r="CA122" s="446">
        <v>43951</v>
      </c>
      <c r="CB122" s="205" t="str">
        <f t="shared" si="18"/>
        <v>30-Apr</v>
      </c>
      <c r="CC122" s="205" t="s">
        <v>117</v>
      </c>
      <c r="CD122" s="447" t="s">
        <v>130</v>
      </c>
      <c r="CE122" s="447" t="str">
        <f t="shared" si="17"/>
        <v>Taurus - Earth</v>
      </c>
    </row>
    <row r="123" spans="79:83">
      <c r="CA123" s="446">
        <v>43952</v>
      </c>
      <c r="CB123" s="205" t="str">
        <f t="shared" si="18"/>
        <v>01-May</v>
      </c>
      <c r="CC123" s="205" t="s">
        <v>117</v>
      </c>
      <c r="CD123" s="447" t="s">
        <v>130</v>
      </c>
      <c r="CE123" s="447" t="str">
        <f t="shared" si="17"/>
        <v>Taurus - Earth</v>
      </c>
    </row>
    <row r="124" spans="79:83">
      <c r="CA124" s="446">
        <v>43953</v>
      </c>
      <c r="CB124" s="205" t="str">
        <f t="shared" si="18"/>
        <v>02-May</v>
      </c>
      <c r="CC124" s="205" t="s">
        <v>117</v>
      </c>
      <c r="CD124" s="447" t="s">
        <v>130</v>
      </c>
      <c r="CE124" s="447" t="str">
        <f t="shared" si="17"/>
        <v>Taurus - Earth</v>
      </c>
    </row>
    <row r="125" spans="79:83">
      <c r="CA125" s="446">
        <v>43954</v>
      </c>
      <c r="CB125" s="205" t="str">
        <f t="shared" si="18"/>
        <v>03-May</v>
      </c>
      <c r="CC125" s="205" t="s">
        <v>117</v>
      </c>
      <c r="CD125" s="447" t="s">
        <v>130</v>
      </c>
      <c r="CE125" s="447" t="str">
        <f t="shared" si="17"/>
        <v>Taurus - Earth</v>
      </c>
    </row>
    <row r="126" spans="79:83">
      <c r="CA126" s="446">
        <v>43955</v>
      </c>
      <c r="CB126" s="205" t="str">
        <f t="shared" si="18"/>
        <v>04-May</v>
      </c>
      <c r="CC126" s="205" t="s">
        <v>117</v>
      </c>
      <c r="CD126" s="447" t="s">
        <v>130</v>
      </c>
      <c r="CE126" s="447" t="str">
        <f t="shared" si="17"/>
        <v>Taurus - Earth</v>
      </c>
    </row>
    <row r="127" spans="79:83">
      <c r="CA127" s="446">
        <v>43956</v>
      </c>
      <c r="CB127" s="205" t="str">
        <f t="shared" si="18"/>
        <v>05-May</v>
      </c>
      <c r="CC127" s="205" t="s">
        <v>117</v>
      </c>
      <c r="CD127" s="447" t="s">
        <v>130</v>
      </c>
      <c r="CE127" s="447" t="str">
        <f t="shared" si="17"/>
        <v>Taurus - Earth</v>
      </c>
    </row>
    <row r="128" spans="79:83">
      <c r="CA128" s="446">
        <v>43957</v>
      </c>
      <c r="CB128" s="205" t="str">
        <f t="shared" si="18"/>
        <v>06-May</v>
      </c>
      <c r="CC128" s="205" t="s">
        <v>117</v>
      </c>
      <c r="CD128" s="447" t="s">
        <v>130</v>
      </c>
      <c r="CE128" s="447" t="str">
        <f t="shared" si="17"/>
        <v>Taurus - Earth</v>
      </c>
    </row>
    <row r="129" spans="79:83">
      <c r="CA129" s="446">
        <v>43958</v>
      </c>
      <c r="CB129" s="205" t="str">
        <f t="shared" si="18"/>
        <v>07-May</v>
      </c>
      <c r="CC129" s="205" t="s">
        <v>117</v>
      </c>
      <c r="CD129" s="447" t="s">
        <v>130</v>
      </c>
      <c r="CE129" s="447" t="str">
        <f t="shared" ref="CE129:CE192" si="19">CC129&amp;" - "&amp;CD129</f>
        <v>Taurus - Earth</v>
      </c>
    </row>
    <row r="130" spans="79:83">
      <c r="CA130" s="446">
        <v>43959</v>
      </c>
      <c r="CB130" s="205" t="str">
        <f t="shared" si="18"/>
        <v>08-May</v>
      </c>
      <c r="CC130" s="205" t="s">
        <v>117</v>
      </c>
      <c r="CD130" s="447" t="s">
        <v>130</v>
      </c>
      <c r="CE130" s="447" t="str">
        <f t="shared" si="19"/>
        <v>Taurus - Earth</v>
      </c>
    </row>
    <row r="131" spans="79:83">
      <c r="CA131" s="446">
        <v>43960</v>
      </c>
      <c r="CB131" s="205" t="str">
        <f t="shared" ref="CB131:CB194" si="20">TEXT(CA131,"DD-MMM")</f>
        <v>09-May</v>
      </c>
      <c r="CC131" s="205" t="s">
        <v>117</v>
      </c>
      <c r="CD131" s="447" t="s">
        <v>130</v>
      </c>
      <c r="CE131" s="447" t="str">
        <f t="shared" si="19"/>
        <v>Taurus - Earth</v>
      </c>
    </row>
    <row r="132" spans="79:83">
      <c r="CA132" s="446">
        <v>43961</v>
      </c>
      <c r="CB132" s="205" t="str">
        <f t="shared" si="20"/>
        <v>10-May</v>
      </c>
      <c r="CC132" s="205" t="s">
        <v>117</v>
      </c>
      <c r="CD132" s="447" t="s">
        <v>130</v>
      </c>
      <c r="CE132" s="447" t="str">
        <f t="shared" si="19"/>
        <v>Taurus - Earth</v>
      </c>
    </row>
    <row r="133" spans="79:83">
      <c r="CA133" s="446">
        <v>43962</v>
      </c>
      <c r="CB133" s="205" t="str">
        <f t="shared" si="20"/>
        <v>11-May</v>
      </c>
      <c r="CC133" s="205" t="s">
        <v>117</v>
      </c>
      <c r="CD133" s="447" t="s">
        <v>130</v>
      </c>
      <c r="CE133" s="447" t="str">
        <f t="shared" si="19"/>
        <v>Taurus - Earth</v>
      </c>
    </row>
    <row r="134" spans="79:83">
      <c r="CA134" s="446">
        <v>43963</v>
      </c>
      <c r="CB134" s="205" t="str">
        <f t="shared" si="20"/>
        <v>12-May</v>
      </c>
      <c r="CC134" s="205" t="s">
        <v>117</v>
      </c>
      <c r="CD134" s="447" t="s">
        <v>130</v>
      </c>
      <c r="CE134" s="447" t="str">
        <f t="shared" si="19"/>
        <v>Taurus - Earth</v>
      </c>
    </row>
    <row r="135" spans="79:83">
      <c r="CA135" s="446">
        <v>43964</v>
      </c>
      <c r="CB135" s="205" t="str">
        <f t="shared" si="20"/>
        <v>13-May</v>
      </c>
      <c r="CC135" s="205" t="s">
        <v>117</v>
      </c>
      <c r="CD135" s="447" t="s">
        <v>130</v>
      </c>
      <c r="CE135" s="447" t="str">
        <f t="shared" si="19"/>
        <v>Taurus - Earth</v>
      </c>
    </row>
    <row r="136" spans="79:83">
      <c r="CA136" s="446">
        <v>43965</v>
      </c>
      <c r="CB136" s="205" t="str">
        <f t="shared" si="20"/>
        <v>14-May</v>
      </c>
      <c r="CC136" s="205" t="s">
        <v>117</v>
      </c>
      <c r="CD136" s="447" t="s">
        <v>130</v>
      </c>
      <c r="CE136" s="447" t="str">
        <f t="shared" si="19"/>
        <v>Taurus - Earth</v>
      </c>
    </row>
    <row r="137" spans="79:83">
      <c r="CA137" s="446">
        <v>43966</v>
      </c>
      <c r="CB137" s="205" t="str">
        <f t="shared" si="20"/>
        <v>15-May</v>
      </c>
      <c r="CC137" s="205" t="s">
        <v>117</v>
      </c>
      <c r="CD137" s="447" t="s">
        <v>130</v>
      </c>
      <c r="CE137" s="447" t="str">
        <f t="shared" si="19"/>
        <v>Taurus - Earth</v>
      </c>
    </row>
    <row r="138" spans="79:83">
      <c r="CA138" s="446">
        <v>43967</v>
      </c>
      <c r="CB138" s="205" t="str">
        <f t="shared" si="20"/>
        <v>16-May</v>
      </c>
      <c r="CC138" s="205" t="s">
        <v>117</v>
      </c>
      <c r="CD138" s="447" t="s">
        <v>130</v>
      </c>
      <c r="CE138" s="447" t="str">
        <f t="shared" si="19"/>
        <v>Taurus - Earth</v>
      </c>
    </row>
    <row r="139" spans="79:83">
      <c r="CA139" s="446">
        <v>43968</v>
      </c>
      <c r="CB139" s="205" t="str">
        <f t="shared" si="20"/>
        <v>17-May</v>
      </c>
      <c r="CC139" s="205" t="s">
        <v>117</v>
      </c>
      <c r="CD139" s="447" t="s">
        <v>130</v>
      </c>
      <c r="CE139" s="447" t="str">
        <f t="shared" si="19"/>
        <v>Taurus - Earth</v>
      </c>
    </row>
    <row r="140" spans="79:83">
      <c r="CA140" s="446">
        <v>43969</v>
      </c>
      <c r="CB140" s="205" t="str">
        <f t="shared" si="20"/>
        <v>18-May</v>
      </c>
      <c r="CC140" s="205" t="s">
        <v>117</v>
      </c>
      <c r="CD140" s="447" t="s">
        <v>130</v>
      </c>
      <c r="CE140" s="447" t="str">
        <f t="shared" si="19"/>
        <v>Taurus - Earth</v>
      </c>
    </row>
    <row r="141" spans="79:83">
      <c r="CA141" s="446">
        <v>43970</v>
      </c>
      <c r="CB141" s="205" t="str">
        <f t="shared" si="20"/>
        <v>19-May</v>
      </c>
      <c r="CC141" s="205" t="s">
        <v>117</v>
      </c>
      <c r="CD141" s="447" t="s">
        <v>130</v>
      </c>
      <c r="CE141" s="447" t="str">
        <f t="shared" si="19"/>
        <v>Taurus - Earth</v>
      </c>
    </row>
    <row r="142" spans="79:83">
      <c r="CA142" s="446">
        <v>43971</v>
      </c>
      <c r="CB142" s="205" t="str">
        <f t="shared" si="20"/>
        <v>20-May</v>
      </c>
      <c r="CC142" s="205" t="s">
        <v>117</v>
      </c>
      <c r="CD142" s="447" t="s">
        <v>130</v>
      </c>
      <c r="CE142" s="447" t="str">
        <f t="shared" si="19"/>
        <v>Taurus - Earth</v>
      </c>
    </row>
    <row r="143" spans="79:83">
      <c r="CA143" s="446">
        <v>43972</v>
      </c>
      <c r="CB143" s="205" t="str">
        <f t="shared" si="20"/>
        <v>21-May</v>
      </c>
      <c r="CC143" s="205" t="s">
        <v>118</v>
      </c>
      <c r="CD143" s="447" t="s">
        <v>132</v>
      </c>
      <c r="CE143" s="447" t="str">
        <f t="shared" si="19"/>
        <v>Gemini - Air</v>
      </c>
    </row>
    <row r="144" spans="79:83">
      <c r="CA144" s="446">
        <v>43973</v>
      </c>
      <c r="CB144" s="205" t="str">
        <f t="shared" si="20"/>
        <v>22-May</v>
      </c>
      <c r="CC144" s="205" t="s">
        <v>118</v>
      </c>
      <c r="CD144" s="447" t="s">
        <v>132</v>
      </c>
      <c r="CE144" s="447" t="str">
        <f t="shared" si="19"/>
        <v>Gemini - Air</v>
      </c>
    </row>
    <row r="145" spans="79:83">
      <c r="CA145" s="446">
        <v>43974</v>
      </c>
      <c r="CB145" s="205" t="str">
        <f t="shared" si="20"/>
        <v>23-May</v>
      </c>
      <c r="CC145" s="205" t="s">
        <v>118</v>
      </c>
      <c r="CD145" s="447" t="s">
        <v>132</v>
      </c>
      <c r="CE145" s="447" t="str">
        <f t="shared" si="19"/>
        <v>Gemini - Air</v>
      </c>
    </row>
    <row r="146" spans="79:83">
      <c r="CA146" s="446">
        <v>43975</v>
      </c>
      <c r="CB146" s="205" t="str">
        <f t="shared" si="20"/>
        <v>24-May</v>
      </c>
      <c r="CC146" s="205" t="s">
        <v>118</v>
      </c>
      <c r="CD146" s="447" t="s">
        <v>132</v>
      </c>
      <c r="CE146" s="447" t="str">
        <f t="shared" si="19"/>
        <v>Gemini - Air</v>
      </c>
    </row>
    <row r="147" spans="79:83">
      <c r="CA147" s="446">
        <v>43976</v>
      </c>
      <c r="CB147" s="205" t="str">
        <f t="shared" si="20"/>
        <v>25-May</v>
      </c>
      <c r="CC147" s="205" t="s">
        <v>118</v>
      </c>
      <c r="CD147" s="447" t="s">
        <v>132</v>
      </c>
      <c r="CE147" s="447" t="str">
        <f t="shared" si="19"/>
        <v>Gemini - Air</v>
      </c>
    </row>
    <row r="148" spans="79:83">
      <c r="CA148" s="446">
        <v>43977</v>
      </c>
      <c r="CB148" s="205" t="str">
        <f t="shared" si="20"/>
        <v>26-May</v>
      </c>
      <c r="CC148" s="205" t="s">
        <v>118</v>
      </c>
      <c r="CD148" s="447" t="s">
        <v>132</v>
      </c>
      <c r="CE148" s="447" t="str">
        <f t="shared" si="19"/>
        <v>Gemini - Air</v>
      </c>
    </row>
    <row r="149" spans="79:83">
      <c r="CA149" s="446">
        <v>43978</v>
      </c>
      <c r="CB149" s="205" t="str">
        <f t="shared" si="20"/>
        <v>27-May</v>
      </c>
      <c r="CC149" s="205" t="s">
        <v>118</v>
      </c>
      <c r="CD149" s="447" t="s">
        <v>132</v>
      </c>
      <c r="CE149" s="447" t="str">
        <f t="shared" si="19"/>
        <v>Gemini - Air</v>
      </c>
    </row>
    <row r="150" spans="79:83">
      <c r="CA150" s="446">
        <v>43979</v>
      </c>
      <c r="CB150" s="205" t="str">
        <f t="shared" si="20"/>
        <v>28-May</v>
      </c>
      <c r="CC150" s="205" t="s">
        <v>118</v>
      </c>
      <c r="CD150" s="447" t="s">
        <v>132</v>
      </c>
      <c r="CE150" s="447" t="str">
        <f t="shared" si="19"/>
        <v>Gemini - Air</v>
      </c>
    </row>
    <row r="151" spans="79:83">
      <c r="CA151" s="446">
        <v>43980</v>
      </c>
      <c r="CB151" s="205" t="str">
        <f t="shared" si="20"/>
        <v>29-May</v>
      </c>
      <c r="CC151" s="205" t="s">
        <v>118</v>
      </c>
      <c r="CD151" s="447" t="s">
        <v>132</v>
      </c>
      <c r="CE151" s="447" t="str">
        <f t="shared" si="19"/>
        <v>Gemini - Air</v>
      </c>
    </row>
    <row r="152" spans="79:83">
      <c r="CA152" s="446">
        <v>43981</v>
      </c>
      <c r="CB152" s="205" t="str">
        <f t="shared" si="20"/>
        <v>30-May</v>
      </c>
      <c r="CC152" s="205" t="s">
        <v>118</v>
      </c>
      <c r="CD152" s="447" t="s">
        <v>132</v>
      </c>
      <c r="CE152" s="447" t="str">
        <f t="shared" si="19"/>
        <v>Gemini - Air</v>
      </c>
    </row>
    <row r="153" spans="79:83">
      <c r="CA153" s="446">
        <v>43982</v>
      </c>
      <c r="CB153" s="205" t="str">
        <f t="shared" si="20"/>
        <v>31-May</v>
      </c>
      <c r="CC153" s="205" t="s">
        <v>118</v>
      </c>
      <c r="CD153" s="447" t="s">
        <v>132</v>
      </c>
      <c r="CE153" s="447" t="str">
        <f t="shared" si="19"/>
        <v>Gemini - Air</v>
      </c>
    </row>
    <row r="154" spans="79:83">
      <c r="CA154" s="446">
        <v>43983</v>
      </c>
      <c r="CB154" s="205" t="str">
        <f t="shared" si="20"/>
        <v>01-Jun</v>
      </c>
      <c r="CC154" s="205" t="s">
        <v>118</v>
      </c>
      <c r="CD154" s="447" t="s">
        <v>132</v>
      </c>
      <c r="CE154" s="447" t="str">
        <f t="shared" si="19"/>
        <v>Gemini - Air</v>
      </c>
    </row>
    <row r="155" spans="79:83">
      <c r="CA155" s="446">
        <v>43984</v>
      </c>
      <c r="CB155" s="205" t="str">
        <f t="shared" si="20"/>
        <v>02-Jun</v>
      </c>
      <c r="CC155" s="205" t="s">
        <v>118</v>
      </c>
      <c r="CD155" s="447" t="s">
        <v>132</v>
      </c>
      <c r="CE155" s="447" t="str">
        <f t="shared" si="19"/>
        <v>Gemini - Air</v>
      </c>
    </row>
    <row r="156" spans="79:83">
      <c r="CA156" s="446">
        <v>43985</v>
      </c>
      <c r="CB156" s="205" t="str">
        <f t="shared" si="20"/>
        <v>03-Jun</v>
      </c>
      <c r="CC156" s="205" t="s">
        <v>118</v>
      </c>
      <c r="CD156" s="447" t="s">
        <v>132</v>
      </c>
      <c r="CE156" s="447" t="str">
        <f t="shared" si="19"/>
        <v>Gemini - Air</v>
      </c>
    </row>
    <row r="157" spans="79:83">
      <c r="CA157" s="446">
        <v>43986</v>
      </c>
      <c r="CB157" s="205" t="str">
        <f t="shared" si="20"/>
        <v>04-Jun</v>
      </c>
      <c r="CC157" s="205" t="s">
        <v>118</v>
      </c>
      <c r="CD157" s="447" t="s">
        <v>132</v>
      </c>
      <c r="CE157" s="447" t="str">
        <f t="shared" si="19"/>
        <v>Gemini - Air</v>
      </c>
    </row>
    <row r="158" spans="79:83">
      <c r="CA158" s="446">
        <v>43987</v>
      </c>
      <c r="CB158" s="205" t="str">
        <f t="shared" si="20"/>
        <v>05-Jun</v>
      </c>
      <c r="CC158" s="205" t="s">
        <v>118</v>
      </c>
      <c r="CD158" s="447" t="s">
        <v>132</v>
      </c>
      <c r="CE158" s="447" t="str">
        <f t="shared" si="19"/>
        <v>Gemini - Air</v>
      </c>
    </row>
    <row r="159" spans="79:83">
      <c r="CA159" s="446">
        <v>43988</v>
      </c>
      <c r="CB159" s="205" t="str">
        <f t="shared" si="20"/>
        <v>06-Jun</v>
      </c>
      <c r="CC159" s="205" t="s">
        <v>118</v>
      </c>
      <c r="CD159" s="447" t="s">
        <v>132</v>
      </c>
      <c r="CE159" s="447" t="str">
        <f t="shared" si="19"/>
        <v>Gemini - Air</v>
      </c>
    </row>
    <row r="160" spans="79:83">
      <c r="CA160" s="446">
        <v>43989</v>
      </c>
      <c r="CB160" s="205" t="str">
        <f t="shared" si="20"/>
        <v>07-Jun</v>
      </c>
      <c r="CC160" s="205" t="s">
        <v>118</v>
      </c>
      <c r="CD160" s="447" t="s">
        <v>132</v>
      </c>
      <c r="CE160" s="447" t="str">
        <f t="shared" si="19"/>
        <v>Gemini - Air</v>
      </c>
    </row>
    <row r="161" spans="79:83">
      <c r="CA161" s="446">
        <v>43990</v>
      </c>
      <c r="CB161" s="205" t="str">
        <f t="shared" si="20"/>
        <v>08-Jun</v>
      </c>
      <c r="CC161" s="205" t="s">
        <v>118</v>
      </c>
      <c r="CD161" s="447" t="s">
        <v>132</v>
      </c>
      <c r="CE161" s="447" t="str">
        <f t="shared" si="19"/>
        <v>Gemini - Air</v>
      </c>
    </row>
    <row r="162" spans="79:83">
      <c r="CA162" s="446">
        <v>43991</v>
      </c>
      <c r="CB162" s="205" t="str">
        <f t="shared" si="20"/>
        <v>09-Jun</v>
      </c>
      <c r="CC162" s="205" t="s">
        <v>118</v>
      </c>
      <c r="CD162" s="447" t="s">
        <v>132</v>
      </c>
      <c r="CE162" s="447" t="str">
        <f t="shared" si="19"/>
        <v>Gemini - Air</v>
      </c>
    </row>
    <row r="163" spans="79:83">
      <c r="CA163" s="446">
        <v>43992</v>
      </c>
      <c r="CB163" s="205" t="str">
        <f t="shared" si="20"/>
        <v>10-Jun</v>
      </c>
      <c r="CC163" s="205" t="s">
        <v>118</v>
      </c>
      <c r="CD163" s="447" t="s">
        <v>132</v>
      </c>
      <c r="CE163" s="447" t="str">
        <f t="shared" si="19"/>
        <v>Gemini - Air</v>
      </c>
    </row>
    <row r="164" spans="79:83">
      <c r="CA164" s="446">
        <v>43993</v>
      </c>
      <c r="CB164" s="205" t="str">
        <f t="shared" si="20"/>
        <v>11-Jun</v>
      </c>
      <c r="CC164" s="205" t="s">
        <v>118</v>
      </c>
      <c r="CD164" s="447" t="s">
        <v>132</v>
      </c>
      <c r="CE164" s="447" t="str">
        <f t="shared" si="19"/>
        <v>Gemini - Air</v>
      </c>
    </row>
    <row r="165" spans="79:83">
      <c r="CA165" s="446">
        <v>43994</v>
      </c>
      <c r="CB165" s="205" t="str">
        <f t="shared" si="20"/>
        <v>12-Jun</v>
      </c>
      <c r="CC165" s="205" t="s">
        <v>118</v>
      </c>
      <c r="CD165" s="447" t="s">
        <v>132</v>
      </c>
      <c r="CE165" s="447" t="str">
        <f t="shared" si="19"/>
        <v>Gemini - Air</v>
      </c>
    </row>
    <row r="166" spans="79:83">
      <c r="CA166" s="446">
        <v>43995</v>
      </c>
      <c r="CB166" s="205" t="str">
        <f t="shared" si="20"/>
        <v>13-Jun</v>
      </c>
      <c r="CC166" s="205" t="s">
        <v>118</v>
      </c>
      <c r="CD166" s="447" t="s">
        <v>132</v>
      </c>
      <c r="CE166" s="447" t="str">
        <f t="shared" si="19"/>
        <v>Gemini - Air</v>
      </c>
    </row>
    <row r="167" spans="79:83">
      <c r="CA167" s="446">
        <v>43996</v>
      </c>
      <c r="CB167" s="205" t="str">
        <f t="shared" si="20"/>
        <v>14-Jun</v>
      </c>
      <c r="CC167" s="205" t="s">
        <v>118</v>
      </c>
      <c r="CD167" s="447" t="s">
        <v>132</v>
      </c>
      <c r="CE167" s="447" t="str">
        <f t="shared" si="19"/>
        <v>Gemini - Air</v>
      </c>
    </row>
    <row r="168" spans="79:83">
      <c r="CA168" s="446">
        <v>43997</v>
      </c>
      <c r="CB168" s="205" t="str">
        <f t="shared" si="20"/>
        <v>15-Jun</v>
      </c>
      <c r="CC168" s="205" t="s">
        <v>118</v>
      </c>
      <c r="CD168" s="447" t="s">
        <v>132</v>
      </c>
      <c r="CE168" s="447" t="str">
        <f t="shared" si="19"/>
        <v>Gemini - Air</v>
      </c>
    </row>
    <row r="169" spans="79:83">
      <c r="CA169" s="446">
        <v>43998</v>
      </c>
      <c r="CB169" s="205" t="str">
        <f t="shared" si="20"/>
        <v>16-Jun</v>
      </c>
      <c r="CC169" s="205" t="s">
        <v>118</v>
      </c>
      <c r="CD169" s="447" t="s">
        <v>132</v>
      </c>
      <c r="CE169" s="447" t="str">
        <f t="shared" si="19"/>
        <v>Gemini - Air</v>
      </c>
    </row>
    <row r="170" spans="79:83">
      <c r="CA170" s="446">
        <v>43999</v>
      </c>
      <c r="CB170" s="205" t="str">
        <f t="shared" si="20"/>
        <v>17-Jun</v>
      </c>
      <c r="CC170" s="205" t="s">
        <v>118</v>
      </c>
      <c r="CD170" s="447" t="s">
        <v>132</v>
      </c>
      <c r="CE170" s="447" t="str">
        <f t="shared" si="19"/>
        <v>Gemini - Air</v>
      </c>
    </row>
    <row r="171" spans="79:83">
      <c r="CA171" s="446">
        <v>44000</v>
      </c>
      <c r="CB171" s="205" t="str">
        <f t="shared" si="20"/>
        <v>18-Jun</v>
      </c>
      <c r="CC171" s="205" t="s">
        <v>118</v>
      </c>
      <c r="CD171" s="447" t="s">
        <v>132</v>
      </c>
      <c r="CE171" s="447" t="str">
        <f t="shared" si="19"/>
        <v>Gemini - Air</v>
      </c>
    </row>
    <row r="172" spans="79:83">
      <c r="CA172" s="446">
        <v>44001</v>
      </c>
      <c r="CB172" s="205" t="str">
        <f t="shared" si="20"/>
        <v>19-Jun</v>
      </c>
      <c r="CC172" s="205" t="s">
        <v>118</v>
      </c>
      <c r="CD172" s="447" t="s">
        <v>132</v>
      </c>
      <c r="CE172" s="447" t="str">
        <f t="shared" si="19"/>
        <v>Gemini - Air</v>
      </c>
    </row>
    <row r="173" spans="79:83">
      <c r="CA173" s="446">
        <v>44002</v>
      </c>
      <c r="CB173" s="205" t="str">
        <f t="shared" si="20"/>
        <v>20-Jun</v>
      </c>
      <c r="CC173" s="205" t="s">
        <v>118</v>
      </c>
      <c r="CD173" s="447" t="s">
        <v>132</v>
      </c>
      <c r="CE173" s="447" t="str">
        <f t="shared" si="19"/>
        <v>Gemini - Air</v>
      </c>
    </row>
    <row r="174" spans="79:83">
      <c r="CA174" s="446">
        <v>44003</v>
      </c>
      <c r="CB174" s="205" t="str">
        <f t="shared" si="20"/>
        <v>21-Jun</v>
      </c>
      <c r="CC174" s="205" t="s">
        <v>119</v>
      </c>
      <c r="CD174" s="447" t="s">
        <v>131</v>
      </c>
      <c r="CE174" s="447" t="str">
        <f t="shared" si="19"/>
        <v>Cancer - Water</v>
      </c>
    </row>
    <row r="175" spans="79:83">
      <c r="CA175" s="446">
        <v>44004</v>
      </c>
      <c r="CB175" s="205" t="str">
        <f t="shared" si="20"/>
        <v>22-Jun</v>
      </c>
      <c r="CC175" s="205" t="s">
        <v>119</v>
      </c>
      <c r="CD175" s="447" t="s">
        <v>131</v>
      </c>
      <c r="CE175" s="447" t="str">
        <f t="shared" si="19"/>
        <v>Cancer - Water</v>
      </c>
    </row>
    <row r="176" spans="79:83">
      <c r="CA176" s="446">
        <v>44005</v>
      </c>
      <c r="CB176" s="205" t="str">
        <f t="shared" si="20"/>
        <v>23-Jun</v>
      </c>
      <c r="CC176" s="205" t="s">
        <v>119</v>
      </c>
      <c r="CD176" s="447" t="s">
        <v>131</v>
      </c>
      <c r="CE176" s="447" t="str">
        <f t="shared" si="19"/>
        <v>Cancer - Water</v>
      </c>
    </row>
    <row r="177" spans="79:83">
      <c r="CA177" s="446">
        <v>44006</v>
      </c>
      <c r="CB177" s="205" t="str">
        <f t="shared" si="20"/>
        <v>24-Jun</v>
      </c>
      <c r="CC177" s="205" t="s">
        <v>119</v>
      </c>
      <c r="CD177" s="447" t="s">
        <v>131</v>
      </c>
      <c r="CE177" s="447" t="str">
        <f t="shared" si="19"/>
        <v>Cancer - Water</v>
      </c>
    </row>
    <row r="178" spans="79:83">
      <c r="CA178" s="446">
        <v>44007</v>
      </c>
      <c r="CB178" s="205" t="str">
        <f t="shared" si="20"/>
        <v>25-Jun</v>
      </c>
      <c r="CC178" s="205" t="s">
        <v>119</v>
      </c>
      <c r="CD178" s="447" t="s">
        <v>131</v>
      </c>
      <c r="CE178" s="447" t="str">
        <f t="shared" si="19"/>
        <v>Cancer - Water</v>
      </c>
    </row>
    <row r="179" spans="79:83">
      <c r="CA179" s="446">
        <v>44008</v>
      </c>
      <c r="CB179" s="205" t="str">
        <f t="shared" si="20"/>
        <v>26-Jun</v>
      </c>
      <c r="CC179" s="205" t="s">
        <v>119</v>
      </c>
      <c r="CD179" s="447" t="s">
        <v>131</v>
      </c>
      <c r="CE179" s="447" t="str">
        <f t="shared" si="19"/>
        <v>Cancer - Water</v>
      </c>
    </row>
    <row r="180" spans="79:83">
      <c r="CA180" s="446">
        <v>44009</v>
      </c>
      <c r="CB180" s="205" t="str">
        <f t="shared" si="20"/>
        <v>27-Jun</v>
      </c>
      <c r="CC180" s="205" t="s">
        <v>119</v>
      </c>
      <c r="CD180" s="447" t="s">
        <v>131</v>
      </c>
      <c r="CE180" s="447" t="str">
        <f t="shared" si="19"/>
        <v>Cancer - Water</v>
      </c>
    </row>
    <row r="181" spans="79:83">
      <c r="CA181" s="446">
        <v>44010</v>
      </c>
      <c r="CB181" s="205" t="str">
        <f t="shared" si="20"/>
        <v>28-Jun</v>
      </c>
      <c r="CC181" s="205" t="s">
        <v>119</v>
      </c>
      <c r="CD181" s="447" t="s">
        <v>131</v>
      </c>
      <c r="CE181" s="447" t="str">
        <f t="shared" si="19"/>
        <v>Cancer - Water</v>
      </c>
    </row>
    <row r="182" spans="79:83">
      <c r="CA182" s="446">
        <v>44011</v>
      </c>
      <c r="CB182" s="205" t="str">
        <f t="shared" si="20"/>
        <v>29-Jun</v>
      </c>
      <c r="CC182" s="205" t="s">
        <v>119</v>
      </c>
      <c r="CD182" s="447" t="s">
        <v>131</v>
      </c>
      <c r="CE182" s="447" t="str">
        <f t="shared" si="19"/>
        <v>Cancer - Water</v>
      </c>
    </row>
    <row r="183" spans="79:83">
      <c r="CA183" s="446">
        <v>44012</v>
      </c>
      <c r="CB183" s="205" t="str">
        <f t="shared" si="20"/>
        <v>30-Jun</v>
      </c>
      <c r="CC183" s="205" t="s">
        <v>119</v>
      </c>
      <c r="CD183" s="447" t="s">
        <v>131</v>
      </c>
      <c r="CE183" s="447" t="str">
        <f t="shared" si="19"/>
        <v>Cancer - Water</v>
      </c>
    </row>
    <row r="184" spans="79:83">
      <c r="CA184" s="446">
        <v>44013</v>
      </c>
      <c r="CB184" s="205" t="str">
        <f t="shared" si="20"/>
        <v>01-Jul</v>
      </c>
      <c r="CC184" s="205" t="s">
        <v>119</v>
      </c>
      <c r="CD184" s="447" t="s">
        <v>131</v>
      </c>
      <c r="CE184" s="447" t="str">
        <f t="shared" si="19"/>
        <v>Cancer - Water</v>
      </c>
    </row>
    <row r="185" spans="79:83">
      <c r="CA185" s="446">
        <v>44014</v>
      </c>
      <c r="CB185" s="205" t="str">
        <f t="shared" si="20"/>
        <v>02-Jul</v>
      </c>
      <c r="CC185" s="205" t="s">
        <v>119</v>
      </c>
      <c r="CD185" s="447" t="s">
        <v>131</v>
      </c>
      <c r="CE185" s="447" t="str">
        <f t="shared" si="19"/>
        <v>Cancer - Water</v>
      </c>
    </row>
    <row r="186" spans="79:83">
      <c r="CA186" s="446">
        <v>44015</v>
      </c>
      <c r="CB186" s="205" t="str">
        <f t="shared" si="20"/>
        <v>03-Jul</v>
      </c>
      <c r="CC186" s="205" t="s">
        <v>119</v>
      </c>
      <c r="CD186" s="447" t="s">
        <v>131</v>
      </c>
      <c r="CE186" s="447" t="str">
        <f t="shared" si="19"/>
        <v>Cancer - Water</v>
      </c>
    </row>
    <row r="187" spans="79:83">
      <c r="CA187" s="446">
        <v>44016</v>
      </c>
      <c r="CB187" s="205" t="str">
        <f t="shared" si="20"/>
        <v>04-Jul</v>
      </c>
      <c r="CC187" s="205" t="s">
        <v>119</v>
      </c>
      <c r="CD187" s="447" t="s">
        <v>131</v>
      </c>
      <c r="CE187" s="447" t="str">
        <f t="shared" si="19"/>
        <v>Cancer - Water</v>
      </c>
    </row>
    <row r="188" spans="79:83">
      <c r="CA188" s="446">
        <v>44017</v>
      </c>
      <c r="CB188" s="205" t="str">
        <f t="shared" si="20"/>
        <v>05-Jul</v>
      </c>
      <c r="CC188" s="205" t="s">
        <v>119</v>
      </c>
      <c r="CD188" s="447" t="s">
        <v>131</v>
      </c>
      <c r="CE188" s="447" t="str">
        <f t="shared" si="19"/>
        <v>Cancer - Water</v>
      </c>
    </row>
    <row r="189" spans="79:83">
      <c r="CA189" s="446">
        <v>44018</v>
      </c>
      <c r="CB189" s="205" t="str">
        <f t="shared" si="20"/>
        <v>06-Jul</v>
      </c>
      <c r="CC189" s="205" t="s">
        <v>119</v>
      </c>
      <c r="CD189" s="447" t="s">
        <v>131</v>
      </c>
      <c r="CE189" s="447" t="str">
        <f t="shared" si="19"/>
        <v>Cancer - Water</v>
      </c>
    </row>
    <row r="190" spans="79:83">
      <c r="CA190" s="446">
        <v>44019</v>
      </c>
      <c r="CB190" s="205" t="str">
        <f t="shared" si="20"/>
        <v>07-Jul</v>
      </c>
      <c r="CC190" s="205" t="s">
        <v>119</v>
      </c>
      <c r="CD190" s="447" t="s">
        <v>131</v>
      </c>
      <c r="CE190" s="447" t="str">
        <f t="shared" si="19"/>
        <v>Cancer - Water</v>
      </c>
    </row>
    <row r="191" spans="79:83">
      <c r="CA191" s="446">
        <v>44020</v>
      </c>
      <c r="CB191" s="205" t="str">
        <f t="shared" si="20"/>
        <v>08-Jul</v>
      </c>
      <c r="CC191" s="205" t="s">
        <v>119</v>
      </c>
      <c r="CD191" s="447" t="s">
        <v>131</v>
      </c>
      <c r="CE191" s="447" t="str">
        <f t="shared" si="19"/>
        <v>Cancer - Water</v>
      </c>
    </row>
    <row r="192" spans="79:83">
      <c r="CA192" s="446">
        <v>44021</v>
      </c>
      <c r="CB192" s="205" t="str">
        <f t="shared" si="20"/>
        <v>09-Jul</v>
      </c>
      <c r="CC192" s="205" t="s">
        <v>119</v>
      </c>
      <c r="CD192" s="447" t="s">
        <v>131</v>
      </c>
      <c r="CE192" s="447" t="str">
        <f t="shared" si="19"/>
        <v>Cancer - Water</v>
      </c>
    </row>
    <row r="193" spans="79:83">
      <c r="CA193" s="446">
        <v>44022</v>
      </c>
      <c r="CB193" s="205" t="str">
        <f t="shared" si="20"/>
        <v>10-Jul</v>
      </c>
      <c r="CC193" s="205" t="s">
        <v>119</v>
      </c>
      <c r="CD193" s="447" t="s">
        <v>131</v>
      </c>
      <c r="CE193" s="447" t="str">
        <f t="shared" ref="CE193:CE256" si="21">CC193&amp;" - "&amp;CD193</f>
        <v>Cancer - Water</v>
      </c>
    </row>
    <row r="194" spans="79:83">
      <c r="CA194" s="446">
        <v>44023</v>
      </c>
      <c r="CB194" s="205" t="str">
        <f t="shared" si="20"/>
        <v>11-Jul</v>
      </c>
      <c r="CC194" s="205" t="s">
        <v>119</v>
      </c>
      <c r="CD194" s="447" t="s">
        <v>131</v>
      </c>
      <c r="CE194" s="447" t="str">
        <f t="shared" si="21"/>
        <v>Cancer - Water</v>
      </c>
    </row>
    <row r="195" spans="79:83">
      <c r="CA195" s="446">
        <v>44024</v>
      </c>
      <c r="CB195" s="205" t="str">
        <f t="shared" ref="CB195:CB258" si="22">TEXT(CA195,"DD-MMM")</f>
        <v>12-Jul</v>
      </c>
      <c r="CC195" s="205" t="s">
        <v>119</v>
      </c>
      <c r="CD195" s="447" t="s">
        <v>131</v>
      </c>
      <c r="CE195" s="447" t="str">
        <f t="shared" si="21"/>
        <v>Cancer - Water</v>
      </c>
    </row>
    <row r="196" spans="79:83">
      <c r="CA196" s="446">
        <v>44025</v>
      </c>
      <c r="CB196" s="205" t="str">
        <f t="shared" si="22"/>
        <v>13-Jul</v>
      </c>
      <c r="CC196" s="205" t="s">
        <v>119</v>
      </c>
      <c r="CD196" s="447" t="s">
        <v>131</v>
      </c>
      <c r="CE196" s="447" t="str">
        <f t="shared" si="21"/>
        <v>Cancer - Water</v>
      </c>
    </row>
    <row r="197" spans="79:83">
      <c r="CA197" s="446">
        <v>44026</v>
      </c>
      <c r="CB197" s="205" t="str">
        <f t="shared" si="22"/>
        <v>14-Jul</v>
      </c>
      <c r="CC197" s="205" t="s">
        <v>119</v>
      </c>
      <c r="CD197" s="447" t="s">
        <v>131</v>
      </c>
      <c r="CE197" s="447" t="str">
        <f t="shared" si="21"/>
        <v>Cancer - Water</v>
      </c>
    </row>
    <row r="198" spans="79:83">
      <c r="CA198" s="446">
        <v>44027</v>
      </c>
      <c r="CB198" s="205" t="str">
        <f t="shared" si="22"/>
        <v>15-Jul</v>
      </c>
      <c r="CC198" s="205" t="s">
        <v>119</v>
      </c>
      <c r="CD198" s="447" t="s">
        <v>131</v>
      </c>
      <c r="CE198" s="447" t="str">
        <f t="shared" si="21"/>
        <v>Cancer - Water</v>
      </c>
    </row>
    <row r="199" spans="79:83">
      <c r="CA199" s="446">
        <v>44028</v>
      </c>
      <c r="CB199" s="205" t="str">
        <f t="shared" si="22"/>
        <v>16-Jul</v>
      </c>
      <c r="CC199" s="205" t="s">
        <v>119</v>
      </c>
      <c r="CD199" s="447" t="s">
        <v>131</v>
      </c>
      <c r="CE199" s="447" t="str">
        <f t="shared" si="21"/>
        <v>Cancer - Water</v>
      </c>
    </row>
    <row r="200" spans="79:83">
      <c r="CA200" s="446">
        <v>44029</v>
      </c>
      <c r="CB200" s="205" t="str">
        <f t="shared" si="22"/>
        <v>17-Jul</v>
      </c>
      <c r="CC200" s="205" t="s">
        <v>119</v>
      </c>
      <c r="CD200" s="447" t="s">
        <v>131</v>
      </c>
      <c r="CE200" s="447" t="str">
        <f t="shared" si="21"/>
        <v>Cancer - Water</v>
      </c>
    </row>
    <row r="201" spans="79:83">
      <c r="CA201" s="446">
        <v>44030</v>
      </c>
      <c r="CB201" s="205" t="str">
        <f t="shared" si="22"/>
        <v>18-Jul</v>
      </c>
      <c r="CC201" s="205" t="s">
        <v>119</v>
      </c>
      <c r="CD201" s="447" t="s">
        <v>131</v>
      </c>
      <c r="CE201" s="447" t="str">
        <f t="shared" si="21"/>
        <v>Cancer - Water</v>
      </c>
    </row>
    <row r="202" spans="79:83">
      <c r="CA202" s="446">
        <v>44031</v>
      </c>
      <c r="CB202" s="205" t="str">
        <f t="shared" si="22"/>
        <v>19-Jul</v>
      </c>
      <c r="CC202" s="205" t="s">
        <v>119</v>
      </c>
      <c r="CD202" s="447" t="s">
        <v>131</v>
      </c>
      <c r="CE202" s="447" t="str">
        <f t="shared" si="21"/>
        <v>Cancer - Water</v>
      </c>
    </row>
    <row r="203" spans="79:83">
      <c r="CA203" s="446">
        <v>44032</v>
      </c>
      <c r="CB203" s="205" t="str">
        <f t="shared" si="22"/>
        <v>20-Jul</v>
      </c>
      <c r="CC203" s="205" t="s">
        <v>119</v>
      </c>
      <c r="CD203" s="447" t="s">
        <v>131</v>
      </c>
      <c r="CE203" s="447" t="str">
        <f t="shared" si="21"/>
        <v>Cancer - Water</v>
      </c>
    </row>
    <row r="204" spans="79:83">
      <c r="CA204" s="446">
        <v>44033</v>
      </c>
      <c r="CB204" s="205" t="str">
        <f t="shared" si="22"/>
        <v>21-Jul</v>
      </c>
      <c r="CC204" s="205" t="s">
        <v>119</v>
      </c>
      <c r="CD204" s="447" t="s">
        <v>131</v>
      </c>
      <c r="CE204" s="447" t="str">
        <f t="shared" si="21"/>
        <v>Cancer - Water</v>
      </c>
    </row>
    <row r="205" spans="79:83">
      <c r="CA205" s="446">
        <v>44034</v>
      </c>
      <c r="CB205" s="205" t="str">
        <f t="shared" si="22"/>
        <v>22-Jul</v>
      </c>
      <c r="CC205" s="205" t="s">
        <v>119</v>
      </c>
      <c r="CD205" s="447" t="s">
        <v>131</v>
      </c>
      <c r="CE205" s="447" t="str">
        <f t="shared" si="21"/>
        <v>Cancer - Water</v>
      </c>
    </row>
    <row r="206" spans="79:83">
      <c r="CA206" s="446">
        <v>44035</v>
      </c>
      <c r="CB206" s="205" t="str">
        <f t="shared" si="22"/>
        <v>23-Jul</v>
      </c>
      <c r="CC206" s="205" t="s">
        <v>120</v>
      </c>
      <c r="CD206" s="447" t="s">
        <v>129</v>
      </c>
      <c r="CE206" s="447" t="str">
        <f t="shared" si="21"/>
        <v>Leo - Fire</v>
      </c>
    </row>
    <row r="207" spans="79:83">
      <c r="CA207" s="446">
        <v>44036</v>
      </c>
      <c r="CB207" s="205" t="str">
        <f t="shared" si="22"/>
        <v>24-Jul</v>
      </c>
      <c r="CC207" s="205" t="s">
        <v>120</v>
      </c>
      <c r="CD207" s="447" t="s">
        <v>129</v>
      </c>
      <c r="CE207" s="447" t="str">
        <f t="shared" si="21"/>
        <v>Leo - Fire</v>
      </c>
    </row>
    <row r="208" spans="79:83">
      <c r="CA208" s="446">
        <v>44037</v>
      </c>
      <c r="CB208" s="205" t="str">
        <f t="shared" si="22"/>
        <v>25-Jul</v>
      </c>
      <c r="CC208" s="205" t="s">
        <v>120</v>
      </c>
      <c r="CD208" s="447" t="s">
        <v>129</v>
      </c>
      <c r="CE208" s="447" t="str">
        <f t="shared" si="21"/>
        <v>Leo - Fire</v>
      </c>
    </row>
    <row r="209" spans="79:83">
      <c r="CA209" s="446">
        <v>44038</v>
      </c>
      <c r="CB209" s="205" t="str">
        <f t="shared" si="22"/>
        <v>26-Jul</v>
      </c>
      <c r="CC209" s="205" t="s">
        <v>120</v>
      </c>
      <c r="CD209" s="447" t="s">
        <v>129</v>
      </c>
      <c r="CE209" s="447" t="str">
        <f t="shared" si="21"/>
        <v>Leo - Fire</v>
      </c>
    </row>
    <row r="210" spans="79:83">
      <c r="CA210" s="446">
        <v>44039</v>
      </c>
      <c r="CB210" s="205" t="str">
        <f t="shared" si="22"/>
        <v>27-Jul</v>
      </c>
      <c r="CC210" s="205" t="s">
        <v>120</v>
      </c>
      <c r="CD210" s="447" t="s">
        <v>129</v>
      </c>
      <c r="CE210" s="447" t="str">
        <f t="shared" si="21"/>
        <v>Leo - Fire</v>
      </c>
    </row>
    <row r="211" spans="79:83">
      <c r="CA211" s="446">
        <v>44040</v>
      </c>
      <c r="CB211" s="205" t="str">
        <f t="shared" si="22"/>
        <v>28-Jul</v>
      </c>
      <c r="CC211" s="205" t="s">
        <v>120</v>
      </c>
      <c r="CD211" s="447" t="s">
        <v>129</v>
      </c>
      <c r="CE211" s="447" t="str">
        <f t="shared" si="21"/>
        <v>Leo - Fire</v>
      </c>
    </row>
    <row r="212" spans="79:83">
      <c r="CA212" s="446">
        <v>44041</v>
      </c>
      <c r="CB212" s="205" t="str">
        <f t="shared" si="22"/>
        <v>29-Jul</v>
      </c>
      <c r="CC212" s="205" t="s">
        <v>120</v>
      </c>
      <c r="CD212" s="447" t="s">
        <v>129</v>
      </c>
      <c r="CE212" s="447" t="str">
        <f t="shared" si="21"/>
        <v>Leo - Fire</v>
      </c>
    </row>
    <row r="213" spans="79:83">
      <c r="CA213" s="446">
        <v>44042</v>
      </c>
      <c r="CB213" s="205" t="str">
        <f t="shared" si="22"/>
        <v>30-Jul</v>
      </c>
      <c r="CC213" s="205" t="s">
        <v>120</v>
      </c>
      <c r="CD213" s="447" t="s">
        <v>129</v>
      </c>
      <c r="CE213" s="447" t="str">
        <f t="shared" si="21"/>
        <v>Leo - Fire</v>
      </c>
    </row>
    <row r="214" spans="79:83">
      <c r="CA214" s="446">
        <v>44043</v>
      </c>
      <c r="CB214" s="205" t="str">
        <f t="shared" si="22"/>
        <v>31-Jul</v>
      </c>
      <c r="CC214" s="205" t="s">
        <v>120</v>
      </c>
      <c r="CD214" s="447" t="s">
        <v>129</v>
      </c>
      <c r="CE214" s="447" t="str">
        <f t="shared" si="21"/>
        <v>Leo - Fire</v>
      </c>
    </row>
    <row r="215" spans="79:83">
      <c r="CA215" s="446">
        <v>44044</v>
      </c>
      <c r="CB215" s="205" t="str">
        <f t="shared" si="22"/>
        <v>01-Aug</v>
      </c>
      <c r="CC215" s="205" t="s">
        <v>120</v>
      </c>
      <c r="CD215" s="447" t="s">
        <v>129</v>
      </c>
      <c r="CE215" s="447" t="str">
        <f t="shared" si="21"/>
        <v>Leo - Fire</v>
      </c>
    </row>
    <row r="216" spans="79:83">
      <c r="CA216" s="446">
        <v>44045</v>
      </c>
      <c r="CB216" s="205" t="str">
        <f t="shared" si="22"/>
        <v>02-Aug</v>
      </c>
      <c r="CC216" s="205" t="s">
        <v>120</v>
      </c>
      <c r="CD216" s="447" t="s">
        <v>129</v>
      </c>
      <c r="CE216" s="447" t="str">
        <f t="shared" si="21"/>
        <v>Leo - Fire</v>
      </c>
    </row>
    <row r="217" spans="79:83">
      <c r="CA217" s="446">
        <v>44046</v>
      </c>
      <c r="CB217" s="205" t="str">
        <f t="shared" si="22"/>
        <v>03-Aug</v>
      </c>
      <c r="CC217" s="205" t="s">
        <v>120</v>
      </c>
      <c r="CD217" s="447" t="s">
        <v>129</v>
      </c>
      <c r="CE217" s="447" t="str">
        <f t="shared" si="21"/>
        <v>Leo - Fire</v>
      </c>
    </row>
    <row r="218" spans="79:83">
      <c r="CA218" s="446">
        <v>44047</v>
      </c>
      <c r="CB218" s="205" t="str">
        <f t="shared" si="22"/>
        <v>04-Aug</v>
      </c>
      <c r="CC218" s="205" t="s">
        <v>120</v>
      </c>
      <c r="CD218" s="447" t="s">
        <v>129</v>
      </c>
      <c r="CE218" s="447" t="str">
        <f t="shared" si="21"/>
        <v>Leo - Fire</v>
      </c>
    </row>
    <row r="219" spans="79:83">
      <c r="CA219" s="446">
        <v>44048</v>
      </c>
      <c r="CB219" s="205" t="str">
        <f t="shared" si="22"/>
        <v>05-Aug</v>
      </c>
      <c r="CC219" s="205" t="s">
        <v>120</v>
      </c>
      <c r="CD219" s="447" t="s">
        <v>129</v>
      </c>
      <c r="CE219" s="447" t="str">
        <f t="shared" si="21"/>
        <v>Leo - Fire</v>
      </c>
    </row>
    <row r="220" spans="79:83">
      <c r="CA220" s="446">
        <v>44049</v>
      </c>
      <c r="CB220" s="205" t="str">
        <f t="shared" si="22"/>
        <v>06-Aug</v>
      </c>
      <c r="CC220" s="205" t="s">
        <v>120</v>
      </c>
      <c r="CD220" s="447" t="s">
        <v>129</v>
      </c>
      <c r="CE220" s="447" t="str">
        <f t="shared" si="21"/>
        <v>Leo - Fire</v>
      </c>
    </row>
    <row r="221" spans="79:83">
      <c r="CA221" s="446">
        <v>44050</v>
      </c>
      <c r="CB221" s="205" t="str">
        <f t="shared" si="22"/>
        <v>07-Aug</v>
      </c>
      <c r="CC221" s="205" t="s">
        <v>120</v>
      </c>
      <c r="CD221" s="447" t="s">
        <v>129</v>
      </c>
      <c r="CE221" s="447" t="str">
        <f t="shared" si="21"/>
        <v>Leo - Fire</v>
      </c>
    </row>
    <row r="222" spans="79:83">
      <c r="CA222" s="446">
        <v>44051</v>
      </c>
      <c r="CB222" s="205" t="str">
        <f t="shared" si="22"/>
        <v>08-Aug</v>
      </c>
      <c r="CC222" s="205" t="s">
        <v>120</v>
      </c>
      <c r="CD222" s="447" t="s">
        <v>129</v>
      </c>
      <c r="CE222" s="447" t="str">
        <f t="shared" si="21"/>
        <v>Leo - Fire</v>
      </c>
    </row>
    <row r="223" spans="79:83">
      <c r="CA223" s="446">
        <v>44052</v>
      </c>
      <c r="CB223" s="205" t="str">
        <f t="shared" si="22"/>
        <v>09-Aug</v>
      </c>
      <c r="CC223" s="205" t="s">
        <v>120</v>
      </c>
      <c r="CD223" s="447" t="s">
        <v>129</v>
      </c>
      <c r="CE223" s="447" t="str">
        <f t="shared" si="21"/>
        <v>Leo - Fire</v>
      </c>
    </row>
    <row r="224" spans="79:83">
      <c r="CA224" s="446">
        <v>44053</v>
      </c>
      <c r="CB224" s="205" t="str">
        <f t="shared" si="22"/>
        <v>10-Aug</v>
      </c>
      <c r="CC224" s="205" t="s">
        <v>120</v>
      </c>
      <c r="CD224" s="447" t="s">
        <v>129</v>
      </c>
      <c r="CE224" s="447" t="str">
        <f t="shared" si="21"/>
        <v>Leo - Fire</v>
      </c>
    </row>
    <row r="225" spans="79:83">
      <c r="CA225" s="446">
        <v>44054</v>
      </c>
      <c r="CB225" s="205" t="str">
        <f t="shared" si="22"/>
        <v>11-Aug</v>
      </c>
      <c r="CC225" s="205" t="s">
        <v>120</v>
      </c>
      <c r="CD225" s="447" t="s">
        <v>129</v>
      </c>
      <c r="CE225" s="447" t="str">
        <f t="shared" si="21"/>
        <v>Leo - Fire</v>
      </c>
    </row>
    <row r="226" spans="79:83">
      <c r="CA226" s="446">
        <v>44055</v>
      </c>
      <c r="CB226" s="205" t="str">
        <f t="shared" si="22"/>
        <v>12-Aug</v>
      </c>
      <c r="CC226" s="205" t="s">
        <v>120</v>
      </c>
      <c r="CD226" s="447" t="s">
        <v>129</v>
      </c>
      <c r="CE226" s="447" t="str">
        <f t="shared" si="21"/>
        <v>Leo - Fire</v>
      </c>
    </row>
    <row r="227" spans="79:83">
      <c r="CA227" s="446">
        <v>44056</v>
      </c>
      <c r="CB227" s="205" t="str">
        <f t="shared" si="22"/>
        <v>13-Aug</v>
      </c>
      <c r="CC227" s="205" t="s">
        <v>120</v>
      </c>
      <c r="CD227" s="447" t="s">
        <v>129</v>
      </c>
      <c r="CE227" s="447" t="str">
        <f t="shared" si="21"/>
        <v>Leo - Fire</v>
      </c>
    </row>
    <row r="228" spans="79:83">
      <c r="CA228" s="446">
        <v>44057</v>
      </c>
      <c r="CB228" s="205" t="str">
        <f t="shared" si="22"/>
        <v>14-Aug</v>
      </c>
      <c r="CC228" s="205" t="s">
        <v>120</v>
      </c>
      <c r="CD228" s="447" t="s">
        <v>129</v>
      </c>
      <c r="CE228" s="447" t="str">
        <f t="shared" si="21"/>
        <v>Leo - Fire</v>
      </c>
    </row>
    <row r="229" spans="79:83">
      <c r="CA229" s="446">
        <v>44058</v>
      </c>
      <c r="CB229" s="205" t="str">
        <f t="shared" si="22"/>
        <v>15-Aug</v>
      </c>
      <c r="CC229" s="205" t="s">
        <v>120</v>
      </c>
      <c r="CD229" s="447" t="s">
        <v>129</v>
      </c>
      <c r="CE229" s="447" t="str">
        <f t="shared" si="21"/>
        <v>Leo - Fire</v>
      </c>
    </row>
    <row r="230" spans="79:83">
      <c r="CA230" s="446">
        <v>44059</v>
      </c>
      <c r="CB230" s="205" t="str">
        <f t="shared" si="22"/>
        <v>16-Aug</v>
      </c>
      <c r="CC230" s="205" t="s">
        <v>120</v>
      </c>
      <c r="CD230" s="447" t="s">
        <v>129</v>
      </c>
      <c r="CE230" s="447" t="str">
        <f t="shared" si="21"/>
        <v>Leo - Fire</v>
      </c>
    </row>
    <row r="231" spans="79:83">
      <c r="CA231" s="446">
        <v>44060</v>
      </c>
      <c r="CB231" s="205" t="str">
        <f t="shared" si="22"/>
        <v>17-Aug</v>
      </c>
      <c r="CC231" s="205" t="s">
        <v>120</v>
      </c>
      <c r="CD231" s="447" t="s">
        <v>129</v>
      </c>
      <c r="CE231" s="447" t="str">
        <f t="shared" si="21"/>
        <v>Leo - Fire</v>
      </c>
    </row>
    <row r="232" spans="79:83">
      <c r="CA232" s="446">
        <v>44061</v>
      </c>
      <c r="CB232" s="205" t="str">
        <f t="shared" si="22"/>
        <v>18-Aug</v>
      </c>
      <c r="CC232" s="205" t="s">
        <v>120</v>
      </c>
      <c r="CD232" s="447" t="s">
        <v>129</v>
      </c>
      <c r="CE232" s="447" t="str">
        <f t="shared" si="21"/>
        <v>Leo - Fire</v>
      </c>
    </row>
    <row r="233" spans="79:83">
      <c r="CA233" s="446">
        <v>44062</v>
      </c>
      <c r="CB233" s="205" t="str">
        <f t="shared" si="22"/>
        <v>19-Aug</v>
      </c>
      <c r="CC233" s="205" t="s">
        <v>120</v>
      </c>
      <c r="CD233" s="447" t="s">
        <v>129</v>
      </c>
      <c r="CE233" s="447" t="str">
        <f t="shared" si="21"/>
        <v>Leo - Fire</v>
      </c>
    </row>
    <row r="234" spans="79:83">
      <c r="CA234" s="446">
        <v>44063</v>
      </c>
      <c r="CB234" s="205" t="str">
        <f t="shared" si="22"/>
        <v>20-Aug</v>
      </c>
      <c r="CC234" s="205" t="s">
        <v>120</v>
      </c>
      <c r="CD234" s="447" t="s">
        <v>129</v>
      </c>
      <c r="CE234" s="447" t="str">
        <f t="shared" si="21"/>
        <v>Leo - Fire</v>
      </c>
    </row>
    <row r="235" spans="79:83">
      <c r="CA235" s="446">
        <v>44064</v>
      </c>
      <c r="CB235" s="205" t="str">
        <f t="shared" si="22"/>
        <v>21-Aug</v>
      </c>
      <c r="CC235" s="205" t="s">
        <v>120</v>
      </c>
      <c r="CD235" s="447" t="s">
        <v>129</v>
      </c>
      <c r="CE235" s="447" t="str">
        <f t="shared" si="21"/>
        <v>Leo - Fire</v>
      </c>
    </row>
    <row r="236" spans="79:83">
      <c r="CA236" s="446">
        <v>44065</v>
      </c>
      <c r="CB236" s="205" t="str">
        <f t="shared" si="22"/>
        <v>22-Aug</v>
      </c>
      <c r="CC236" s="205" t="s">
        <v>120</v>
      </c>
      <c r="CD236" s="447" t="s">
        <v>129</v>
      </c>
      <c r="CE236" s="447" t="str">
        <f t="shared" si="21"/>
        <v>Leo - Fire</v>
      </c>
    </row>
    <row r="237" spans="79:83">
      <c r="CA237" s="446">
        <v>44066</v>
      </c>
      <c r="CB237" s="205" t="str">
        <f t="shared" si="22"/>
        <v>23-Aug</v>
      </c>
      <c r="CC237" s="205" t="s">
        <v>121</v>
      </c>
      <c r="CD237" s="447" t="s">
        <v>130</v>
      </c>
      <c r="CE237" s="447" t="str">
        <f t="shared" si="21"/>
        <v>Virgo - Earth</v>
      </c>
    </row>
    <row r="238" spans="79:83">
      <c r="CA238" s="446">
        <v>44067</v>
      </c>
      <c r="CB238" s="205" t="str">
        <f t="shared" si="22"/>
        <v>24-Aug</v>
      </c>
      <c r="CC238" s="205" t="s">
        <v>121</v>
      </c>
      <c r="CD238" s="447" t="s">
        <v>130</v>
      </c>
      <c r="CE238" s="447" t="str">
        <f t="shared" si="21"/>
        <v>Virgo - Earth</v>
      </c>
    </row>
    <row r="239" spans="79:83">
      <c r="CA239" s="446">
        <v>44068</v>
      </c>
      <c r="CB239" s="205" t="str">
        <f t="shared" si="22"/>
        <v>25-Aug</v>
      </c>
      <c r="CC239" s="205" t="s">
        <v>121</v>
      </c>
      <c r="CD239" s="447" t="s">
        <v>130</v>
      </c>
      <c r="CE239" s="447" t="str">
        <f t="shared" si="21"/>
        <v>Virgo - Earth</v>
      </c>
    </row>
    <row r="240" spans="79:83">
      <c r="CA240" s="446">
        <v>44069</v>
      </c>
      <c r="CB240" s="205" t="str">
        <f t="shared" si="22"/>
        <v>26-Aug</v>
      </c>
      <c r="CC240" s="205" t="s">
        <v>121</v>
      </c>
      <c r="CD240" s="447" t="s">
        <v>130</v>
      </c>
      <c r="CE240" s="447" t="str">
        <f t="shared" si="21"/>
        <v>Virgo - Earth</v>
      </c>
    </row>
    <row r="241" spans="79:83">
      <c r="CA241" s="446">
        <v>44070</v>
      </c>
      <c r="CB241" s="205" t="str">
        <f t="shared" si="22"/>
        <v>27-Aug</v>
      </c>
      <c r="CC241" s="205" t="s">
        <v>121</v>
      </c>
      <c r="CD241" s="447" t="s">
        <v>130</v>
      </c>
      <c r="CE241" s="447" t="str">
        <f t="shared" si="21"/>
        <v>Virgo - Earth</v>
      </c>
    </row>
    <row r="242" spans="79:83">
      <c r="CA242" s="446">
        <v>44071</v>
      </c>
      <c r="CB242" s="205" t="str">
        <f t="shared" si="22"/>
        <v>28-Aug</v>
      </c>
      <c r="CC242" s="205" t="s">
        <v>121</v>
      </c>
      <c r="CD242" s="447" t="s">
        <v>130</v>
      </c>
      <c r="CE242" s="447" t="str">
        <f t="shared" si="21"/>
        <v>Virgo - Earth</v>
      </c>
    </row>
    <row r="243" spans="79:83">
      <c r="CA243" s="446">
        <v>44072</v>
      </c>
      <c r="CB243" s="205" t="str">
        <f t="shared" si="22"/>
        <v>29-Aug</v>
      </c>
      <c r="CC243" s="205" t="s">
        <v>121</v>
      </c>
      <c r="CD243" s="447" t="s">
        <v>130</v>
      </c>
      <c r="CE243" s="447" t="str">
        <f t="shared" si="21"/>
        <v>Virgo - Earth</v>
      </c>
    </row>
    <row r="244" spans="79:83">
      <c r="CA244" s="446">
        <v>44073</v>
      </c>
      <c r="CB244" s="205" t="str">
        <f t="shared" si="22"/>
        <v>30-Aug</v>
      </c>
      <c r="CC244" s="205" t="s">
        <v>121</v>
      </c>
      <c r="CD244" s="447" t="s">
        <v>130</v>
      </c>
      <c r="CE244" s="447" t="str">
        <f t="shared" si="21"/>
        <v>Virgo - Earth</v>
      </c>
    </row>
    <row r="245" spans="79:83">
      <c r="CA245" s="446">
        <v>44074</v>
      </c>
      <c r="CB245" s="205" t="str">
        <f t="shared" si="22"/>
        <v>31-Aug</v>
      </c>
      <c r="CC245" s="205" t="s">
        <v>121</v>
      </c>
      <c r="CD245" s="447" t="s">
        <v>130</v>
      </c>
      <c r="CE245" s="447" t="str">
        <f t="shared" si="21"/>
        <v>Virgo - Earth</v>
      </c>
    </row>
    <row r="246" spans="79:83">
      <c r="CA246" s="446">
        <v>44075</v>
      </c>
      <c r="CB246" s="205" t="str">
        <f t="shared" si="22"/>
        <v>01-Sep</v>
      </c>
      <c r="CC246" s="205" t="s">
        <v>121</v>
      </c>
      <c r="CD246" s="447" t="s">
        <v>130</v>
      </c>
      <c r="CE246" s="447" t="str">
        <f t="shared" si="21"/>
        <v>Virgo - Earth</v>
      </c>
    </row>
    <row r="247" spans="79:83">
      <c r="CA247" s="446">
        <v>44076</v>
      </c>
      <c r="CB247" s="205" t="str">
        <f t="shared" si="22"/>
        <v>02-Sep</v>
      </c>
      <c r="CC247" s="205" t="s">
        <v>121</v>
      </c>
      <c r="CD247" s="447" t="s">
        <v>130</v>
      </c>
      <c r="CE247" s="447" t="str">
        <f t="shared" si="21"/>
        <v>Virgo - Earth</v>
      </c>
    </row>
    <row r="248" spans="79:83">
      <c r="CA248" s="446">
        <v>44077</v>
      </c>
      <c r="CB248" s="205" t="str">
        <f t="shared" si="22"/>
        <v>03-Sep</v>
      </c>
      <c r="CC248" s="205" t="s">
        <v>121</v>
      </c>
      <c r="CD248" s="447" t="s">
        <v>130</v>
      </c>
      <c r="CE248" s="447" t="str">
        <f t="shared" si="21"/>
        <v>Virgo - Earth</v>
      </c>
    </row>
    <row r="249" spans="79:83">
      <c r="CA249" s="446">
        <v>44078</v>
      </c>
      <c r="CB249" s="205" t="str">
        <f t="shared" si="22"/>
        <v>04-Sep</v>
      </c>
      <c r="CC249" s="205" t="s">
        <v>121</v>
      </c>
      <c r="CD249" s="447" t="s">
        <v>130</v>
      </c>
      <c r="CE249" s="447" t="str">
        <f t="shared" si="21"/>
        <v>Virgo - Earth</v>
      </c>
    </row>
    <row r="250" spans="79:83">
      <c r="CA250" s="446">
        <v>44079</v>
      </c>
      <c r="CB250" s="205" t="str">
        <f t="shared" si="22"/>
        <v>05-Sep</v>
      </c>
      <c r="CC250" s="205" t="s">
        <v>121</v>
      </c>
      <c r="CD250" s="447" t="s">
        <v>130</v>
      </c>
      <c r="CE250" s="447" t="str">
        <f t="shared" si="21"/>
        <v>Virgo - Earth</v>
      </c>
    </row>
    <row r="251" spans="79:83">
      <c r="CA251" s="446">
        <v>44080</v>
      </c>
      <c r="CB251" s="205" t="str">
        <f t="shared" si="22"/>
        <v>06-Sep</v>
      </c>
      <c r="CC251" s="205" t="s">
        <v>121</v>
      </c>
      <c r="CD251" s="447" t="s">
        <v>130</v>
      </c>
      <c r="CE251" s="447" t="str">
        <f t="shared" si="21"/>
        <v>Virgo - Earth</v>
      </c>
    </row>
    <row r="252" spans="79:83">
      <c r="CA252" s="446">
        <v>44081</v>
      </c>
      <c r="CB252" s="205" t="str">
        <f t="shared" si="22"/>
        <v>07-Sep</v>
      </c>
      <c r="CC252" s="205" t="s">
        <v>121</v>
      </c>
      <c r="CD252" s="447" t="s">
        <v>130</v>
      </c>
      <c r="CE252" s="447" t="str">
        <f t="shared" si="21"/>
        <v>Virgo - Earth</v>
      </c>
    </row>
    <row r="253" spans="79:83">
      <c r="CA253" s="446">
        <v>44082</v>
      </c>
      <c r="CB253" s="205" t="str">
        <f t="shared" si="22"/>
        <v>08-Sep</v>
      </c>
      <c r="CC253" s="205" t="s">
        <v>121</v>
      </c>
      <c r="CD253" s="447" t="s">
        <v>130</v>
      </c>
      <c r="CE253" s="447" t="str">
        <f t="shared" si="21"/>
        <v>Virgo - Earth</v>
      </c>
    </row>
    <row r="254" spans="79:83">
      <c r="CA254" s="446">
        <v>44083</v>
      </c>
      <c r="CB254" s="205" t="str">
        <f t="shared" si="22"/>
        <v>09-Sep</v>
      </c>
      <c r="CC254" s="205" t="s">
        <v>121</v>
      </c>
      <c r="CD254" s="447" t="s">
        <v>130</v>
      </c>
      <c r="CE254" s="447" t="str">
        <f t="shared" si="21"/>
        <v>Virgo - Earth</v>
      </c>
    </row>
    <row r="255" spans="79:83">
      <c r="CA255" s="446">
        <v>44084</v>
      </c>
      <c r="CB255" s="205" t="str">
        <f t="shared" si="22"/>
        <v>10-Sep</v>
      </c>
      <c r="CC255" s="205" t="s">
        <v>121</v>
      </c>
      <c r="CD255" s="447" t="s">
        <v>130</v>
      </c>
      <c r="CE255" s="447" t="str">
        <f t="shared" si="21"/>
        <v>Virgo - Earth</v>
      </c>
    </row>
    <row r="256" spans="79:83">
      <c r="CA256" s="446">
        <v>44085</v>
      </c>
      <c r="CB256" s="205" t="str">
        <f t="shared" si="22"/>
        <v>11-Sep</v>
      </c>
      <c r="CC256" s="205" t="s">
        <v>121</v>
      </c>
      <c r="CD256" s="447" t="s">
        <v>130</v>
      </c>
      <c r="CE256" s="447" t="str">
        <f t="shared" si="21"/>
        <v>Virgo - Earth</v>
      </c>
    </row>
    <row r="257" spans="79:83">
      <c r="CA257" s="446">
        <v>44086</v>
      </c>
      <c r="CB257" s="205" t="str">
        <f t="shared" si="22"/>
        <v>12-Sep</v>
      </c>
      <c r="CC257" s="205" t="s">
        <v>121</v>
      </c>
      <c r="CD257" s="447" t="s">
        <v>130</v>
      </c>
      <c r="CE257" s="447" t="str">
        <f t="shared" ref="CE257:CE320" si="23">CC257&amp;" - "&amp;CD257</f>
        <v>Virgo - Earth</v>
      </c>
    </row>
    <row r="258" spans="79:83">
      <c r="CA258" s="446">
        <v>44087</v>
      </c>
      <c r="CB258" s="205" t="str">
        <f t="shared" si="22"/>
        <v>13-Sep</v>
      </c>
      <c r="CC258" s="205" t="s">
        <v>121</v>
      </c>
      <c r="CD258" s="447" t="s">
        <v>130</v>
      </c>
      <c r="CE258" s="447" t="str">
        <f t="shared" si="23"/>
        <v>Virgo - Earth</v>
      </c>
    </row>
    <row r="259" spans="79:83">
      <c r="CA259" s="446">
        <v>44088</v>
      </c>
      <c r="CB259" s="205" t="str">
        <f t="shared" ref="CB259:CB322" si="24">TEXT(CA259,"DD-MMM")</f>
        <v>14-Sep</v>
      </c>
      <c r="CC259" s="205" t="s">
        <v>121</v>
      </c>
      <c r="CD259" s="447" t="s">
        <v>130</v>
      </c>
      <c r="CE259" s="447" t="str">
        <f t="shared" si="23"/>
        <v>Virgo - Earth</v>
      </c>
    </row>
    <row r="260" spans="79:83">
      <c r="CA260" s="446">
        <v>44089</v>
      </c>
      <c r="CB260" s="205" t="str">
        <f t="shared" si="24"/>
        <v>15-Sep</v>
      </c>
      <c r="CC260" s="205" t="s">
        <v>121</v>
      </c>
      <c r="CD260" s="447" t="s">
        <v>130</v>
      </c>
      <c r="CE260" s="447" t="str">
        <f t="shared" si="23"/>
        <v>Virgo - Earth</v>
      </c>
    </row>
    <row r="261" spans="79:83">
      <c r="CA261" s="446">
        <v>44090</v>
      </c>
      <c r="CB261" s="205" t="str">
        <f t="shared" si="24"/>
        <v>16-Sep</v>
      </c>
      <c r="CC261" s="205" t="s">
        <v>121</v>
      </c>
      <c r="CD261" s="447" t="s">
        <v>130</v>
      </c>
      <c r="CE261" s="447" t="str">
        <f t="shared" si="23"/>
        <v>Virgo - Earth</v>
      </c>
    </row>
    <row r="262" spans="79:83">
      <c r="CA262" s="446">
        <v>44091</v>
      </c>
      <c r="CB262" s="205" t="str">
        <f t="shared" si="24"/>
        <v>17-Sep</v>
      </c>
      <c r="CC262" s="205" t="s">
        <v>121</v>
      </c>
      <c r="CD262" s="447" t="s">
        <v>130</v>
      </c>
      <c r="CE262" s="447" t="str">
        <f t="shared" si="23"/>
        <v>Virgo - Earth</v>
      </c>
    </row>
    <row r="263" spans="79:83">
      <c r="CA263" s="446">
        <v>44092</v>
      </c>
      <c r="CB263" s="205" t="str">
        <f t="shared" si="24"/>
        <v>18-Sep</v>
      </c>
      <c r="CC263" s="205" t="s">
        <v>121</v>
      </c>
      <c r="CD263" s="447" t="s">
        <v>130</v>
      </c>
      <c r="CE263" s="447" t="str">
        <f t="shared" si="23"/>
        <v>Virgo - Earth</v>
      </c>
    </row>
    <row r="264" spans="79:83">
      <c r="CA264" s="446">
        <v>44093</v>
      </c>
      <c r="CB264" s="205" t="str">
        <f t="shared" si="24"/>
        <v>19-Sep</v>
      </c>
      <c r="CC264" s="205" t="s">
        <v>121</v>
      </c>
      <c r="CD264" s="447" t="s">
        <v>130</v>
      </c>
      <c r="CE264" s="447" t="str">
        <f t="shared" si="23"/>
        <v>Virgo - Earth</v>
      </c>
    </row>
    <row r="265" spans="79:83">
      <c r="CA265" s="446">
        <v>44094</v>
      </c>
      <c r="CB265" s="205" t="str">
        <f t="shared" si="24"/>
        <v>20-Sep</v>
      </c>
      <c r="CC265" s="205" t="s">
        <v>121</v>
      </c>
      <c r="CD265" s="447" t="s">
        <v>130</v>
      </c>
      <c r="CE265" s="447" t="str">
        <f t="shared" si="23"/>
        <v>Virgo - Earth</v>
      </c>
    </row>
    <row r="266" spans="79:83">
      <c r="CA266" s="446">
        <v>44095</v>
      </c>
      <c r="CB266" s="205" t="str">
        <f t="shared" si="24"/>
        <v>21-Sep</v>
      </c>
      <c r="CC266" s="205" t="s">
        <v>121</v>
      </c>
      <c r="CD266" s="447" t="s">
        <v>130</v>
      </c>
      <c r="CE266" s="447" t="str">
        <f t="shared" si="23"/>
        <v>Virgo - Earth</v>
      </c>
    </row>
    <row r="267" spans="79:83">
      <c r="CA267" s="446">
        <v>44096</v>
      </c>
      <c r="CB267" s="205" t="str">
        <f t="shared" si="24"/>
        <v>22-Sep</v>
      </c>
      <c r="CC267" s="205" t="s">
        <v>121</v>
      </c>
      <c r="CD267" s="447" t="s">
        <v>130</v>
      </c>
      <c r="CE267" s="447" t="str">
        <f t="shared" si="23"/>
        <v>Virgo - Earth</v>
      </c>
    </row>
    <row r="268" spans="79:83">
      <c r="CA268" s="446">
        <v>44097</v>
      </c>
      <c r="CB268" s="205" t="str">
        <f t="shared" si="24"/>
        <v>23-Sep</v>
      </c>
      <c r="CC268" s="205" t="s">
        <v>122</v>
      </c>
      <c r="CD268" s="447" t="s">
        <v>132</v>
      </c>
      <c r="CE268" s="447" t="str">
        <f t="shared" si="23"/>
        <v>Libra - Air</v>
      </c>
    </row>
    <row r="269" spans="79:83">
      <c r="CA269" s="446">
        <v>44098</v>
      </c>
      <c r="CB269" s="205" t="str">
        <f t="shared" si="24"/>
        <v>24-Sep</v>
      </c>
      <c r="CC269" s="205" t="s">
        <v>122</v>
      </c>
      <c r="CD269" s="447" t="s">
        <v>132</v>
      </c>
      <c r="CE269" s="447" t="str">
        <f t="shared" si="23"/>
        <v>Libra - Air</v>
      </c>
    </row>
    <row r="270" spans="79:83">
      <c r="CA270" s="446">
        <v>44099</v>
      </c>
      <c r="CB270" s="205" t="str">
        <f t="shared" si="24"/>
        <v>25-Sep</v>
      </c>
      <c r="CC270" s="205" t="s">
        <v>122</v>
      </c>
      <c r="CD270" s="447" t="s">
        <v>132</v>
      </c>
      <c r="CE270" s="447" t="str">
        <f t="shared" si="23"/>
        <v>Libra - Air</v>
      </c>
    </row>
    <row r="271" spans="79:83">
      <c r="CA271" s="446">
        <v>44100</v>
      </c>
      <c r="CB271" s="205" t="str">
        <f t="shared" si="24"/>
        <v>26-Sep</v>
      </c>
      <c r="CC271" s="205" t="s">
        <v>122</v>
      </c>
      <c r="CD271" s="447" t="s">
        <v>132</v>
      </c>
      <c r="CE271" s="447" t="str">
        <f t="shared" si="23"/>
        <v>Libra - Air</v>
      </c>
    </row>
    <row r="272" spans="79:83">
      <c r="CA272" s="446">
        <v>44101</v>
      </c>
      <c r="CB272" s="205" t="str">
        <f t="shared" si="24"/>
        <v>27-Sep</v>
      </c>
      <c r="CC272" s="205" t="s">
        <v>122</v>
      </c>
      <c r="CD272" s="447" t="s">
        <v>132</v>
      </c>
      <c r="CE272" s="447" t="str">
        <f t="shared" si="23"/>
        <v>Libra - Air</v>
      </c>
    </row>
    <row r="273" spans="79:83">
      <c r="CA273" s="446">
        <v>44102</v>
      </c>
      <c r="CB273" s="205" t="str">
        <f t="shared" si="24"/>
        <v>28-Sep</v>
      </c>
      <c r="CC273" s="205" t="s">
        <v>122</v>
      </c>
      <c r="CD273" s="447" t="s">
        <v>132</v>
      </c>
      <c r="CE273" s="447" t="str">
        <f t="shared" si="23"/>
        <v>Libra - Air</v>
      </c>
    </row>
    <row r="274" spans="79:83">
      <c r="CA274" s="446">
        <v>44103</v>
      </c>
      <c r="CB274" s="205" t="str">
        <f t="shared" si="24"/>
        <v>29-Sep</v>
      </c>
      <c r="CC274" s="205" t="s">
        <v>122</v>
      </c>
      <c r="CD274" s="447" t="s">
        <v>132</v>
      </c>
      <c r="CE274" s="447" t="str">
        <f t="shared" si="23"/>
        <v>Libra - Air</v>
      </c>
    </row>
    <row r="275" spans="79:83">
      <c r="CA275" s="446">
        <v>44104</v>
      </c>
      <c r="CB275" s="205" t="str">
        <f t="shared" si="24"/>
        <v>30-Sep</v>
      </c>
      <c r="CC275" s="205" t="s">
        <v>122</v>
      </c>
      <c r="CD275" s="447" t="s">
        <v>132</v>
      </c>
      <c r="CE275" s="447" t="str">
        <f t="shared" si="23"/>
        <v>Libra - Air</v>
      </c>
    </row>
    <row r="276" spans="79:83">
      <c r="CA276" s="446">
        <v>44105</v>
      </c>
      <c r="CB276" s="205" t="str">
        <f t="shared" si="24"/>
        <v>01-Oct</v>
      </c>
      <c r="CC276" s="205" t="s">
        <v>122</v>
      </c>
      <c r="CD276" s="447" t="s">
        <v>132</v>
      </c>
      <c r="CE276" s="447" t="str">
        <f t="shared" si="23"/>
        <v>Libra - Air</v>
      </c>
    </row>
    <row r="277" spans="79:83">
      <c r="CA277" s="446">
        <v>44106</v>
      </c>
      <c r="CB277" s="205" t="str">
        <f t="shared" si="24"/>
        <v>02-Oct</v>
      </c>
      <c r="CC277" s="205" t="s">
        <v>122</v>
      </c>
      <c r="CD277" s="447" t="s">
        <v>132</v>
      </c>
      <c r="CE277" s="447" t="str">
        <f t="shared" si="23"/>
        <v>Libra - Air</v>
      </c>
    </row>
    <row r="278" spans="79:83">
      <c r="CA278" s="446">
        <v>44107</v>
      </c>
      <c r="CB278" s="205" t="str">
        <f t="shared" si="24"/>
        <v>03-Oct</v>
      </c>
      <c r="CC278" s="205" t="s">
        <v>122</v>
      </c>
      <c r="CD278" s="447" t="s">
        <v>132</v>
      </c>
      <c r="CE278" s="447" t="str">
        <f t="shared" si="23"/>
        <v>Libra - Air</v>
      </c>
    </row>
    <row r="279" spans="79:83">
      <c r="CA279" s="446">
        <v>44108</v>
      </c>
      <c r="CB279" s="205" t="str">
        <f t="shared" si="24"/>
        <v>04-Oct</v>
      </c>
      <c r="CC279" s="205" t="s">
        <v>122</v>
      </c>
      <c r="CD279" s="447" t="s">
        <v>132</v>
      </c>
      <c r="CE279" s="447" t="str">
        <f t="shared" si="23"/>
        <v>Libra - Air</v>
      </c>
    </row>
    <row r="280" spans="79:83">
      <c r="CA280" s="446">
        <v>44109</v>
      </c>
      <c r="CB280" s="205" t="str">
        <f t="shared" si="24"/>
        <v>05-Oct</v>
      </c>
      <c r="CC280" s="205" t="s">
        <v>122</v>
      </c>
      <c r="CD280" s="447" t="s">
        <v>132</v>
      </c>
      <c r="CE280" s="447" t="str">
        <f t="shared" si="23"/>
        <v>Libra - Air</v>
      </c>
    </row>
    <row r="281" spans="79:83">
      <c r="CA281" s="446">
        <v>44110</v>
      </c>
      <c r="CB281" s="205" t="str">
        <f t="shared" si="24"/>
        <v>06-Oct</v>
      </c>
      <c r="CC281" s="205" t="s">
        <v>122</v>
      </c>
      <c r="CD281" s="447" t="s">
        <v>132</v>
      </c>
      <c r="CE281" s="447" t="str">
        <f t="shared" si="23"/>
        <v>Libra - Air</v>
      </c>
    </row>
    <row r="282" spans="79:83">
      <c r="CA282" s="446">
        <v>44111</v>
      </c>
      <c r="CB282" s="205" t="str">
        <f t="shared" si="24"/>
        <v>07-Oct</v>
      </c>
      <c r="CC282" s="205" t="s">
        <v>122</v>
      </c>
      <c r="CD282" s="447" t="s">
        <v>132</v>
      </c>
      <c r="CE282" s="447" t="str">
        <f t="shared" si="23"/>
        <v>Libra - Air</v>
      </c>
    </row>
    <row r="283" spans="79:83">
      <c r="CA283" s="446">
        <v>44112</v>
      </c>
      <c r="CB283" s="205" t="str">
        <f t="shared" si="24"/>
        <v>08-Oct</v>
      </c>
      <c r="CC283" s="205" t="s">
        <v>122</v>
      </c>
      <c r="CD283" s="447" t="s">
        <v>132</v>
      </c>
      <c r="CE283" s="447" t="str">
        <f t="shared" si="23"/>
        <v>Libra - Air</v>
      </c>
    </row>
    <row r="284" spans="79:83">
      <c r="CA284" s="446">
        <v>44113</v>
      </c>
      <c r="CB284" s="205" t="str">
        <f t="shared" si="24"/>
        <v>09-Oct</v>
      </c>
      <c r="CC284" s="205" t="s">
        <v>122</v>
      </c>
      <c r="CD284" s="447" t="s">
        <v>132</v>
      </c>
      <c r="CE284" s="447" t="str">
        <f t="shared" si="23"/>
        <v>Libra - Air</v>
      </c>
    </row>
    <row r="285" spans="79:83">
      <c r="CA285" s="446">
        <v>44114</v>
      </c>
      <c r="CB285" s="205" t="str">
        <f t="shared" si="24"/>
        <v>10-Oct</v>
      </c>
      <c r="CC285" s="205" t="s">
        <v>122</v>
      </c>
      <c r="CD285" s="447" t="s">
        <v>132</v>
      </c>
      <c r="CE285" s="447" t="str">
        <f t="shared" si="23"/>
        <v>Libra - Air</v>
      </c>
    </row>
    <row r="286" spans="79:83">
      <c r="CA286" s="446">
        <v>44115</v>
      </c>
      <c r="CB286" s="205" t="str">
        <f t="shared" si="24"/>
        <v>11-Oct</v>
      </c>
      <c r="CC286" s="205" t="s">
        <v>122</v>
      </c>
      <c r="CD286" s="447" t="s">
        <v>132</v>
      </c>
      <c r="CE286" s="447" t="str">
        <f t="shared" si="23"/>
        <v>Libra - Air</v>
      </c>
    </row>
    <row r="287" spans="79:83">
      <c r="CA287" s="446">
        <v>44116</v>
      </c>
      <c r="CB287" s="205" t="str">
        <f t="shared" si="24"/>
        <v>12-Oct</v>
      </c>
      <c r="CC287" s="205" t="s">
        <v>122</v>
      </c>
      <c r="CD287" s="447" t="s">
        <v>132</v>
      </c>
      <c r="CE287" s="447" t="str">
        <f t="shared" si="23"/>
        <v>Libra - Air</v>
      </c>
    </row>
    <row r="288" spans="79:83">
      <c r="CA288" s="446">
        <v>44117</v>
      </c>
      <c r="CB288" s="205" t="str">
        <f t="shared" si="24"/>
        <v>13-Oct</v>
      </c>
      <c r="CC288" s="205" t="s">
        <v>122</v>
      </c>
      <c r="CD288" s="447" t="s">
        <v>132</v>
      </c>
      <c r="CE288" s="447" t="str">
        <f t="shared" si="23"/>
        <v>Libra - Air</v>
      </c>
    </row>
    <row r="289" spans="79:83">
      <c r="CA289" s="446">
        <v>44118</v>
      </c>
      <c r="CB289" s="205" t="str">
        <f t="shared" si="24"/>
        <v>14-Oct</v>
      </c>
      <c r="CC289" s="205" t="s">
        <v>122</v>
      </c>
      <c r="CD289" s="447" t="s">
        <v>132</v>
      </c>
      <c r="CE289" s="447" t="str">
        <f t="shared" si="23"/>
        <v>Libra - Air</v>
      </c>
    </row>
    <row r="290" spans="79:83">
      <c r="CA290" s="446">
        <v>44119</v>
      </c>
      <c r="CB290" s="205" t="str">
        <f t="shared" si="24"/>
        <v>15-Oct</v>
      </c>
      <c r="CC290" s="205" t="s">
        <v>122</v>
      </c>
      <c r="CD290" s="447" t="s">
        <v>132</v>
      </c>
      <c r="CE290" s="447" t="str">
        <f t="shared" si="23"/>
        <v>Libra - Air</v>
      </c>
    </row>
    <row r="291" spans="79:83">
      <c r="CA291" s="446">
        <v>44120</v>
      </c>
      <c r="CB291" s="205" t="str">
        <f t="shared" si="24"/>
        <v>16-Oct</v>
      </c>
      <c r="CC291" s="205" t="s">
        <v>122</v>
      </c>
      <c r="CD291" s="447" t="s">
        <v>132</v>
      </c>
      <c r="CE291" s="447" t="str">
        <f t="shared" si="23"/>
        <v>Libra - Air</v>
      </c>
    </row>
    <row r="292" spans="79:83">
      <c r="CA292" s="446">
        <v>44121</v>
      </c>
      <c r="CB292" s="205" t="str">
        <f t="shared" si="24"/>
        <v>17-Oct</v>
      </c>
      <c r="CC292" s="205" t="s">
        <v>122</v>
      </c>
      <c r="CD292" s="447" t="s">
        <v>132</v>
      </c>
      <c r="CE292" s="447" t="str">
        <f t="shared" si="23"/>
        <v>Libra - Air</v>
      </c>
    </row>
    <row r="293" spans="79:83">
      <c r="CA293" s="446">
        <v>44122</v>
      </c>
      <c r="CB293" s="205" t="str">
        <f t="shared" si="24"/>
        <v>18-Oct</v>
      </c>
      <c r="CC293" s="205" t="s">
        <v>122</v>
      </c>
      <c r="CD293" s="447" t="s">
        <v>132</v>
      </c>
      <c r="CE293" s="447" t="str">
        <f t="shared" si="23"/>
        <v>Libra - Air</v>
      </c>
    </row>
    <row r="294" spans="79:83">
      <c r="CA294" s="446">
        <v>44123</v>
      </c>
      <c r="CB294" s="205" t="str">
        <f t="shared" si="24"/>
        <v>19-Oct</v>
      </c>
      <c r="CC294" s="205" t="s">
        <v>122</v>
      </c>
      <c r="CD294" s="447" t="s">
        <v>132</v>
      </c>
      <c r="CE294" s="447" t="str">
        <f t="shared" si="23"/>
        <v>Libra - Air</v>
      </c>
    </row>
    <row r="295" spans="79:83">
      <c r="CA295" s="446">
        <v>44124</v>
      </c>
      <c r="CB295" s="205" t="str">
        <f t="shared" si="24"/>
        <v>20-Oct</v>
      </c>
      <c r="CC295" s="205" t="s">
        <v>122</v>
      </c>
      <c r="CD295" s="447" t="s">
        <v>132</v>
      </c>
      <c r="CE295" s="447" t="str">
        <f t="shared" si="23"/>
        <v>Libra - Air</v>
      </c>
    </row>
    <row r="296" spans="79:83">
      <c r="CA296" s="446">
        <v>44125</v>
      </c>
      <c r="CB296" s="205" t="str">
        <f t="shared" si="24"/>
        <v>21-Oct</v>
      </c>
      <c r="CC296" s="205" t="s">
        <v>122</v>
      </c>
      <c r="CD296" s="447" t="s">
        <v>132</v>
      </c>
      <c r="CE296" s="447" t="str">
        <f t="shared" si="23"/>
        <v>Libra - Air</v>
      </c>
    </row>
    <row r="297" spans="79:83">
      <c r="CA297" s="446">
        <v>44126</v>
      </c>
      <c r="CB297" s="205" t="str">
        <f t="shared" si="24"/>
        <v>22-Oct</v>
      </c>
      <c r="CC297" s="205" t="s">
        <v>122</v>
      </c>
      <c r="CD297" s="447" t="s">
        <v>132</v>
      </c>
      <c r="CE297" s="447" t="str">
        <f t="shared" si="23"/>
        <v>Libra - Air</v>
      </c>
    </row>
    <row r="298" spans="79:83">
      <c r="CA298" s="446">
        <v>44127</v>
      </c>
      <c r="CB298" s="205" t="str">
        <f t="shared" si="24"/>
        <v>23-Oct</v>
      </c>
      <c r="CC298" s="205" t="s">
        <v>123</v>
      </c>
      <c r="CD298" s="447" t="s">
        <v>131</v>
      </c>
      <c r="CE298" s="447" t="str">
        <f t="shared" si="23"/>
        <v>Scorpio - Water</v>
      </c>
    </row>
    <row r="299" spans="79:83">
      <c r="CA299" s="446">
        <v>44128</v>
      </c>
      <c r="CB299" s="205" t="str">
        <f t="shared" si="24"/>
        <v>24-Oct</v>
      </c>
      <c r="CC299" s="205" t="s">
        <v>123</v>
      </c>
      <c r="CD299" s="447" t="s">
        <v>131</v>
      </c>
      <c r="CE299" s="447" t="str">
        <f t="shared" si="23"/>
        <v>Scorpio - Water</v>
      </c>
    </row>
    <row r="300" spans="79:83">
      <c r="CA300" s="446">
        <v>44129</v>
      </c>
      <c r="CB300" s="205" t="str">
        <f t="shared" si="24"/>
        <v>25-Oct</v>
      </c>
      <c r="CC300" s="205" t="s">
        <v>123</v>
      </c>
      <c r="CD300" s="447" t="s">
        <v>131</v>
      </c>
      <c r="CE300" s="447" t="str">
        <f t="shared" si="23"/>
        <v>Scorpio - Water</v>
      </c>
    </row>
    <row r="301" spans="79:83">
      <c r="CA301" s="446">
        <v>44130</v>
      </c>
      <c r="CB301" s="205" t="str">
        <f t="shared" si="24"/>
        <v>26-Oct</v>
      </c>
      <c r="CC301" s="205" t="s">
        <v>123</v>
      </c>
      <c r="CD301" s="447" t="s">
        <v>131</v>
      </c>
      <c r="CE301" s="447" t="str">
        <f t="shared" si="23"/>
        <v>Scorpio - Water</v>
      </c>
    </row>
    <row r="302" spans="79:83">
      <c r="CA302" s="446">
        <v>44131</v>
      </c>
      <c r="CB302" s="205" t="str">
        <f t="shared" si="24"/>
        <v>27-Oct</v>
      </c>
      <c r="CC302" s="205" t="s">
        <v>123</v>
      </c>
      <c r="CD302" s="447" t="s">
        <v>131</v>
      </c>
      <c r="CE302" s="447" t="str">
        <f t="shared" si="23"/>
        <v>Scorpio - Water</v>
      </c>
    </row>
    <row r="303" spans="79:83">
      <c r="CA303" s="446">
        <v>44132</v>
      </c>
      <c r="CB303" s="205" t="str">
        <f t="shared" si="24"/>
        <v>28-Oct</v>
      </c>
      <c r="CC303" s="205" t="s">
        <v>123</v>
      </c>
      <c r="CD303" s="447" t="s">
        <v>131</v>
      </c>
      <c r="CE303" s="447" t="str">
        <f t="shared" si="23"/>
        <v>Scorpio - Water</v>
      </c>
    </row>
    <row r="304" spans="79:83">
      <c r="CA304" s="446">
        <v>44133</v>
      </c>
      <c r="CB304" s="205" t="str">
        <f t="shared" si="24"/>
        <v>29-Oct</v>
      </c>
      <c r="CC304" s="205" t="s">
        <v>123</v>
      </c>
      <c r="CD304" s="447" t="s">
        <v>131</v>
      </c>
      <c r="CE304" s="447" t="str">
        <f t="shared" si="23"/>
        <v>Scorpio - Water</v>
      </c>
    </row>
    <row r="305" spans="79:83">
      <c r="CA305" s="446">
        <v>44134</v>
      </c>
      <c r="CB305" s="205" t="str">
        <f t="shared" si="24"/>
        <v>30-Oct</v>
      </c>
      <c r="CC305" s="205" t="s">
        <v>123</v>
      </c>
      <c r="CD305" s="447" t="s">
        <v>131</v>
      </c>
      <c r="CE305" s="447" t="str">
        <f t="shared" si="23"/>
        <v>Scorpio - Water</v>
      </c>
    </row>
    <row r="306" spans="79:83">
      <c r="CA306" s="446">
        <v>44135</v>
      </c>
      <c r="CB306" s="205" t="str">
        <f t="shared" si="24"/>
        <v>31-Oct</v>
      </c>
      <c r="CC306" s="205" t="s">
        <v>123</v>
      </c>
      <c r="CD306" s="447" t="s">
        <v>131</v>
      </c>
      <c r="CE306" s="447" t="str">
        <f t="shared" si="23"/>
        <v>Scorpio - Water</v>
      </c>
    </row>
    <row r="307" spans="79:83">
      <c r="CA307" s="446">
        <v>44136</v>
      </c>
      <c r="CB307" s="205" t="str">
        <f t="shared" si="24"/>
        <v>01-Nov</v>
      </c>
      <c r="CC307" s="205" t="s">
        <v>123</v>
      </c>
      <c r="CD307" s="447" t="s">
        <v>131</v>
      </c>
      <c r="CE307" s="447" t="str">
        <f t="shared" si="23"/>
        <v>Scorpio - Water</v>
      </c>
    </row>
    <row r="308" spans="79:83">
      <c r="CA308" s="446">
        <v>44137</v>
      </c>
      <c r="CB308" s="205" t="str">
        <f t="shared" si="24"/>
        <v>02-Nov</v>
      </c>
      <c r="CC308" s="205" t="s">
        <v>123</v>
      </c>
      <c r="CD308" s="447" t="s">
        <v>131</v>
      </c>
      <c r="CE308" s="447" t="str">
        <f t="shared" si="23"/>
        <v>Scorpio - Water</v>
      </c>
    </row>
    <row r="309" spans="79:83">
      <c r="CA309" s="446">
        <v>44138</v>
      </c>
      <c r="CB309" s="205" t="str">
        <f t="shared" si="24"/>
        <v>03-Nov</v>
      </c>
      <c r="CC309" s="205" t="s">
        <v>123</v>
      </c>
      <c r="CD309" s="447" t="s">
        <v>131</v>
      </c>
      <c r="CE309" s="447" t="str">
        <f t="shared" si="23"/>
        <v>Scorpio - Water</v>
      </c>
    </row>
    <row r="310" spans="79:83">
      <c r="CA310" s="446">
        <v>44139</v>
      </c>
      <c r="CB310" s="205" t="str">
        <f t="shared" si="24"/>
        <v>04-Nov</v>
      </c>
      <c r="CC310" s="205" t="s">
        <v>123</v>
      </c>
      <c r="CD310" s="447" t="s">
        <v>131</v>
      </c>
      <c r="CE310" s="447" t="str">
        <f t="shared" si="23"/>
        <v>Scorpio - Water</v>
      </c>
    </row>
    <row r="311" spans="79:83">
      <c r="CA311" s="446">
        <v>44140</v>
      </c>
      <c r="CB311" s="205" t="str">
        <f t="shared" si="24"/>
        <v>05-Nov</v>
      </c>
      <c r="CC311" s="205" t="s">
        <v>123</v>
      </c>
      <c r="CD311" s="447" t="s">
        <v>131</v>
      </c>
      <c r="CE311" s="447" t="str">
        <f t="shared" si="23"/>
        <v>Scorpio - Water</v>
      </c>
    </row>
    <row r="312" spans="79:83">
      <c r="CA312" s="446">
        <v>44141</v>
      </c>
      <c r="CB312" s="205" t="str">
        <f t="shared" si="24"/>
        <v>06-Nov</v>
      </c>
      <c r="CC312" s="205" t="s">
        <v>123</v>
      </c>
      <c r="CD312" s="447" t="s">
        <v>131</v>
      </c>
      <c r="CE312" s="447" t="str">
        <f t="shared" si="23"/>
        <v>Scorpio - Water</v>
      </c>
    </row>
    <row r="313" spans="79:83">
      <c r="CA313" s="446">
        <v>44142</v>
      </c>
      <c r="CB313" s="205" t="str">
        <f t="shared" si="24"/>
        <v>07-Nov</v>
      </c>
      <c r="CC313" s="205" t="s">
        <v>123</v>
      </c>
      <c r="CD313" s="447" t="s">
        <v>131</v>
      </c>
      <c r="CE313" s="447" t="str">
        <f t="shared" si="23"/>
        <v>Scorpio - Water</v>
      </c>
    </row>
    <row r="314" spans="79:83">
      <c r="CA314" s="446">
        <v>44143</v>
      </c>
      <c r="CB314" s="205" t="str">
        <f t="shared" si="24"/>
        <v>08-Nov</v>
      </c>
      <c r="CC314" s="205" t="s">
        <v>123</v>
      </c>
      <c r="CD314" s="447" t="s">
        <v>131</v>
      </c>
      <c r="CE314" s="447" t="str">
        <f t="shared" si="23"/>
        <v>Scorpio - Water</v>
      </c>
    </row>
    <row r="315" spans="79:83">
      <c r="CA315" s="446">
        <v>44144</v>
      </c>
      <c r="CB315" s="205" t="str">
        <f t="shared" si="24"/>
        <v>09-Nov</v>
      </c>
      <c r="CC315" s="205" t="s">
        <v>123</v>
      </c>
      <c r="CD315" s="447" t="s">
        <v>131</v>
      </c>
      <c r="CE315" s="447" t="str">
        <f t="shared" si="23"/>
        <v>Scorpio - Water</v>
      </c>
    </row>
    <row r="316" spans="79:83">
      <c r="CA316" s="446">
        <v>44145</v>
      </c>
      <c r="CB316" s="205" t="str">
        <f t="shared" si="24"/>
        <v>10-Nov</v>
      </c>
      <c r="CC316" s="205" t="s">
        <v>123</v>
      </c>
      <c r="CD316" s="447" t="s">
        <v>131</v>
      </c>
      <c r="CE316" s="447" t="str">
        <f t="shared" si="23"/>
        <v>Scorpio - Water</v>
      </c>
    </row>
    <row r="317" spans="79:83">
      <c r="CA317" s="446">
        <v>44146</v>
      </c>
      <c r="CB317" s="205" t="str">
        <f t="shared" si="24"/>
        <v>11-Nov</v>
      </c>
      <c r="CC317" s="205" t="s">
        <v>123</v>
      </c>
      <c r="CD317" s="447" t="s">
        <v>131</v>
      </c>
      <c r="CE317" s="447" t="str">
        <f t="shared" si="23"/>
        <v>Scorpio - Water</v>
      </c>
    </row>
    <row r="318" spans="79:83">
      <c r="CA318" s="446">
        <v>44147</v>
      </c>
      <c r="CB318" s="205" t="str">
        <f t="shared" si="24"/>
        <v>12-Nov</v>
      </c>
      <c r="CC318" s="205" t="s">
        <v>123</v>
      </c>
      <c r="CD318" s="447" t="s">
        <v>131</v>
      </c>
      <c r="CE318" s="447" t="str">
        <f t="shared" si="23"/>
        <v>Scorpio - Water</v>
      </c>
    </row>
    <row r="319" spans="79:83">
      <c r="CA319" s="446">
        <v>44148</v>
      </c>
      <c r="CB319" s="205" t="str">
        <f t="shared" si="24"/>
        <v>13-Nov</v>
      </c>
      <c r="CC319" s="205" t="s">
        <v>123</v>
      </c>
      <c r="CD319" s="447" t="s">
        <v>131</v>
      </c>
      <c r="CE319" s="447" t="str">
        <f t="shared" si="23"/>
        <v>Scorpio - Water</v>
      </c>
    </row>
    <row r="320" spans="79:83">
      <c r="CA320" s="446">
        <v>44149</v>
      </c>
      <c r="CB320" s="205" t="str">
        <f t="shared" si="24"/>
        <v>14-Nov</v>
      </c>
      <c r="CC320" s="205" t="s">
        <v>123</v>
      </c>
      <c r="CD320" s="447" t="s">
        <v>131</v>
      </c>
      <c r="CE320" s="447" t="str">
        <f t="shared" si="23"/>
        <v>Scorpio - Water</v>
      </c>
    </row>
    <row r="321" spans="79:83">
      <c r="CA321" s="446">
        <v>44150</v>
      </c>
      <c r="CB321" s="205" t="str">
        <f t="shared" si="24"/>
        <v>15-Nov</v>
      </c>
      <c r="CC321" s="205" t="s">
        <v>123</v>
      </c>
      <c r="CD321" s="447" t="s">
        <v>131</v>
      </c>
      <c r="CE321" s="447" t="str">
        <f t="shared" ref="CE321:CE367" si="25">CC321&amp;" - "&amp;CD321</f>
        <v>Scorpio - Water</v>
      </c>
    </row>
    <row r="322" spans="79:83">
      <c r="CA322" s="446">
        <v>44151</v>
      </c>
      <c r="CB322" s="205" t="str">
        <f t="shared" si="24"/>
        <v>16-Nov</v>
      </c>
      <c r="CC322" s="205" t="s">
        <v>123</v>
      </c>
      <c r="CD322" s="447" t="s">
        <v>131</v>
      </c>
      <c r="CE322" s="447" t="str">
        <f t="shared" si="25"/>
        <v>Scorpio - Water</v>
      </c>
    </row>
    <row r="323" spans="79:83">
      <c r="CA323" s="446">
        <v>44152</v>
      </c>
      <c r="CB323" s="205" t="str">
        <f t="shared" ref="CB323:CB367" si="26">TEXT(CA323,"DD-MMM")</f>
        <v>17-Nov</v>
      </c>
      <c r="CC323" s="205" t="s">
        <v>123</v>
      </c>
      <c r="CD323" s="447" t="s">
        <v>131</v>
      </c>
      <c r="CE323" s="447" t="str">
        <f t="shared" si="25"/>
        <v>Scorpio - Water</v>
      </c>
    </row>
    <row r="324" spans="79:83">
      <c r="CA324" s="446">
        <v>44153</v>
      </c>
      <c r="CB324" s="205" t="str">
        <f t="shared" si="26"/>
        <v>18-Nov</v>
      </c>
      <c r="CC324" s="205" t="s">
        <v>123</v>
      </c>
      <c r="CD324" s="447" t="s">
        <v>131</v>
      </c>
      <c r="CE324" s="447" t="str">
        <f t="shared" si="25"/>
        <v>Scorpio - Water</v>
      </c>
    </row>
    <row r="325" spans="79:83">
      <c r="CA325" s="446">
        <v>44154</v>
      </c>
      <c r="CB325" s="205" t="str">
        <f t="shared" si="26"/>
        <v>19-Nov</v>
      </c>
      <c r="CC325" s="205" t="s">
        <v>123</v>
      </c>
      <c r="CD325" s="447" t="s">
        <v>131</v>
      </c>
      <c r="CE325" s="447" t="str">
        <f t="shared" si="25"/>
        <v>Scorpio - Water</v>
      </c>
    </row>
    <row r="326" spans="79:83">
      <c r="CA326" s="446">
        <v>44155</v>
      </c>
      <c r="CB326" s="205" t="str">
        <f t="shared" si="26"/>
        <v>20-Nov</v>
      </c>
      <c r="CC326" s="205" t="s">
        <v>123</v>
      </c>
      <c r="CD326" s="447" t="s">
        <v>131</v>
      </c>
      <c r="CE326" s="447" t="str">
        <f t="shared" si="25"/>
        <v>Scorpio - Water</v>
      </c>
    </row>
    <row r="327" spans="79:83">
      <c r="CA327" s="446">
        <v>44156</v>
      </c>
      <c r="CB327" s="205" t="str">
        <f t="shared" si="26"/>
        <v>21-Nov</v>
      </c>
      <c r="CC327" s="205" t="s">
        <v>123</v>
      </c>
      <c r="CD327" s="447" t="s">
        <v>131</v>
      </c>
      <c r="CE327" s="447" t="str">
        <f t="shared" si="25"/>
        <v>Scorpio - Water</v>
      </c>
    </row>
    <row r="328" spans="79:83">
      <c r="CA328" s="446">
        <v>44157</v>
      </c>
      <c r="CB328" s="205" t="str">
        <f t="shared" si="26"/>
        <v>22-Nov</v>
      </c>
      <c r="CC328" s="205" t="s">
        <v>124</v>
      </c>
      <c r="CD328" s="447" t="s">
        <v>129</v>
      </c>
      <c r="CE328" s="447" t="str">
        <f t="shared" si="25"/>
        <v>Sagittarius - Fire</v>
      </c>
    </row>
    <row r="329" spans="79:83">
      <c r="CA329" s="446">
        <v>44158</v>
      </c>
      <c r="CB329" s="205" t="str">
        <f t="shared" si="26"/>
        <v>23-Nov</v>
      </c>
      <c r="CC329" s="205" t="s">
        <v>124</v>
      </c>
      <c r="CD329" s="447" t="s">
        <v>129</v>
      </c>
      <c r="CE329" s="447" t="str">
        <f t="shared" si="25"/>
        <v>Sagittarius - Fire</v>
      </c>
    </row>
    <row r="330" spans="79:83">
      <c r="CA330" s="446">
        <v>44159</v>
      </c>
      <c r="CB330" s="205" t="str">
        <f t="shared" si="26"/>
        <v>24-Nov</v>
      </c>
      <c r="CC330" s="205" t="s">
        <v>124</v>
      </c>
      <c r="CD330" s="447" t="s">
        <v>129</v>
      </c>
      <c r="CE330" s="447" t="str">
        <f t="shared" si="25"/>
        <v>Sagittarius - Fire</v>
      </c>
    </row>
    <row r="331" spans="79:83">
      <c r="CA331" s="446">
        <v>44160</v>
      </c>
      <c r="CB331" s="205" t="str">
        <f t="shared" si="26"/>
        <v>25-Nov</v>
      </c>
      <c r="CC331" s="205" t="s">
        <v>124</v>
      </c>
      <c r="CD331" s="447" t="s">
        <v>129</v>
      </c>
      <c r="CE331" s="447" t="str">
        <f t="shared" si="25"/>
        <v>Sagittarius - Fire</v>
      </c>
    </row>
    <row r="332" spans="79:83">
      <c r="CA332" s="446">
        <v>44161</v>
      </c>
      <c r="CB332" s="205" t="str">
        <f t="shared" si="26"/>
        <v>26-Nov</v>
      </c>
      <c r="CC332" s="205" t="s">
        <v>124</v>
      </c>
      <c r="CD332" s="447" t="s">
        <v>129</v>
      </c>
      <c r="CE332" s="447" t="str">
        <f t="shared" si="25"/>
        <v>Sagittarius - Fire</v>
      </c>
    </row>
    <row r="333" spans="79:83">
      <c r="CA333" s="446">
        <v>44162</v>
      </c>
      <c r="CB333" s="205" t="str">
        <f t="shared" si="26"/>
        <v>27-Nov</v>
      </c>
      <c r="CC333" s="205" t="s">
        <v>124</v>
      </c>
      <c r="CD333" s="447" t="s">
        <v>129</v>
      </c>
      <c r="CE333" s="447" t="str">
        <f t="shared" si="25"/>
        <v>Sagittarius - Fire</v>
      </c>
    </row>
    <row r="334" spans="79:83">
      <c r="CA334" s="446">
        <v>44163</v>
      </c>
      <c r="CB334" s="205" t="str">
        <f t="shared" si="26"/>
        <v>28-Nov</v>
      </c>
      <c r="CC334" s="205" t="s">
        <v>124</v>
      </c>
      <c r="CD334" s="447" t="s">
        <v>129</v>
      </c>
      <c r="CE334" s="447" t="str">
        <f t="shared" si="25"/>
        <v>Sagittarius - Fire</v>
      </c>
    </row>
    <row r="335" spans="79:83">
      <c r="CA335" s="446">
        <v>44164</v>
      </c>
      <c r="CB335" s="205" t="str">
        <f t="shared" si="26"/>
        <v>29-Nov</v>
      </c>
      <c r="CC335" s="205" t="s">
        <v>124</v>
      </c>
      <c r="CD335" s="447" t="s">
        <v>129</v>
      </c>
      <c r="CE335" s="447" t="str">
        <f t="shared" si="25"/>
        <v>Sagittarius - Fire</v>
      </c>
    </row>
    <row r="336" spans="79:83">
      <c r="CA336" s="446">
        <v>44165</v>
      </c>
      <c r="CB336" s="205" t="str">
        <f t="shared" si="26"/>
        <v>30-Nov</v>
      </c>
      <c r="CC336" s="205" t="s">
        <v>124</v>
      </c>
      <c r="CD336" s="447" t="s">
        <v>129</v>
      </c>
      <c r="CE336" s="447" t="str">
        <f t="shared" si="25"/>
        <v>Sagittarius - Fire</v>
      </c>
    </row>
    <row r="337" spans="79:83">
      <c r="CA337" s="446">
        <v>44166</v>
      </c>
      <c r="CB337" s="205" t="str">
        <f t="shared" si="26"/>
        <v>01-Dec</v>
      </c>
      <c r="CC337" s="205" t="s">
        <v>124</v>
      </c>
      <c r="CD337" s="447" t="s">
        <v>129</v>
      </c>
      <c r="CE337" s="447" t="str">
        <f t="shared" si="25"/>
        <v>Sagittarius - Fire</v>
      </c>
    </row>
    <row r="338" spans="79:83">
      <c r="CA338" s="446">
        <v>44167</v>
      </c>
      <c r="CB338" s="205" t="str">
        <f t="shared" si="26"/>
        <v>02-Dec</v>
      </c>
      <c r="CC338" s="205" t="s">
        <v>124</v>
      </c>
      <c r="CD338" s="447" t="s">
        <v>129</v>
      </c>
      <c r="CE338" s="447" t="str">
        <f t="shared" si="25"/>
        <v>Sagittarius - Fire</v>
      </c>
    </row>
    <row r="339" spans="79:83">
      <c r="CA339" s="446">
        <v>44168</v>
      </c>
      <c r="CB339" s="205" t="str">
        <f t="shared" si="26"/>
        <v>03-Dec</v>
      </c>
      <c r="CC339" s="205" t="s">
        <v>124</v>
      </c>
      <c r="CD339" s="447" t="s">
        <v>129</v>
      </c>
      <c r="CE339" s="447" t="str">
        <f t="shared" si="25"/>
        <v>Sagittarius - Fire</v>
      </c>
    </row>
    <row r="340" spans="79:83">
      <c r="CA340" s="446">
        <v>44169</v>
      </c>
      <c r="CB340" s="205" t="str">
        <f t="shared" si="26"/>
        <v>04-Dec</v>
      </c>
      <c r="CC340" s="205" t="s">
        <v>124</v>
      </c>
      <c r="CD340" s="447" t="s">
        <v>129</v>
      </c>
      <c r="CE340" s="447" t="str">
        <f t="shared" si="25"/>
        <v>Sagittarius - Fire</v>
      </c>
    </row>
    <row r="341" spans="79:83">
      <c r="CA341" s="446">
        <v>44170</v>
      </c>
      <c r="CB341" s="205" t="str">
        <f t="shared" si="26"/>
        <v>05-Dec</v>
      </c>
      <c r="CC341" s="205" t="s">
        <v>124</v>
      </c>
      <c r="CD341" s="447" t="s">
        <v>129</v>
      </c>
      <c r="CE341" s="447" t="str">
        <f t="shared" si="25"/>
        <v>Sagittarius - Fire</v>
      </c>
    </row>
    <row r="342" spans="79:83">
      <c r="CA342" s="446">
        <v>44171</v>
      </c>
      <c r="CB342" s="205" t="str">
        <f t="shared" si="26"/>
        <v>06-Dec</v>
      </c>
      <c r="CC342" s="205" t="s">
        <v>124</v>
      </c>
      <c r="CD342" s="447" t="s">
        <v>129</v>
      </c>
      <c r="CE342" s="447" t="str">
        <f t="shared" si="25"/>
        <v>Sagittarius - Fire</v>
      </c>
    </row>
    <row r="343" spans="79:83">
      <c r="CA343" s="446">
        <v>44172</v>
      </c>
      <c r="CB343" s="205" t="str">
        <f t="shared" si="26"/>
        <v>07-Dec</v>
      </c>
      <c r="CC343" s="205" t="s">
        <v>124</v>
      </c>
      <c r="CD343" s="447" t="s">
        <v>129</v>
      </c>
      <c r="CE343" s="447" t="str">
        <f t="shared" si="25"/>
        <v>Sagittarius - Fire</v>
      </c>
    </row>
    <row r="344" spans="79:83">
      <c r="CA344" s="446">
        <v>44173</v>
      </c>
      <c r="CB344" s="205" t="str">
        <f t="shared" si="26"/>
        <v>08-Dec</v>
      </c>
      <c r="CC344" s="205" t="s">
        <v>124</v>
      </c>
      <c r="CD344" s="447" t="s">
        <v>129</v>
      </c>
      <c r="CE344" s="447" t="str">
        <f t="shared" si="25"/>
        <v>Sagittarius - Fire</v>
      </c>
    </row>
    <row r="345" spans="79:83">
      <c r="CA345" s="446">
        <v>44174</v>
      </c>
      <c r="CB345" s="205" t="str">
        <f t="shared" si="26"/>
        <v>09-Dec</v>
      </c>
      <c r="CC345" s="205" t="s">
        <v>124</v>
      </c>
      <c r="CD345" s="447" t="s">
        <v>129</v>
      </c>
      <c r="CE345" s="447" t="str">
        <f t="shared" si="25"/>
        <v>Sagittarius - Fire</v>
      </c>
    </row>
    <row r="346" spans="79:83">
      <c r="CA346" s="446">
        <v>44175</v>
      </c>
      <c r="CB346" s="205" t="str">
        <f t="shared" si="26"/>
        <v>10-Dec</v>
      </c>
      <c r="CC346" s="205" t="s">
        <v>124</v>
      </c>
      <c r="CD346" s="447" t="s">
        <v>129</v>
      </c>
      <c r="CE346" s="447" t="str">
        <f t="shared" si="25"/>
        <v>Sagittarius - Fire</v>
      </c>
    </row>
    <row r="347" spans="79:83">
      <c r="CA347" s="446">
        <v>44176</v>
      </c>
      <c r="CB347" s="205" t="str">
        <f t="shared" si="26"/>
        <v>11-Dec</v>
      </c>
      <c r="CC347" s="205" t="s">
        <v>124</v>
      </c>
      <c r="CD347" s="447" t="s">
        <v>129</v>
      </c>
      <c r="CE347" s="447" t="str">
        <f t="shared" si="25"/>
        <v>Sagittarius - Fire</v>
      </c>
    </row>
    <row r="348" spans="79:83">
      <c r="CA348" s="446">
        <v>44177</v>
      </c>
      <c r="CB348" s="205" t="str">
        <f t="shared" si="26"/>
        <v>12-Dec</v>
      </c>
      <c r="CC348" s="205" t="s">
        <v>124</v>
      </c>
      <c r="CD348" s="447" t="s">
        <v>129</v>
      </c>
      <c r="CE348" s="447" t="str">
        <f t="shared" si="25"/>
        <v>Sagittarius - Fire</v>
      </c>
    </row>
    <row r="349" spans="79:83">
      <c r="CA349" s="446">
        <v>44178</v>
      </c>
      <c r="CB349" s="205" t="str">
        <f t="shared" si="26"/>
        <v>13-Dec</v>
      </c>
      <c r="CC349" s="205" t="s">
        <v>124</v>
      </c>
      <c r="CD349" s="447" t="s">
        <v>129</v>
      </c>
      <c r="CE349" s="447" t="str">
        <f t="shared" si="25"/>
        <v>Sagittarius - Fire</v>
      </c>
    </row>
    <row r="350" spans="79:83">
      <c r="CA350" s="446">
        <v>44179</v>
      </c>
      <c r="CB350" s="205" t="str">
        <f t="shared" si="26"/>
        <v>14-Dec</v>
      </c>
      <c r="CC350" s="205" t="s">
        <v>124</v>
      </c>
      <c r="CD350" s="447" t="s">
        <v>129</v>
      </c>
      <c r="CE350" s="447" t="str">
        <f t="shared" si="25"/>
        <v>Sagittarius - Fire</v>
      </c>
    </row>
    <row r="351" spans="79:83">
      <c r="CA351" s="446">
        <v>44180</v>
      </c>
      <c r="CB351" s="205" t="str">
        <f t="shared" si="26"/>
        <v>15-Dec</v>
      </c>
      <c r="CC351" s="205" t="s">
        <v>124</v>
      </c>
      <c r="CD351" s="447" t="s">
        <v>129</v>
      </c>
      <c r="CE351" s="447" t="str">
        <f t="shared" si="25"/>
        <v>Sagittarius - Fire</v>
      </c>
    </row>
    <row r="352" spans="79:83">
      <c r="CA352" s="446">
        <v>44181</v>
      </c>
      <c r="CB352" s="205" t="str">
        <f t="shared" si="26"/>
        <v>16-Dec</v>
      </c>
      <c r="CC352" s="205" t="s">
        <v>124</v>
      </c>
      <c r="CD352" s="447" t="s">
        <v>129</v>
      </c>
      <c r="CE352" s="447" t="str">
        <f t="shared" si="25"/>
        <v>Sagittarius - Fire</v>
      </c>
    </row>
    <row r="353" spans="79:83">
      <c r="CA353" s="446">
        <v>44182</v>
      </c>
      <c r="CB353" s="205" t="str">
        <f t="shared" si="26"/>
        <v>17-Dec</v>
      </c>
      <c r="CC353" s="205" t="s">
        <v>124</v>
      </c>
      <c r="CD353" s="447" t="s">
        <v>129</v>
      </c>
      <c r="CE353" s="447" t="str">
        <f t="shared" si="25"/>
        <v>Sagittarius - Fire</v>
      </c>
    </row>
    <row r="354" spans="79:83">
      <c r="CA354" s="446">
        <v>44183</v>
      </c>
      <c r="CB354" s="205" t="str">
        <f t="shared" si="26"/>
        <v>18-Dec</v>
      </c>
      <c r="CC354" s="205" t="s">
        <v>124</v>
      </c>
      <c r="CD354" s="447" t="s">
        <v>129</v>
      </c>
      <c r="CE354" s="447" t="str">
        <f t="shared" si="25"/>
        <v>Sagittarius - Fire</v>
      </c>
    </row>
    <row r="355" spans="79:83">
      <c r="CA355" s="446">
        <v>44184</v>
      </c>
      <c r="CB355" s="205" t="str">
        <f t="shared" si="26"/>
        <v>19-Dec</v>
      </c>
      <c r="CC355" s="205" t="s">
        <v>124</v>
      </c>
      <c r="CD355" s="447" t="s">
        <v>129</v>
      </c>
      <c r="CE355" s="447" t="str">
        <f t="shared" si="25"/>
        <v>Sagittarius - Fire</v>
      </c>
    </row>
    <row r="356" spans="79:83">
      <c r="CA356" s="446">
        <v>44185</v>
      </c>
      <c r="CB356" s="205" t="str">
        <f t="shared" si="26"/>
        <v>20-Dec</v>
      </c>
      <c r="CC356" s="205" t="s">
        <v>124</v>
      </c>
      <c r="CD356" s="447" t="s">
        <v>129</v>
      </c>
      <c r="CE356" s="447" t="str">
        <f t="shared" si="25"/>
        <v>Sagittarius - Fire</v>
      </c>
    </row>
    <row r="357" spans="79:83">
      <c r="CA357" s="446">
        <v>44186</v>
      </c>
      <c r="CB357" s="205" t="str">
        <f t="shared" si="26"/>
        <v>21-Dec</v>
      </c>
      <c r="CC357" s="205" t="s">
        <v>124</v>
      </c>
      <c r="CD357" s="447" t="s">
        <v>129</v>
      </c>
      <c r="CE357" s="447" t="str">
        <f>CC357&amp;" - "&amp;CD357</f>
        <v>Sagittarius - Fire</v>
      </c>
    </row>
    <row r="358" spans="79:83">
      <c r="CA358" s="446">
        <v>44187</v>
      </c>
      <c r="CB358" s="205" t="str">
        <f t="shared" si="26"/>
        <v>22-Dec</v>
      </c>
      <c r="CC358" s="205" t="s">
        <v>113</v>
      </c>
      <c r="CD358" s="447" t="s">
        <v>130</v>
      </c>
      <c r="CE358" s="447" t="str">
        <f t="shared" si="25"/>
        <v>Capricorn - Earth</v>
      </c>
    </row>
    <row r="359" spans="79:83">
      <c r="CA359" s="446">
        <v>44188</v>
      </c>
      <c r="CB359" s="205" t="str">
        <f t="shared" si="26"/>
        <v>23-Dec</v>
      </c>
      <c r="CC359" s="205" t="s">
        <v>113</v>
      </c>
      <c r="CD359" s="447" t="s">
        <v>130</v>
      </c>
      <c r="CE359" s="447" t="str">
        <f t="shared" si="25"/>
        <v>Capricorn - Earth</v>
      </c>
    </row>
    <row r="360" spans="79:83">
      <c r="CA360" s="446">
        <v>44189</v>
      </c>
      <c r="CB360" s="205" t="str">
        <f t="shared" si="26"/>
        <v>24-Dec</v>
      </c>
      <c r="CC360" s="205" t="s">
        <v>113</v>
      </c>
      <c r="CD360" s="447" t="s">
        <v>130</v>
      </c>
      <c r="CE360" s="447" t="str">
        <f t="shared" si="25"/>
        <v>Capricorn - Earth</v>
      </c>
    </row>
    <row r="361" spans="79:83">
      <c r="CA361" s="446">
        <v>44190</v>
      </c>
      <c r="CB361" s="205" t="str">
        <f t="shared" si="26"/>
        <v>25-Dec</v>
      </c>
      <c r="CC361" s="205" t="s">
        <v>113</v>
      </c>
      <c r="CD361" s="447" t="s">
        <v>130</v>
      </c>
      <c r="CE361" s="447" t="str">
        <f t="shared" si="25"/>
        <v>Capricorn - Earth</v>
      </c>
    </row>
    <row r="362" spans="79:83">
      <c r="CA362" s="446">
        <v>44191</v>
      </c>
      <c r="CB362" s="205" t="str">
        <f t="shared" si="26"/>
        <v>26-Dec</v>
      </c>
      <c r="CC362" s="205" t="s">
        <v>113</v>
      </c>
      <c r="CD362" s="447" t="s">
        <v>130</v>
      </c>
      <c r="CE362" s="447" t="str">
        <f t="shared" si="25"/>
        <v>Capricorn - Earth</v>
      </c>
    </row>
    <row r="363" spans="79:83">
      <c r="CA363" s="446">
        <v>44192</v>
      </c>
      <c r="CB363" s="205" t="str">
        <f t="shared" si="26"/>
        <v>27-Dec</v>
      </c>
      <c r="CC363" s="205" t="s">
        <v>113</v>
      </c>
      <c r="CD363" s="447" t="s">
        <v>130</v>
      </c>
      <c r="CE363" s="447" t="str">
        <f t="shared" si="25"/>
        <v>Capricorn - Earth</v>
      </c>
    </row>
    <row r="364" spans="79:83">
      <c r="CA364" s="446">
        <v>44193</v>
      </c>
      <c r="CB364" s="205" t="str">
        <f t="shared" si="26"/>
        <v>28-Dec</v>
      </c>
      <c r="CC364" s="205" t="s">
        <v>113</v>
      </c>
      <c r="CD364" s="447" t="s">
        <v>130</v>
      </c>
      <c r="CE364" s="447" t="str">
        <f t="shared" si="25"/>
        <v>Capricorn - Earth</v>
      </c>
    </row>
    <row r="365" spans="79:83">
      <c r="CA365" s="446">
        <v>44194</v>
      </c>
      <c r="CB365" s="205" t="str">
        <f t="shared" si="26"/>
        <v>29-Dec</v>
      </c>
      <c r="CC365" s="205" t="s">
        <v>113</v>
      </c>
      <c r="CD365" s="447" t="s">
        <v>130</v>
      </c>
      <c r="CE365" s="447" t="str">
        <f t="shared" si="25"/>
        <v>Capricorn - Earth</v>
      </c>
    </row>
    <row r="366" spans="79:83">
      <c r="CA366" s="446">
        <v>44195</v>
      </c>
      <c r="CB366" s="205" t="str">
        <f t="shared" si="26"/>
        <v>30-Dec</v>
      </c>
      <c r="CC366" s="205" t="s">
        <v>113</v>
      </c>
      <c r="CD366" s="447" t="s">
        <v>130</v>
      </c>
      <c r="CE366" s="447" t="str">
        <f t="shared" si="25"/>
        <v>Capricorn - Earth</v>
      </c>
    </row>
    <row r="367" spans="79:83">
      <c r="CA367" s="446">
        <v>44196</v>
      </c>
      <c r="CB367" s="205" t="str">
        <f t="shared" si="26"/>
        <v>31-Dec</v>
      </c>
      <c r="CC367" s="205" t="s">
        <v>113</v>
      </c>
      <c r="CD367" s="447" t="s">
        <v>130</v>
      </c>
      <c r="CE367" s="447" t="str">
        <f t="shared" si="25"/>
        <v>Capricorn - Earth</v>
      </c>
    </row>
  </sheetData>
  <mergeCells count="18">
    <mergeCell ref="AY1:AZ1"/>
    <mergeCell ref="R1:S1"/>
    <mergeCell ref="U1:V1"/>
    <mergeCell ref="X1:Y1"/>
    <mergeCell ref="AA1:AB1"/>
    <mergeCell ref="AD1:AE1"/>
    <mergeCell ref="AG1:AH1"/>
    <mergeCell ref="AJ1:AK1"/>
    <mergeCell ref="AM1:AN1"/>
    <mergeCell ref="AP1:AQ1"/>
    <mergeCell ref="AS1:AT1"/>
    <mergeCell ref="AV1:AW1"/>
    <mergeCell ref="D5:E5"/>
    <mergeCell ref="G5:H5"/>
    <mergeCell ref="J5:M5"/>
    <mergeCell ref="D6:E6"/>
    <mergeCell ref="G6:H6"/>
    <mergeCell ref="J6:M6"/>
  </mergeCells>
  <conditionalFormatting sqref="S3:S33">
    <cfRule type="cellIs" dxfId="143" priority="27" operator="equal">
      <formula>$D$7</formula>
    </cfRule>
    <cfRule type="cellIs" dxfId="142" priority="28" operator="equal">
      <formula>$D$8</formula>
    </cfRule>
  </conditionalFormatting>
  <conditionalFormatting sqref="V3:V31">
    <cfRule type="cellIs" dxfId="141" priority="25" operator="equal">
      <formula>$D$7</formula>
    </cfRule>
    <cfRule type="cellIs" dxfId="140" priority="26" operator="equal">
      <formula>$D$8</formula>
    </cfRule>
  </conditionalFormatting>
  <conditionalFormatting sqref="Y3:Y33">
    <cfRule type="cellIs" dxfId="139" priority="23" operator="equal">
      <formula>$D$7</formula>
    </cfRule>
    <cfRule type="cellIs" dxfId="138" priority="24" operator="equal">
      <formula>$D$8</formula>
    </cfRule>
  </conditionalFormatting>
  <conditionalFormatting sqref="AB3:AB32">
    <cfRule type="cellIs" dxfId="137" priority="21" operator="equal">
      <formula>$D$7</formula>
    </cfRule>
    <cfRule type="cellIs" dxfId="136" priority="22" operator="equal">
      <formula>$D$8</formula>
    </cfRule>
  </conditionalFormatting>
  <conditionalFormatting sqref="AE3:AE33">
    <cfRule type="cellIs" dxfId="135" priority="19" operator="equal">
      <formula>$D$7</formula>
    </cfRule>
    <cfRule type="cellIs" dxfId="134" priority="20" operator="equal">
      <formula>$D$8</formula>
    </cfRule>
  </conditionalFormatting>
  <conditionalFormatting sqref="AH3:AH32">
    <cfRule type="cellIs" dxfId="133" priority="17" operator="equal">
      <formula>$D$7</formula>
    </cfRule>
    <cfRule type="cellIs" dxfId="132" priority="18" operator="equal">
      <formula>$D$8</formula>
    </cfRule>
  </conditionalFormatting>
  <conditionalFormatting sqref="AK3:AK33">
    <cfRule type="cellIs" dxfId="131" priority="15" operator="equal">
      <formula>$D$7</formula>
    </cfRule>
    <cfRule type="cellIs" dxfId="130" priority="16" operator="equal">
      <formula>$D$8</formula>
    </cfRule>
  </conditionalFormatting>
  <conditionalFormatting sqref="AN3:AN33">
    <cfRule type="cellIs" dxfId="129" priority="13" operator="equal">
      <formula>$D$7</formula>
    </cfRule>
    <cfRule type="cellIs" dxfId="128" priority="14" operator="equal">
      <formula>$D$8</formula>
    </cfRule>
  </conditionalFormatting>
  <conditionalFormatting sqref="AQ3:AQ32">
    <cfRule type="cellIs" dxfId="127" priority="11" operator="equal">
      <formula>$D$7</formula>
    </cfRule>
    <cfRule type="cellIs" dxfId="126" priority="12" operator="equal">
      <formula>$D$8</formula>
    </cfRule>
  </conditionalFormatting>
  <conditionalFormatting sqref="AT3:AT33">
    <cfRule type="cellIs" dxfId="125" priority="9" operator="equal">
      <formula>$D$7</formula>
    </cfRule>
    <cfRule type="cellIs" dxfId="124" priority="10" operator="equal">
      <formula>$D$8</formula>
    </cfRule>
  </conditionalFormatting>
  <conditionalFormatting sqref="AW3:AW32">
    <cfRule type="cellIs" dxfId="123" priority="7" operator="equal">
      <formula>$D$7</formula>
    </cfRule>
    <cfRule type="cellIs" dxfId="122" priority="8" operator="equal">
      <formula>$D$8</formula>
    </cfRule>
  </conditionalFormatting>
  <conditionalFormatting sqref="AZ3:AZ33">
    <cfRule type="cellIs" dxfId="121" priority="5" operator="equal">
      <formula>$D$7</formula>
    </cfRule>
    <cfRule type="cellIs" dxfId="120" priority="6" operator="equal">
      <formula>$D$8</formula>
    </cfRule>
  </conditionalFormatting>
  <conditionalFormatting sqref="S3:S33 V3:V31 Y3:Y33 AB3:AB32 AE3:AE33 AK3:AK33 AH3:AH32 AN3:AN33 AQ3:AQ32 AT3:AT33 AW3:AW32 AZ3:AZ33">
    <cfRule type="cellIs" dxfId="119" priority="4" operator="equal">
      <formula>$F$16</formula>
    </cfRule>
  </conditionalFormatting>
  <conditionalFormatting sqref="D23">
    <cfRule type="cellIs" dxfId="118" priority="2" operator="equal">
      <formula>$D$7</formula>
    </cfRule>
    <cfRule type="cellIs" dxfId="117" priority="3" operator="equal">
      <formula>$D$8</formula>
    </cfRule>
  </conditionalFormatting>
  <conditionalFormatting sqref="D23">
    <cfRule type="cellIs" dxfId="116" priority="1" operator="equal">
      <formula>$F$16</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sheetPr codeName="Sheet6">
    <tabColor rgb="FF00B0F0"/>
  </sheetPr>
  <dimension ref="A1:BH37"/>
  <sheetViews>
    <sheetView zoomScale="115" zoomScaleNormal="115" workbookViewId="0">
      <selection activeCell="C16" sqref="C16"/>
    </sheetView>
  </sheetViews>
  <sheetFormatPr defaultRowHeight="14.5"/>
  <cols>
    <col min="1" max="1" width="16" bestFit="1" customWidth="1"/>
    <col min="2" max="2" width="52.7265625" bestFit="1" customWidth="1"/>
    <col min="3" max="17" width="4.1796875" customWidth="1"/>
    <col min="18" max="18" width="4.1796875" style="538" customWidth="1"/>
    <col min="19" max="19" width="4.54296875" style="538" bestFit="1" customWidth="1"/>
    <col min="20" max="34" width="4.1796875" style="538" customWidth="1"/>
    <col min="35" max="35" width="3.453125" style="538" customWidth="1"/>
    <col min="36" max="37" width="5.81640625" style="538" customWidth="1"/>
    <col min="38" max="58" width="9.1796875" style="538"/>
    <col min="59" max="59" width="9.1796875" style="17" bestFit="1" customWidth="1"/>
    <col min="60" max="60" width="8.26953125" style="365" bestFit="1" customWidth="1"/>
  </cols>
  <sheetData>
    <row r="1" spans="1:60" ht="15" thickBot="1">
      <c r="BG1" s="535" t="s">
        <v>1</v>
      </c>
      <c r="BH1" s="364" t="s">
        <v>2</v>
      </c>
    </row>
    <row r="2" spans="1:60">
      <c r="A2" s="215" t="s">
        <v>86</v>
      </c>
      <c r="B2" s="88">
        <v>9829277692</v>
      </c>
      <c r="C2" s="100">
        <f ca="1">SUMPRODUCT(1*MID(B2,ROW(INDIRECT("1:"&amp;LEN(B2))),1))</f>
        <v>61</v>
      </c>
      <c r="D2" s="100">
        <f ca="1">MOD(C2-1,9)+1</f>
        <v>7</v>
      </c>
      <c r="E2" s="216"/>
      <c r="F2" s="216"/>
      <c r="G2" s="208"/>
      <c r="H2" s="208"/>
      <c r="I2" s="208"/>
      <c r="J2" s="208"/>
      <c r="K2" s="208"/>
      <c r="L2" s="208"/>
      <c r="M2" s="209"/>
      <c r="N2" s="71"/>
      <c r="O2" s="210"/>
      <c r="P2" s="13"/>
      <c r="R2" s="15"/>
      <c r="S2" s="551"/>
      <c r="T2" s="552" t="str">
        <f>'Master Calculator'!Q1</f>
        <v>BD</v>
      </c>
      <c r="U2" s="553" t="str">
        <f>'Master Calculator'!R1</f>
        <v>LP</v>
      </c>
      <c r="V2" s="539"/>
      <c r="W2" s="539"/>
      <c r="X2" s="539"/>
      <c r="Y2" s="539"/>
      <c r="Z2" s="539"/>
      <c r="AA2" s="539"/>
      <c r="BG2" s="17" t="s">
        <v>14</v>
      </c>
      <c r="BH2" s="365">
        <v>1</v>
      </c>
    </row>
    <row r="3" spans="1:60">
      <c r="A3" s="75" t="s">
        <v>88</v>
      </c>
      <c r="B3" s="90"/>
      <c r="C3" s="247" t="e">
        <f ca="1">SUMPRODUCT(1*MID(B3,ROW(INDIRECT("1:"&amp;LEN(B3))),1))</f>
        <v>#REF!</v>
      </c>
      <c r="D3" s="247" t="e">
        <f ca="1">MOD(C3-1,9)+1</f>
        <v>#REF!</v>
      </c>
      <c r="E3" s="21"/>
      <c r="F3" s="21"/>
      <c r="G3" s="21"/>
      <c r="H3" s="21"/>
      <c r="I3" s="21"/>
      <c r="J3" s="21"/>
      <c r="K3" s="21"/>
      <c r="L3" s="21"/>
      <c r="M3" s="211"/>
      <c r="N3" s="74"/>
      <c r="O3" s="246"/>
      <c r="P3" s="23"/>
      <c r="R3" s="15"/>
      <c r="S3" s="554"/>
      <c r="T3" s="550">
        <f>'Master Calculator'!Q2</f>
        <v>2</v>
      </c>
      <c r="U3" s="555">
        <f ca="1">'Master Calculator'!R2</f>
        <v>2</v>
      </c>
      <c r="V3" s="539"/>
      <c r="W3" s="539"/>
      <c r="X3" s="539"/>
      <c r="Y3" s="539"/>
      <c r="Z3" s="539"/>
      <c r="AA3" s="539"/>
      <c r="BG3" s="17" t="s">
        <v>22</v>
      </c>
      <c r="BH3" s="365">
        <v>2</v>
      </c>
    </row>
    <row r="4" spans="1:60">
      <c r="A4" s="31"/>
      <c r="B4" s="21"/>
      <c r="C4" s="50"/>
      <c r="D4" s="50"/>
      <c r="E4" s="50"/>
      <c r="F4" s="21"/>
      <c r="G4" s="21"/>
      <c r="H4" s="21"/>
      <c r="I4" s="21"/>
      <c r="J4" s="21"/>
      <c r="K4" s="21"/>
      <c r="L4" s="21"/>
      <c r="M4" s="21"/>
      <c r="N4" s="21"/>
      <c r="O4" s="21"/>
      <c r="P4" s="73"/>
      <c r="R4" s="539"/>
      <c r="S4" s="556">
        <v>1</v>
      </c>
      <c r="T4" s="407" t="str">
        <f>'Master Calculator'!Q3</f>
        <v>G</v>
      </c>
      <c r="U4" s="557" t="str">
        <f ca="1">'Master Calculator'!R3</f>
        <v>G</v>
      </c>
      <c r="V4" s="539"/>
      <c r="W4" s="539"/>
      <c r="X4" s="539"/>
      <c r="Y4" s="539"/>
      <c r="Z4" s="539"/>
      <c r="AA4" s="539"/>
      <c r="BG4" s="17" t="s">
        <v>27</v>
      </c>
      <c r="BH4" s="365">
        <v>3</v>
      </c>
    </row>
    <row r="5" spans="1:60">
      <c r="A5" s="75" t="s">
        <v>109</v>
      </c>
      <c r="B5" s="90"/>
      <c r="C5" s="247" t="e">
        <f ca="1">SUMPRODUCT(1*MID(B5,ROW(INDIRECT("1:"&amp;LEN(B5))),1))</f>
        <v>#REF!</v>
      </c>
      <c r="D5" s="247" t="e">
        <f ca="1">MOD(C5-1,9)+1</f>
        <v>#REF!</v>
      </c>
      <c r="E5" s="50"/>
      <c r="F5" s="249"/>
      <c r="G5" s="249"/>
      <c r="H5" s="249"/>
      <c r="I5" s="249"/>
      <c r="J5" s="249"/>
      <c r="K5" s="249"/>
      <c r="L5" s="249"/>
      <c r="M5" s="249"/>
      <c r="N5" s="249"/>
      <c r="O5" s="249"/>
      <c r="P5" s="36"/>
      <c r="R5" s="69"/>
      <c r="S5" s="558">
        <v>2</v>
      </c>
      <c r="T5" s="407" t="str">
        <f>'Master Calculator'!Q4</f>
        <v>E</v>
      </c>
      <c r="U5" s="557" t="str">
        <f ca="1">'Master Calculator'!R4</f>
        <v>E</v>
      </c>
      <c r="V5" s="539"/>
      <c r="W5" s="539"/>
      <c r="X5" s="539"/>
      <c r="Y5" s="539"/>
      <c r="Z5" s="539"/>
      <c r="AA5" s="539"/>
      <c r="BG5" s="17" t="s">
        <v>29</v>
      </c>
      <c r="BH5" s="365">
        <v>4</v>
      </c>
    </row>
    <row r="6" spans="1:60">
      <c r="A6" s="75" t="s">
        <v>110</v>
      </c>
      <c r="B6" s="90"/>
      <c r="C6" s="247" t="e">
        <f ca="1">SUMPRODUCT(1*MID(B6,ROW(INDIRECT("1:"&amp;LEN(B6))),1))</f>
        <v>#REF!</v>
      </c>
      <c r="D6" s="247" t="e">
        <f ca="1">MOD(C6-1,9)+1</f>
        <v>#REF!</v>
      </c>
      <c r="E6" s="50"/>
      <c r="F6" s="249"/>
      <c r="G6" s="249"/>
      <c r="H6" s="249"/>
      <c r="I6" s="249"/>
      <c r="J6" s="249"/>
      <c r="K6" s="249"/>
      <c r="L6" s="249"/>
      <c r="M6" s="249"/>
      <c r="N6" s="249"/>
      <c r="O6" s="249"/>
      <c r="P6" s="36"/>
      <c r="R6" s="69"/>
      <c r="S6" s="402">
        <v>3</v>
      </c>
      <c r="T6" s="407" t="str">
        <f>'Master Calculator'!Q5</f>
        <v>G</v>
      </c>
      <c r="U6" s="557" t="str">
        <f ca="1">'Master Calculator'!R5</f>
        <v>G</v>
      </c>
      <c r="V6" s="539"/>
      <c r="W6" s="539"/>
      <c r="X6" s="539"/>
      <c r="Y6" s="539"/>
      <c r="Z6" s="539"/>
      <c r="AA6" s="539"/>
      <c r="BG6" s="17" t="s">
        <v>19</v>
      </c>
      <c r="BH6" s="365">
        <v>5</v>
      </c>
    </row>
    <row r="7" spans="1:60">
      <c r="A7" s="31"/>
      <c r="B7" s="21"/>
      <c r="C7" s="21"/>
      <c r="D7" s="21"/>
      <c r="E7" s="21"/>
      <c r="F7" s="21"/>
      <c r="G7" s="21"/>
      <c r="H7" s="21"/>
      <c r="I7" s="21"/>
      <c r="J7" s="21"/>
      <c r="K7" s="21"/>
      <c r="L7" s="21"/>
      <c r="M7" s="21"/>
      <c r="N7" s="21"/>
      <c r="O7" s="21"/>
      <c r="P7" s="73"/>
      <c r="R7" s="539"/>
      <c r="S7" s="556">
        <v>4</v>
      </c>
      <c r="T7" s="407" t="str">
        <f>'Master Calculator'!Q6</f>
        <v>G</v>
      </c>
      <c r="U7" s="557" t="str">
        <f ca="1">'Master Calculator'!R6</f>
        <v>G</v>
      </c>
      <c r="V7" s="539"/>
      <c r="W7" s="539"/>
      <c r="X7" s="539"/>
      <c r="Y7" s="539"/>
      <c r="Z7" s="539"/>
      <c r="AA7" s="539"/>
      <c r="BG7" s="17" t="s">
        <v>21</v>
      </c>
      <c r="BH7" s="365">
        <v>8</v>
      </c>
    </row>
    <row r="8" spans="1:60">
      <c r="A8" s="31"/>
      <c r="B8" s="21"/>
      <c r="C8" s="21"/>
      <c r="D8" s="21"/>
      <c r="E8" s="21"/>
      <c r="F8" s="21"/>
      <c r="G8" s="21"/>
      <c r="H8" s="21"/>
      <c r="I8" s="21"/>
      <c r="J8" s="21"/>
      <c r="K8" s="21"/>
      <c r="L8" s="21"/>
      <c r="M8" s="21"/>
      <c r="N8" s="21"/>
      <c r="O8" s="21"/>
      <c r="P8" s="73"/>
      <c r="R8" s="539"/>
      <c r="S8" s="556">
        <v>5</v>
      </c>
      <c r="T8" s="407" t="str">
        <f>'Master Calculator'!Q7</f>
        <v>F</v>
      </c>
      <c r="U8" s="557" t="str">
        <f ca="1">'Master Calculator'!R7</f>
        <v>F</v>
      </c>
      <c r="V8" s="539"/>
      <c r="W8" s="539"/>
      <c r="X8" s="539"/>
      <c r="Y8" s="539"/>
      <c r="Z8" s="539"/>
      <c r="AA8" s="539"/>
      <c r="BG8" s="17" t="s">
        <v>20</v>
      </c>
      <c r="BH8" s="365">
        <v>3</v>
      </c>
    </row>
    <row r="9" spans="1:60">
      <c r="A9" s="250" t="s">
        <v>90</v>
      </c>
      <c r="B9" s="32" t="s">
        <v>293</v>
      </c>
      <c r="C9" s="33" t="str">
        <f>MID($B9,COLUMNS($B$9:B$9),1)</f>
        <v>r</v>
      </c>
      <c r="D9" s="33" t="str">
        <f>MID($B9,COLUMNS($B$9:C$9),1)</f>
        <v>j</v>
      </c>
      <c r="E9" s="33" t="str">
        <f>MID($B9,COLUMNS($B$9:D$9),1)</f>
        <v>1</v>
      </c>
      <c r="F9" s="33" t="str">
        <f>MID($B9,COLUMNS($B$9:E$9),1)</f>
        <v>4</v>
      </c>
      <c r="G9" s="33" t="str">
        <f>MID($B9,COLUMNS($B$9:F$9),1)</f>
        <v>c</v>
      </c>
      <c r="H9" s="33" t="str">
        <f>MID($B9,COLUMNS($B$9:G$9),1)</f>
        <v>y</v>
      </c>
      <c r="I9" s="33" t="str">
        <f>MID($B9,COLUMNS($B$9:H$9),1)</f>
        <v>5</v>
      </c>
      <c r="J9" s="33" t="str">
        <f>MID($B9,COLUMNS($B$9:I$9),1)</f>
        <v>8</v>
      </c>
      <c r="K9" s="33" t="str">
        <f>MID($B9,COLUMNS($B$9:J$9),1)</f>
        <v>5</v>
      </c>
      <c r="L9" s="33" t="str">
        <f>MID($B9,COLUMNS($B$9:K$9),1)</f>
        <v>0</v>
      </c>
      <c r="M9" s="249"/>
      <c r="N9" s="21"/>
      <c r="O9" s="21"/>
      <c r="P9" s="73"/>
      <c r="R9" s="539"/>
      <c r="S9" s="556">
        <v>6</v>
      </c>
      <c r="T9" s="407" t="str">
        <f>'Master Calculator'!Q8</f>
        <v>G</v>
      </c>
      <c r="U9" s="557" t="str">
        <f ca="1">'Master Calculator'!R8</f>
        <v>G</v>
      </c>
      <c r="V9" s="539"/>
      <c r="W9" s="539"/>
      <c r="X9" s="539"/>
      <c r="Y9" s="539"/>
      <c r="Z9" s="539"/>
      <c r="AA9" s="539"/>
      <c r="BG9" s="17" t="s">
        <v>41</v>
      </c>
      <c r="BH9" s="365">
        <v>5</v>
      </c>
    </row>
    <row r="10" spans="1:60">
      <c r="A10" s="76"/>
      <c r="B10" s="21"/>
      <c r="C10" s="249">
        <f>IFERROR(VLOOKUP(C9,$BG:$BH,2,0),0)</f>
        <v>2</v>
      </c>
      <c r="D10" s="249">
        <f t="shared" ref="D10:L10" si="0">IFERROR(VLOOKUP(D9,$BG:$BH,2,0),0)</f>
        <v>1</v>
      </c>
      <c r="E10" s="249">
        <f t="shared" si="0"/>
        <v>1</v>
      </c>
      <c r="F10" s="249">
        <f t="shared" si="0"/>
        <v>4</v>
      </c>
      <c r="G10" s="249">
        <f t="shared" si="0"/>
        <v>3</v>
      </c>
      <c r="H10" s="249">
        <f t="shared" si="0"/>
        <v>1</v>
      </c>
      <c r="I10" s="249">
        <f t="shared" si="0"/>
        <v>5</v>
      </c>
      <c r="J10" s="249">
        <f t="shared" si="0"/>
        <v>8</v>
      </c>
      <c r="K10" s="249">
        <f t="shared" si="0"/>
        <v>5</v>
      </c>
      <c r="L10" s="249">
        <f t="shared" si="0"/>
        <v>0</v>
      </c>
      <c r="M10" s="89" t="s">
        <v>87</v>
      </c>
      <c r="N10" s="57">
        <f>C10+D10+E10+F10+G10+H10+I10+J10+K10+L10</f>
        <v>30</v>
      </c>
      <c r="O10" s="247">
        <f>MOD(N10-1,9)+1</f>
        <v>3</v>
      </c>
      <c r="P10" s="73"/>
      <c r="R10" s="539"/>
      <c r="S10" s="556">
        <v>7</v>
      </c>
      <c r="T10" s="407" t="str">
        <f>'Master Calculator'!Q9</f>
        <v>VG</v>
      </c>
      <c r="U10" s="557" t="str">
        <f ca="1">'Master Calculator'!R9</f>
        <v>VG</v>
      </c>
      <c r="V10" s="539"/>
      <c r="W10" s="539"/>
      <c r="X10" s="539"/>
      <c r="Y10" s="539"/>
      <c r="Z10" s="539"/>
      <c r="AA10" s="539"/>
      <c r="BG10" s="17" t="s">
        <v>43</v>
      </c>
      <c r="BH10" s="365">
        <v>1</v>
      </c>
    </row>
    <row r="11" spans="1:60">
      <c r="A11" s="76"/>
      <c r="B11" s="21"/>
      <c r="C11" s="249"/>
      <c r="D11" s="249"/>
      <c r="E11" s="249"/>
      <c r="F11" s="249"/>
      <c r="G11" s="249"/>
      <c r="H11" s="249"/>
      <c r="I11" s="249"/>
      <c r="J11" s="249"/>
      <c r="K11" s="249"/>
      <c r="L11" s="249"/>
      <c r="M11" s="21"/>
      <c r="N11" s="21"/>
      <c r="O11" s="21"/>
      <c r="P11" s="73"/>
      <c r="R11" s="539"/>
      <c r="S11" s="556">
        <v>8</v>
      </c>
      <c r="T11" s="407" t="str">
        <f>'Master Calculator'!Q10</f>
        <v>A</v>
      </c>
      <c r="U11" s="557" t="str">
        <f ca="1">'Master Calculator'!R10</f>
        <v>A</v>
      </c>
      <c r="V11" s="539"/>
      <c r="W11" s="539"/>
      <c r="X11" s="539"/>
      <c r="Y11" s="539"/>
      <c r="Z11" s="539"/>
      <c r="AA11" s="539"/>
      <c r="BG11" s="17" t="s">
        <v>46</v>
      </c>
      <c r="BH11" s="365">
        <v>1</v>
      </c>
    </row>
    <row r="12" spans="1:60" ht="15" thickBot="1">
      <c r="A12" s="250" t="s">
        <v>91</v>
      </c>
      <c r="B12" s="32" t="s">
        <v>254</v>
      </c>
      <c r="C12" s="33" t="str">
        <f>MID($B12,COLUMNS($B$9:B$9),1)</f>
        <v>K</v>
      </c>
      <c r="D12" s="33" t="str">
        <f>MID($B12,COLUMNS($B$9:C$9),1)</f>
        <v>B</v>
      </c>
      <c r="E12" s="33" t="str">
        <f>MID($B12,COLUMNS($B$9:D$9),1)</f>
        <v>P</v>
      </c>
      <c r="F12" s="33" t="str">
        <f>MID($B12,COLUMNS($B$9:E$9),1)</f>
        <v>1</v>
      </c>
      <c r="G12" s="33" t="str">
        <f>MID($B12,COLUMNS($B$9:F$9),1)</f>
        <v>7</v>
      </c>
      <c r="H12" s="33" t="str">
        <f>MID($B12,COLUMNS($B$9:G$9),1)</f>
        <v>1</v>
      </c>
      <c r="I12" s="33" t="str">
        <f>MID($B12,COLUMNS($B$9:H$9),1)</f>
        <v>K</v>
      </c>
      <c r="J12" s="33" t="str">
        <f>MID($B12,COLUMNS($B$9:I$9),1)</f>
        <v/>
      </c>
      <c r="K12" s="33" t="str">
        <f>MID($B12,COLUMNS($B$9:J$9),1)</f>
        <v/>
      </c>
      <c r="L12" s="33" t="str">
        <f>MID($B12,COLUMNS($B$9:K$9),1)</f>
        <v/>
      </c>
      <c r="M12" s="249"/>
      <c r="N12" s="21"/>
      <c r="O12" s="21"/>
      <c r="P12" s="73"/>
      <c r="R12" s="539"/>
      <c r="S12" s="559">
        <v>9</v>
      </c>
      <c r="T12" s="536" t="str">
        <f>'Master Calculator'!Q11</f>
        <v>A</v>
      </c>
      <c r="U12" s="537" t="str">
        <f ca="1">'Master Calculator'!R11</f>
        <v>A</v>
      </c>
      <c r="V12" s="539"/>
      <c r="W12" s="539"/>
      <c r="X12" s="539"/>
      <c r="Y12" s="539"/>
      <c r="Z12" s="539"/>
      <c r="AA12" s="539"/>
      <c r="BG12" s="17" t="s">
        <v>50</v>
      </c>
      <c r="BH12" s="365">
        <v>2</v>
      </c>
    </row>
    <row r="13" spans="1:60">
      <c r="A13" s="76"/>
      <c r="B13" s="21"/>
      <c r="C13" s="249">
        <f t="shared" ref="C13:L13" si="1">IFERROR(VLOOKUP(C12,$BG:$BH,2,0),0)</f>
        <v>2</v>
      </c>
      <c r="D13" s="249">
        <f t="shared" si="1"/>
        <v>2</v>
      </c>
      <c r="E13" s="249">
        <f t="shared" si="1"/>
        <v>8</v>
      </c>
      <c r="F13" s="249">
        <f t="shared" si="1"/>
        <v>1</v>
      </c>
      <c r="G13" s="249">
        <f t="shared" si="1"/>
        <v>7</v>
      </c>
      <c r="H13" s="249">
        <f t="shared" si="1"/>
        <v>1</v>
      </c>
      <c r="I13" s="249">
        <f t="shared" si="1"/>
        <v>2</v>
      </c>
      <c r="J13" s="249">
        <f t="shared" si="1"/>
        <v>0</v>
      </c>
      <c r="K13" s="249">
        <f t="shared" si="1"/>
        <v>0</v>
      </c>
      <c r="L13" s="249">
        <f t="shared" si="1"/>
        <v>0</v>
      </c>
      <c r="M13" s="89" t="s">
        <v>87</v>
      </c>
      <c r="N13" s="57">
        <f>SUM(C13:L13)</f>
        <v>23</v>
      </c>
      <c r="O13" s="247">
        <f>MOD(N13-1,9)+1</f>
        <v>5</v>
      </c>
      <c r="P13" s="73"/>
      <c r="R13" s="539"/>
      <c r="S13" s="539"/>
      <c r="T13" s="539"/>
      <c r="U13" s="539"/>
      <c r="V13" s="539"/>
      <c r="W13" s="539"/>
      <c r="X13" s="539"/>
      <c r="Y13" s="539"/>
      <c r="Z13" s="539"/>
      <c r="AA13" s="539"/>
      <c r="BG13" s="17" t="s">
        <v>53</v>
      </c>
      <c r="BH13" s="365">
        <v>3</v>
      </c>
    </row>
    <row r="14" spans="1:60">
      <c r="A14" s="76"/>
      <c r="B14" s="21"/>
      <c r="C14" s="249"/>
      <c r="D14" s="249"/>
      <c r="E14" s="249"/>
      <c r="F14" s="249"/>
      <c r="G14" s="249"/>
      <c r="H14" s="249"/>
      <c r="I14" s="249"/>
      <c r="J14" s="249"/>
      <c r="K14" s="249"/>
      <c r="L14" s="249"/>
      <c r="M14" s="89"/>
      <c r="N14" s="89"/>
      <c r="O14" s="89"/>
      <c r="P14" s="73"/>
      <c r="R14" s="539"/>
      <c r="S14" s="539"/>
      <c r="T14" s="539"/>
      <c r="U14" s="539"/>
      <c r="V14" s="539"/>
      <c r="W14" s="539"/>
      <c r="X14" s="539"/>
      <c r="Y14" s="539"/>
      <c r="Z14" s="539"/>
      <c r="AA14" s="539"/>
      <c r="BG14" s="17" t="s">
        <v>47</v>
      </c>
      <c r="BH14" s="365">
        <v>4</v>
      </c>
    </row>
    <row r="15" spans="1:60">
      <c r="A15" s="76"/>
      <c r="B15" s="21"/>
      <c r="C15" s="20"/>
      <c r="D15" s="20"/>
      <c r="E15" s="20"/>
      <c r="F15" s="20"/>
      <c r="G15" s="249"/>
      <c r="H15" s="249"/>
      <c r="I15" s="20"/>
      <c r="J15" s="20"/>
      <c r="K15" s="20"/>
      <c r="L15" s="20"/>
      <c r="M15" s="89"/>
      <c r="N15" s="89"/>
      <c r="O15" s="89"/>
      <c r="P15" s="73"/>
      <c r="R15" s="539"/>
      <c r="S15" s="539"/>
      <c r="T15" s="539"/>
      <c r="U15" s="539"/>
      <c r="V15" s="539"/>
      <c r="W15" s="539"/>
      <c r="X15" s="539"/>
      <c r="Y15" s="539"/>
      <c r="Z15" s="539"/>
      <c r="AA15" s="539"/>
      <c r="BG15" s="17" t="s">
        <v>61</v>
      </c>
      <c r="BH15" s="365">
        <v>5</v>
      </c>
    </row>
    <row r="16" spans="1:60">
      <c r="A16" s="250" t="s">
        <v>92</v>
      </c>
      <c r="B16" s="32" t="s">
        <v>294</v>
      </c>
      <c r="C16" s="33" t="str">
        <f>MID($B16,COLUMNS($B$9:B$9),1)</f>
        <v>b</v>
      </c>
      <c r="D16" s="33" t="str">
        <f>MID($B16,COLUMNS($B$9:C$9),1)</f>
        <v xml:space="preserve"> </v>
      </c>
      <c r="E16" s="33" t="str">
        <f>MID($B16,COLUMNS($B$9:D$9),1)</f>
        <v>2</v>
      </c>
      <c r="F16" s="33" t="str">
        <f>MID($B16,COLUMNS($B$9:E$9),1)</f>
        <v>5</v>
      </c>
      <c r="G16" s="33" t="str">
        <f>MID($B16,COLUMNS($B$9:F$9),1)</f>
        <v/>
      </c>
      <c r="H16" s="33" t="str">
        <f>MID($B16,COLUMNS($B$9:G$9),1)</f>
        <v/>
      </c>
      <c r="I16" s="33" t="str">
        <f>MID($B16,COLUMNS($B$9:H$9),1)</f>
        <v/>
      </c>
      <c r="J16" s="33" t="str">
        <f>MID($B16,COLUMNS($B$9:I$9),1)</f>
        <v/>
      </c>
      <c r="K16" s="33" t="str">
        <f>MID($B16,COLUMNS($B$9:J$9),1)</f>
        <v/>
      </c>
      <c r="L16" s="33" t="str">
        <f>MID($B16,COLUMNS($B$9:K$9),1)</f>
        <v/>
      </c>
      <c r="M16" s="249"/>
      <c r="N16" s="21"/>
      <c r="O16" s="21"/>
      <c r="P16" s="73"/>
      <c r="R16" s="539"/>
      <c r="S16" s="539"/>
      <c r="T16" s="539"/>
      <c r="U16" s="539"/>
      <c r="V16" s="539"/>
      <c r="W16" s="539"/>
      <c r="X16" s="539"/>
      <c r="Y16" s="539"/>
      <c r="Z16" s="539"/>
      <c r="AA16" s="539"/>
      <c r="BG16" s="17" t="s">
        <v>52</v>
      </c>
      <c r="BH16" s="365">
        <v>7</v>
      </c>
    </row>
    <row r="17" spans="1:60">
      <c r="A17" s="76"/>
      <c r="B17" s="21"/>
      <c r="C17" s="249">
        <f t="shared" ref="C17" si="2">IFERROR(VLOOKUP(C16,$BG:$BH,2,0),0)</f>
        <v>2</v>
      </c>
      <c r="D17" s="249">
        <f t="shared" ref="D17" si="3">IFERROR(VLOOKUP(D16,$BG:$BH,2,0),0)</f>
        <v>0</v>
      </c>
      <c r="E17" s="249">
        <f t="shared" ref="E17" si="4">IFERROR(VLOOKUP(E16,$BG:$BH,2,0),0)</f>
        <v>2</v>
      </c>
      <c r="F17" s="249">
        <f t="shared" ref="F17" si="5">IFERROR(VLOOKUP(F16,$BG:$BH,2,0),0)</f>
        <v>5</v>
      </c>
      <c r="G17" s="249">
        <f t="shared" ref="G17" si="6">IFERROR(VLOOKUP(G16,$BG:$BH,2,0),0)</f>
        <v>0</v>
      </c>
      <c r="H17" s="249">
        <f t="shared" ref="H17" si="7">IFERROR(VLOOKUP(H16,$BG:$BH,2,0),0)</f>
        <v>0</v>
      </c>
      <c r="I17" s="249">
        <f t="shared" ref="I17" si="8">IFERROR(VLOOKUP(I16,$BG:$BH,2,0),0)</f>
        <v>0</v>
      </c>
      <c r="J17" s="249">
        <f t="shared" ref="J17" si="9">IFERROR(VLOOKUP(J16,$BG:$BH,2,0),0)</f>
        <v>0</v>
      </c>
      <c r="K17" s="249">
        <f t="shared" ref="K17" si="10">IFERROR(VLOOKUP(K16,$BG:$BH,2,0),0)</f>
        <v>0</v>
      </c>
      <c r="L17" s="249">
        <f t="shared" ref="L17" si="11">IFERROR(VLOOKUP(L16,$BG:$BH,2,0),0)</f>
        <v>0</v>
      </c>
      <c r="M17" s="89" t="s">
        <v>87</v>
      </c>
      <c r="N17" s="57">
        <f>SUM(C17:L17)</f>
        <v>9</v>
      </c>
      <c r="O17" s="247">
        <f>MOD(N17-1,9)+1</f>
        <v>9</v>
      </c>
      <c r="P17" s="73"/>
      <c r="R17" s="539"/>
      <c r="S17" s="539"/>
      <c r="T17" s="539"/>
      <c r="U17" s="539"/>
      <c r="V17" s="539"/>
      <c r="W17" s="539"/>
      <c r="X17" s="539"/>
      <c r="Y17" s="539"/>
      <c r="Z17" s="539"/>
      <c r="AA17" s="539"/>
      <c r="BG17" s="17" t="s">
        <v>58</v>
      </c>
      <c r="BH17" s="365">
        <v>8</v>
      </c>
    </row>
    <row r="18" spans="1:60" ht="15" thickBot="1">
      <c r="A18" s="58"/>
      <c r="B18" s="59"/>
      <c r="C18" s="59"/>
      <c r="D18" s="59"/>
      <c r="E18" s="59"/>
      <c r="F18" s="59"/>
      <c r="G18" s="59"/>
      <c r="H18" s="59"/>
      <c r="I18" s="59"/>
      <c r="J18" s="59"/>
      <c r="K18" s="59"/>
      <c r="L18" s="59"/>
      <c r="M18" s="59"/>
      <c r="N18" s="59"/>
      <c r="O18" s="59"/>
      <c r="P18" s="87"/>
      <c r="R18" s="539"/>
      <c r="S18" s="539"/>
      <c r="T18" s="539"/>
      <c r="U18" s="539"/>
      <c r="V18" s="539"/>
      <c r="W18" s="539"/>
      <c r="X18" s="539"/>
      <c r="Y18" s="539"/>
      <c r="Z18" s="539"/>
      <c r="AA18" s="539"/>
      <c r="BG18" s="17" t="s">
        <v>63</v>
      </c>
      <c r="BH18" s="365">
        <v>1</v>
      </c>
    </row>
    <row r="19" spans="1:60">
      <c r="R19" s="540"/>
      <c r="S19" s="540"/>
      <c r="T19" s="540"/>
      <c r="U19" s="540"/>
      <c r="V19" s="540"/>
      <c r="W19" s="540"/>
      <c r="X19" s="540"/>
      <c r="Y19" s="540"/>
      <c r="Z19" s="540"/>
      <c r="AA19" s="540"/>
      <c r="BG19" s="17" t="s">
        <v>59</v>
      </c>
      <c r="BH19" s="365">
        <v>2</v>
      </c>
    </row>
    <row r="20" spans="1:60">
      <c r="BG20" s="17" t="s">
        <v>64</v>
      </c>
      <c r="BH20" s="365">
        <v>3</v>
      </c>
    </row>
    <row r="21" spans="1:60">
      <c r="A21" s="202"/>
      <c r="B21" s="20"/>
      <c r="C21" s="20"/>
      <c r="D21" s="20"/>
      <c r="E21" s="20"/>
      <c r="F21" s="20"/>
      <c r="G21" s="358"/>
      <c r="H21" s="14"/>
      <c r="I21" s="14"/>
      <c r="J21" s="14"/>
      <c r="K21" s="14"/>
      <c r="L21" s="14"/>
      <c r="M21" s="14"/>
      <c r="N21" s="14"/>
      <c r="O21" s="14"/>
      <c r="P21" s="14"/>
      <c r="Q21" s="14"/>
      <c r="R21" s="30"/>
      <c r="S21" s="30"/>
      <c r="T21" s="30"/>
      <c r="U21" s="30"/>
      <c r="V21" s="30"/>
      <c r="W21" s="30"/>
      <c r="X21" s="30"/>
      <c r="Y21" s="30"/>
      <c r="Z21" s="30"/>
      <c r="AA21" s="30"/>
      <c r="AB21" s="30"/>
      <c r="AC21" s="30"/>
      <c r="AD21" s="541"/>
      <c r="AE21" s="30"/>
      <c r="AF21" s="30"/>
      <c r="AG21" s="30"/>
      <c r="AH21" s="30"/>
      <c r="AI21" s="30"/>
      <c r="AJ21" s="30"/>
      <c r="AK21" s="30"/>
      <c r="AL21" s="30"/>
      <c r="BG21" s="17" t="s">
        <v>60</v>
      </c>
      <c r="BH21" s="365">
        <v>4</v>
      </c>
    </row>
    <row r="22" spans="1:60">
      <c r="A22" s="698" t="s">
        <v>189</v>
      </c>
      <c r="B22" s="698"/>
      <c r="C22" s="62"/>
      <c r="D22" s="62"/>
      <c r="E22" s="62"/>
      <c r="F22" s="62"/>
      <c r="G22" s="62"/>
      <c r="H22" s="62"/>
      <c r="I22" s="62"/>
      <c r="J22" s="62"/>
      <c r="K22" s="62"/>
      <c r="L22" s="62"/>
      <c r="M22" s="62"/>
      <c r="N22" s="62"/>
      <c r="O22" s="62"/>
      <c r="P22" s="62"/>
      <c r="Q22" s="62"/>
      <c r="R22" s="542"/>
      <c r="S22" s="542"/>
      <c r="T22" s="542"/>
      <c r="U22" s="17"/>
      <c r="V22" s="17"/>
      <c r="W22" s="17"/>
      <c r="X22" s="17"/>
      <c r="Y22" s="17"/>
      <c r="Z22" s="17"/>
      <c r="AA22" s="17"/>
      <c r="AB22" s="17"/>
      <c r="AC22" s="30"/>
      <c r="AD22" s="541"/>
      <c r="AE22" s="30"/>
      <c r="AF22" s="30"/>
      <c r="AG22" s="30"/>
      <c r="AH22" s="30"/>
      <c r="AI22" s="30"/>
      <c r="AJ22" s="30"/>
      <c r="AK22" s="30"/>
      <c r="AL22" s="30"/>
      <c r="BG22" s="17" t="s">
        <v>51</v>
      </c>
      <c r="BH22" s="365">
        <v>6</v>
      </c>
    </row>
    <row r="23" spans="1:60">
      <c r="A23" s="49" t="s">
        <v>94</v>
      </c>
      <c r="B23" s="95" t="s">
        <v>255</v>
      </c>
      <c r="C23" s="49"/>
      <c r="D23" s="96">
        <f>MasterTables!BU98</f>
        <v>74</v>
      </c>
      <c r="E23" s="359">
        <f>MOD(D23-1,9)+1</f>
        <v>2</v>
      </c>
      <c r="F23" s="49"/>
      <c r="G23" s="49"/>
      <c r="H23" s="49"/>
      <c r="I23" s="49"/>
      <c r="J23" s="49"/>
      <c r="K23" s="49"/>
      <c r="L23" s="49"/>
      <c r="M23" s="49"/>
      <c r="N23" s="49"/>
      <c r="O23" s="49"/>
      <c r="P23" s="49"/>
      <c r="Q23" s="49"/>
      <c r="R23" s="30"/>
      <c r="S23" s="30"/>
      <c r="T23" s="30"/>
      <c r="U23" s="30"/>
      <c r="V23" s="30"/>
      <c r="W23" s="30"/>
      <c r="X23" s="30"/>
      <c r="Y23" s="30"/>
      <c r="Z23" s="30"/>
      <c r="AA23" s="30"/>
      <c r="AB23" s="30"/>
      <c r="AC23" s="30"/>
      <c r="AD23" s="30"/>
      <c r="AE23" s="30"/>
      <c r="AF23" s="30"/>
      <c r="AG23" s="30"/>
      <c r="AH23" s="30"/>
      <c r="AI23" s="541"/>
      <c r="AJ23" s="30"/>
      <c r="AK23" s="30"/>
      <c r="AL23" s="30"/>
      <c r="BG23" s="17" t="s">
        <v>56</v>
      </c>
      <c r="BH23" s="365">
        <v>6</v>
      </c>
    </row>
    <row r="24" spans="1:60" ht="15" thickBot="1">
      <c r="A24" s="49"/>
      <c r="B24" s="49"/>
      <c r="C24" s="42"/>
      <c r="D24" s="54"/>
      <c r="E24" s="49"/>
      <c r="F24" s="49"/>
      <c r="G24" s="49"/>
      <c r="H24" s="42"/>
      <c r="I24" s="42"/>
      <c r="J24" s="42"/>
      <c r="K24" s="42"/>
      <c r="L24" s="42"/>
      <c r="M24" s="42"/>
      <c r="N24" s="42"/>
      <c r="O24" s="42"/>
      <c r="P24" s="42"/>
      <c r="Q24" s="42"/>
      <c r="R24" s="543"/>
      <c r="S24" s="543"/>
      <c r="T24" s="543"/>
      <c r="U24" s="543"/>
      <c r="V24" s="543"/>
      <c r="W24" s="543"/>
      <c r="X24" s="543"/>
      <c r="Y24" s="543"/>
      <c r="Z24" s="543"/>
      <c r="AA24" s="543"/>
      <c r="AB24" s="543"/>
      <c r="AC24" s="543"/>
      <c r="AD24" s="543"/>
      <c r="AE24" s="543"/>
      <c r="AF24" s="543"/>
      <c r="AG24" s="543"/>
      <c r="AH24" s="543"/>
      <c r="AI24" s="544"/>
      <c r="AJ24" s="544"/>
      <c r="AK24" s="544"/>
      <c r="AL24" s="544"/>
      <c r="BG24" s="17" t="s">
        <v>62</v>
      </c>
      <c r="BH24" s="365">
        <v>6</v>
      </c>
    </row>
    <row r="25" spans="1:60">
      <c r="A25" s="49"/>
      <c r="B25" s="49"/>
      <c r="C25" s="49"/>
      <c r="D25" s="453" t="s">
        <v>18</v>
      </c>
      <c r="E25" s="451">
        <f>'Master Calculator'!C6</f>
        <v>2</v>
      </c>
      <c r="F25" s="746" t="str">
        <f>IF(E25=E23,"Very Good","Not Good")</f>
        <v>Very Good</v>
      </c>
      <c r="G25" s="746"/>
      <c r="H25" s="747"/>
      <c r="I25" s="49"/>
      <c r="J25" s="49"/>
      <c r="K25" s="49"/>
      <c r="L25" s="49"/>
      <c r="M25" s="49"/>
      <c r="N25" s="49"/>
      <c r="O25" s="49"/>
      <c r="P25" s="49"/>
      <c r="Q25" s="49"/>
      <c r="R25" s="30"/>
      <c r="S25" s="30"/>
      <c r="T25" s="30"/>
      <c r="U25" s="30"/>
      <c r="V25" s="30"/>
      <c r="W25" s="30"/>
      <c r="X25" s="30"/>
      <c r="Y25" s="30"/>
      <c r="Z25" s="30"/>
      <c r="AA25" s="30"/>
      <c r="AB25" s="30"/>
      <c r="AC25" s="30"/>
      <c r="AD25" s="541"/>
      <c r="AE25" s="30"/>
      <c r="AF25" s="30"/>
      <c r="AG25" s="30"/>
      <c r="AH25" s="30"/>
      <c r="AI25" s="544"/>
      <c r="AJ25" s="544"/>
      <c r="AK25" s="544"/>
      <c r="AL25" s="544"/>
      <c r="BG25" s="17" t="s">
        <v>23</v>
      </c>
      <c r="BH25" s="365">
        <v>5</v>
      </c>
    </row>
    <row r="26" spans="1:60" ht="15" thickBot="1">
      <c r="A26" s="49"/>
      <c r="B26" s="49"/>
      <c r="C26" s="49"/>
      <c r="D26" s="454" t="s">
        <v>25</v>
      </c>
      <c r="E26" s="452">
        <f ca="1">'Master Calculator'!C7</f>
        <v>2</v>
      </c>
      <c r="F26" s="744" t="str">
        <f ca="1">IF(E26=E23,"Very Good","Not Good")</f>
        <v>Very Good</v>
      </c>
      <c r="G26" s="744"/>
      <c r="H26" s="745"/>
      <c r="I26" s="49"/>
      <c r="J26" s="49"/>
      <c r="K26" s="49"/>
      <c r="L26" s="49"/>
      <c r="M26" s="49"/>
      <c r="N26" s="49"/>
      <c r="O26" s="49"/>
      <c r="P26" s="49"/>
      <c r="Q26" s="49"/>
      <c r="R26" s="30"/>
      <c r="S26" s="30"/>
      <c r="T26" s="30"/>
      <c r="U26" s="30"/>
      <c r="V26" s="30"/>
      <c r="W26" s="30"/>
      <c r="X26" s="30"/>
      <c r="Y26" s="30"/>
      <c r="Z26" s="30"/>
      <c r="AA26" s="30"/>
      <c r="AB26" s="30"/>
      <c r="AC26" s="30"/>
      <c r="AD26" s="541"/>
      <c r="AE26" s="30"/>
      <c r="AF26" s="30"/>
      <c r="AG26" s="30"/>
      <c r="AH26" s="30"/>
      <c r="AI26" s="544"/>
      <c r="AJ26" s="544"/>
      <c r="AK26" s="544"/>
      <c r="AL26" s="544"/>
      <c r="BG26" s="17" t="s">
        <v>48</v>
      </c>
      <c r="BH26" s="365">
        <v>1</v>
      </c>
    </row>
    <row r="27" spans="1:60">
      <c r="A27" s="49"/>
      <c r="B27" s="49"/>
      <c r="C27" s="49"/>
      <c r="D27" s="49"/>
      <c r="E27" s="49"/>
      <c r="F27" s="49"/>
      <c r="G27" s="49"/>
      <c r="H27" s="49"/>
      <c r="I27" s="49"/>
      <c r="J27" s="49"/>
      <c r="K27" s="49"/>
      <c r="L27" s="49"/>
      <c r="M27" s="49"/>
      <c r="N27" s="49"/>
      <c r="O27" s="49"/>
      <c r="P27" s="49"/>
      <c r="Q27" s="49"/>
      <c r="R27" s="30"/>
      <c r="S27" s="30"/>
      <c r="T27" s="30"/>
      <c r="U27" s="30"/>
      <c r="V27" s="30"/>
      <c r="W27" s="30"/>
      <c r="X27" s="30"/>
      <c r="Y27" s="30"/>
      <c r="Z27" s="30"/>
      <c r="AA27" s="30"/>
      <c r="AB27" s="30"/>
      <c r="AC27" s="30"/>
      <c r="AD27" s="541"/>
      <c r="AE27" s="30"/>
      <c r="AF27" s="30"/>
      <c r="AG27" s="30"/>
      <c r="AH27" s="30"/>
      <c r="AI27" s="544"/>
      <c r="AJ27" s="544"/>
      <c r="AK27" s="544"/>
      <c r="AL27" s="544"/>
      <c r="BG27" s="17" t="s">
        <v>57</v>
      </c>
      <c r="BH27" s="365">
        <v>7</v>
      </c>
    </row>
    <row r="28" spans="1:60">
      <c r="A28" s="49"/>
      <c r="B28" s="49"/>
      <c r="C28" s="49"/>
      <c r="D28" s="49"/>
      <c r="E28" s="49"/>
      <c r="F28" s="49"/>
      <c r="G28" s="49"/>
      <c r="H28" s="49"/>
      <c r="I28" s="49"/>
      <c r="J28" s="49"/>
      <c r="K28" s="49"/>
      <c r="L28" s="49"/>
      <c r="M28" s="49"/>
      <c r="N28" s="49"/>
      <c r="O28" s="49"/>
      <c r="P28" s="49"/>
      <c r="Q28" s="49"/>
      <c r="R28" s="30"/>
      <c r="S28" s="30"/>
      <c r="T28" s="30"/>
      <c r="U28" s="30"/>
      <c r="V28" s="30"/>
      <c r="W28" s="30"/>
      <c r="X28" s="30"/>
      <c r="Y28" s="30"/>
      <c r="Z28" s="30"/>
      <c r="AA28" s="30"/>
      <c r="AB28" s="30"/>
      <c r="AC28" s="30"/>
      <c r="AD28" s="541"/>
      <c r="AE28" s="30"/>
      <c r="AF28" s="30"/>
      <c r="AG28" s="30"/>
      <c r="AH28" s="30"/>
      <c r="AI28" s="541"/>
      <c r="AJ28" s="30"/>
      <c r="AK28" s="30"/>
      <c r="AL28" s="30"/>
      <c r="BG28" s="213" t="s">
        <v>173</v>
      </c>
      <c r="BH28" s="365">
        <v>1</v>
      </c>
    </row>
    <row r="29" spans="1:60">
      <c r="A29" s="698" t="s">
        <v>189</v>
      </c>
      <c r="B29" s="698"/>
      <c r="C29" s="62"/>
      <c r="D29" s="62"/>
      <c r="E29" s="62"/>
      <c r="F29" s="62"/>
      <c r="G29" s="62"/>
      <c r="H29" s="62"/>
      <c r="I29" s="62"/>
      <c r="J29" s="62"/>
      <c r="K29" s="62"/>
      <c r="L29" s="62"/>
      <c r="M29" s="62"/>
      <c r="N29" s="62"/>
      <c r="O29" s="62"/>
      <c r="P29" s="62"/>
      <c r="Q29" s="62"/>
      <c r="R29" s="542"/>
      <c r="S29" s="542"/>
      <c r="T29" s="542"/>
      <c r="U29" s="30"/>
      <c r="V29" s="30"/>
      <c r="W29" s="30"/>
      <c r="X29" s="30"/>
      <c r="Y29" s="30"/>
      <c r="Z29" s="30"/>
      <c r="AA29" s="30"/>
      <c r="AB29" s="30"/>
      <c r="AC29" s="30"/>
      <c r="AD29" s="541"/>
      <c r="AE29" s="30"/>
      <c r="AF29" s="30"/>
      <c r="AG29" s="30"/>
      <c r="AH29" s="30"/>
      <c r="AI29" s="28"/>
      <c r="AJ29" s="17"/>
      <c r="AK29" s="30"/>
      <c r="AL29" s="30"/>
      <c r="BG29" s="213" t="s">
        <v>174</v>
      </c>
      <c r="BH29" s="365">
        <v>2</v>
      </c>
    </row>
    <row r="30" spans="1:60">
      <c r="A30" s="49" t="s">
        <v>94</v>
      </c>
      <c r="B30" s="95" t="s">
        <v>208</v>
      </c>
      <c r="C30" s="49"/>
      <c r="D30" s="96">
        <f>MasterTables!BU102</f>
        <v>181</v>
      </c>
      <c r="E30" s="406">
        <f>MOD(D30-1,9)+1</f>
        <v>1</v>
      </c>
      <c r="F30" s="49"/>
      <c r="G30" s="49"/>
      <c r="H30" s="49"/>
      <c r="I30" s="49"/>
      <c r="J30" s="49"/>
      <c r="K30" s="49"/>
      <c r="L30" s="49"/>
      <c r="M30" s="49"/>
      <c r="N30" s="49"/>
      <c r="O30" s="49"/>
      <c r="P30" s="49"/>
      <c r="Q30" s="49"/>
      <c r="R30" s="30"/>
      <c r="S30" s="30"/>
      <c r="T30" s="30"/>
      <c r="U30" s="30"/>
      <c r="V30" s="30"/>
      <c r="W30" s="30"/>
      <c r="X30" s="30"/>
      <c r="Y30" s="30"/>
      <c r="Z30" s="30"/>
      <c r="AA30" s="30"/>
      <c r="AB30" s="30"/>
      <c r="AC30" s="30"/>
      <c r="AD30" s="30"/>
      <c r="AE30" s="30"/>
      <c r="AF30" s="30"/>
      <c r="AG30" s="30"/>
      <c r="AH30" s="30"/>
      <c r="AI30" s="545"/>
      <c r="AJ30" s="543"/>
      <c r="AK30" s="30"/>
      <c r="AL30" s="30"/>
      <c r="BG30" s="214" t="s">
        <v>175</v>
      </c>
      <c r="BH30" s="366">
        <v>3</v>
      </c>
    </row>
    <row r="31" spans="1:60" ht="15" thickBot="1">
      <c r="A31" s="49"/>
      <c r="B31" s="49"/>
      <c r="C31" s="42"/>
      <c r="D31" s="54"/>
      <c r="E31" s="49"/>
      <c r="F31" s="49"/>
      <c r="G31" s="49"/>
      <c r="H31" s="42"/>
      <c r="I31" s="42"/>
      <c r="J31" s="42"/>
      <c r="K31" s="42"/>
      <c r="L31" s="42"/>
      <c r="M31" s="42"/>
      <c r="N31" s="42"/>
      <c r="O31" s="42"/>
      <c r="P31" s="42"/>
      <c r="Q31" s="42"/>
      <c r="R31" s="543"/>
      <c r="S31" s="543"/>
      <c r="T31" s="543"/>
      <c r="U31" s="543"/>
      <c r="V31" s="543"/>
      <c r="W31" s="543"/>
      <c r="X31" s="543"/>
      <c r="Y31" s="543"/>
      <c r="Z31" s="543"/>
      <c r="AA31" s="543"/>
      <c r="AB31" s="543"/>
      <c r="AC31" s="543"/>
      <c r="AD31" s="543"/>
      <c r="AE31" s="543"/>
      <c r="AF31" s="543"/>
      <c r="AG31" s="543"/>
      <c r="AH31" s="543"/>
      <c r="BG31" s="213" t="s">
        <v>176</v>
      </c>
      <c r="BH31" s="365">
        <v>4</v>
      </c>
    </row>
    <row r="32" spans="1:60">
      <c r="A32" s="49"/>
      <c r="B32" s="49"/>
      <c r="C32" s="49"/>
      <c r="D32" s="453" t="s">
        <v>18</v>
      </c>
      <c r="E32" s="451">
        <f>'Master Calculator'!C6</f>
        <v>2</v>
      </c>
      <c r="F32" s="746" t="str">
        <f>IF(E32=E30,"Very Good","Not Good")</f>
        <v>Not Good</v>
      </c>
      <c r="G32" s="746"/>
      <c r="H32" s="747"/>
      <c r="I32" s="49"/>
      <c r="J32" s="49"/>
      <c r="K32" s="49"/>
      <c r="L32" s="49"/>
      <c r="M32" s="49"/>
      <c r="N32" s="49"/>
      <c r="O32" s="49"/>
      <c r="P32" s="49"/>
      <c r="Q32" s="49"/>
      <c r="R32" s="30"/>
      <c r="S32" s="30"/>
      <c r="T32" s="30"/>
      <c r="U32" s="30"/>
      <c r="V32" s="30"/>
      <c r="W32" s="30"/>
      <c r="X32" s="30"/>
      <c r="Y32" s="30"/>
      <c r="Z32" s="30"/>
      <c r="AA32" s="30"/>
      <c r="AB32" s="30"/>
      <c r="AC32" s="30"/>
      <c r="AD32" s="541"/>
      <c r="AE32" s="30"/>
      <c r="AF32" s="30"/>
      <c r="AG32" s="30"/>
      <c r="AH32" s="30"/>
      <c r="BG32" s="213" t="s">
        <v>177</v>
      </c>
      <c r="BH32" s="365">
        <v>5</v>
      </c>
    </row>
    <row r="33" spans="1:60" ht="15" thickBot="1">
      <c r="A33" s="49"/>
      <c r="B33" s="49"/>
      <c r="C33" s="49"/>
      <c r="D33" s="454" t="s">
        <v>25</v>
      </c>
      <c r="E33" s="452">
        <f ca="1">'Master Calculator'!C7</f>
        <v>2</v>
      </c>
      <c r="F33" s="744" t="str">
        <f ca="1">IF(E33=E30,"Very Good","Not Good")</f>
        <v>Not Good</v>
      </c>
      <c r="G33" s="744"/>
      <c r="H33" s="745"/>
      <c r="I33" s="49"/>
      <c r="J33" s="49"/>
      <c r="K33" s="49"/>
      <c r="L33" s="49"/>
      <c r="M33" s="49"/>
      <c r="N33" s="49"/>
      <c r="O33" s="49"/>
      <c r="P33" s="49"/>
      <c r="Q33" s="49"/>
      <c r="R33" s="30"/>
      <c r="S33" s="30"/>
      <c r="T33" s="30"/>
      <c r="U33" s="30"/>
      <c r="V33" s="30"/>
      <c r="W33" s="30"/>
      <c r="X33" s="30"/>
      <c r="Y33" s="30"/>
      <c r="Z33" s="30"/>
      <c r="AA33" s="30"/>
      <c r="AB33" s="30"/>
      <c r="AC33" s="30"/>
      <c r="AD33" s="541"/>
      <c r="AE33" s="30"/>
      <c r="AF33" s="30"/>
      <c r="AG33" s="30"/>
      <c r="AH33" s="30"/>
      <c r="BG33" s="213" t="s">
        <v>178</v>
      </c>
      <c r="BH33" s="365">
        <v>6</v>
      </c>
    </row>
    <row r="34" spans="1:60">
      <c r="A34" s="49"/>
      <c r="B34" s="49"/>
      <c r="C34" s="49"/>
      <c r="D34" s="49"/>
      <c r="E34" s="49"/>
      <c r="F34" s="49"/>
      <c r="G34" s="49"/>
      <c r="H34" s="49"/>
      <c r="I34" s="49"/>
      <c r="J34" s="49"/>
      <c r="K34" s="49"/>
      <c r="L34" s="49"/>
      <c r="M34" s="49"/>
      <c r="N34" s="49"/>
      <c r="O34" s="49"/>
      <c r="P34" s="49"/>
      <c r="Q34" s="49"/>
      <c r="R34" s="30"/>
      <c r="S34" s="30"/>
      <c r="T34" s="30"/>
      <c r="U34" s="30"/>
      <c r="V34" s="30"/>
      <c r="W34" s="30"/>
      <c r="X34" s="30"/>
      <c r="Y34" s="30"/>
      <c r="Z34" s="30"/>
      <c r="AA34" s="30"/>
      <c r="AB34" s="30"/>
      <c r="AC34" s="30"/>
      <c r="AD34" s="541"/>
      <c r="AE34" s="30"/>
      <c r="AF34" s="30"/>
      <c r="AG34" s="30"/>
      <c r="AH34" s="30"/>
      <c r="BG34" s="213" t="s">
        <v>179</v>
      </c>
      <c r="BH34" s="365">
        <v>7</v>
      </c>
    </row>
    <row r="35" spans="1:60">
      <c r="A35" s="49"/>
      <c r="B35" s="49"/>
      <c r="C35" s="49"/>
      <c r="D35" s="49"/>
      <c r="E35" s="49"/>
      <c r="F35" s="49"/>
      <c r="G35" s="49"/>
      <c r="H35" s="49"/>
      <c r="I35" s="49"/>
      <c r="J35" s="49"/>
      <c r="K35" s="49"/>
      <c r="L35" s="49"/>
      <c r="M35" s="49"/>
      <c r="N35" s="49"/>
      <c r="O35" s="49"/>
      <c r="P35" s="49"/>
      <c r="Q35" s="49"/>
      <c r="R35" s="30"/>
      <c r="S35" s="30"/>
      <c r="T35" s="30"/>
      <c r="U35" s="30"/>
      <c r="V35" s="30"/>
      <c r="W35" s="30"/>
      <c r="X35" s="30"/>
      <c r="Y35" s="30"/>
      <c r="Z35" s="30"/>
      <c r="AA35" s="30"/>
      <c r="AB35" s="30"/>
      <c r="AC35" s="30"/>
      <c r="AD35" s="541"/>
      <c r="AE35" s="30"/>
      <c r="AF35" s="30"/>
      <c r="AG35" s="30"/>
      <c r="AH35" s="30"/>
      <c r="AI35" s="30"/>
      <c r="AJ35" s="30"/>
      <c r="AK35" s="30"/>
      <c r="AL35" s="30"/>
      <c r="BG35" s="213" t="s">
        <v>180</v>
      </c>
      <c r="BH35" s="365">
        <v>8</v>
      </c>
    </row>
    <row r="36" spans="1:60">
      <c r="BG36" s="213" t="s">
        <v>181</v>
      </c>
      <c r="BH36" s="365">
        <v>9</v>
      </c>
    </row>
    <row r="37" spans="1:60">
      <c r="BG37" s="213" t="s">
        <v>182</v>
      </c>
      <c r="BH37" s="365">
        <v>0</v>
      </c>
    </row>
  </sheetData>
  <mergeCells count="6">
    <mergeCell ref="F33:H33"/>
    <mergeCell ref="A22:B22"/>
    <mergeCell ref="A29:B29"/>
    <mergeCell ref="F25:H25"/>
    <mergeCell ref="F26:H26"/>
    <mergeCell ref="F32:H32"/>
  </mergeCells>
  <conditionalFormatting sqref="T4:T12">
    <cfRule type="cellIs" dxfId="115" priority="14" operator="equal">
      <formula>"SA"</formula>
    </cfRule>
    <cfRule type="cellIs" dxfId="114" priority="15" operator="equal">
      <formula>"A"</formula>
    </cfRule>
    <cfRule type="cellIs" dxfId="113" priority="16" operator="equal">
      <formula>"E"</formula>
    </cfRule>
    <cfRule type="cellIs" dxfId="112" priority="17" operator="equal">
      <formula>"G"</formula>
    </cfRule>
  </conditionalFormatting>
  <conditionalFormatting sqref="T4:T12">
    <cfRule type="cellIs" dxfId="111" priority="13" operator="equal">
      <formula>"VG"</formula>
    </cfRule>
  </conditionalFormatting>
  <conditionalFormatting sqref="U4">
    <cfRule type="cellIs" dxfId="110" priority="9" operator="equal">
      <formula>"SA"</formula>
    </cfRule>
    <cfRule type="cellIs" dxfId="109" priority="10" operator="equal">
      <formula>"A"</formula>
    </cfRule>
    <cfRule type="cellIs" dxfId="108" priority="11" operator="equal">
      <formula>"E"</formula>
    </cfRule>
    <cfRule type="cellIs" dxfId="107" priority="12" operator="equal">
      <formula>"G"</formula>
    </cfRule>
  </conditionalFormatting>
  <conditionalFormatting sqref="U4">
    <cfRule type="cellIs" dxfId="106" priority="8" operator="equal">
      <formula>"VG"</formula>
    </cfRule>
  </conditionalFormatting>
  <conditionalFormatting sqref="U5:U12">
    <cfRule type="cellIs" dxfId="105" priority="4" operator="equal">
      <formula>"SA"</formula>
    </cfRule>
    <cfRule type="cellIs" dxfId="104" priority="5" operator="equal">
      <formula>"A"</formula>
    </cfRule>
    <cfRule type="cellIs" dxfId="103" priority="6" operator="equal">
      <formula>"E"</formula>
    </cfRule>
    <cfRule type="cellIs" dxfId="102" priority="7" operator="equal">
      <formula>"G"</formula>
    </cfRule>
  </conditionalFormatting>
  <conditionalFormatting sqref="U5:U12">
    <cfRule type="cellIs" dxfId="101" priority="3" operator="equal">
      <formula>"VG"</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sheetPr codeName="Sheet7">
    <tabColor theme="5" tint="0.39997558519241921"/>
  </sheetPr>
  <dimension ref="A1:CE367"/>
  <sheetViews>
    <sheetView topLeftCell="BW327" zoomScale="86" workbookViewId="0">
      <selection activeCell="CI350" sqref="CI350"/>
    </sheetView>
  </sheetViews>
  <sheetFormatPr defaultColWidth="9.1796875" defaultRowHeight="14.5"/>
  <cols>
    <col min="1" max="1" width="14.26953125" style="49" bestFit="1" customWidth="1"/>
    <col min="2" max="2" width="14" style="49" customWidth="1"/>
    <col min="3" max="3" width="16.7265625" style="49" bestFit="1" customWidth="1"/>
    <col min="4" max="4" width="5.81640625" style="49" bestFit="1" customWidth="1"/>
    <col min="5" max="5" width="3.453125" style="49" bestFit="1" customWidth="1"/>
    <col min="6" max="7" width="5.81640625" style="49" bestFit="1" customWidth="1"/>
    <col min="8" max="8" width="2.7265625" style="49" customWidth="1"/>
    <col min="9" max="9" width="5.81640625" style="49" bestFit="1" customWidth="1"/>
    <col min="10" max="10" width="3.453125" style="49" bestFit="1" customWidth="1"/>
    <col min="11" max="15" width="2" style="49" bestFit="1" customWidth="1"/>
    <col min="16" max="16" width="4.1796875" style="21" customWidth="1"/>
    <col min="17" max="17" width="9" style="21" customWidth="1"/>
    <col min="18" max="18" width="3.26953125" style="287" customWidth="1"/>
    <col min="19" max="19" width="3.1796875" style="287" bestFit="1" customWidth="1"/>
    <col min="20" max="20" width="2" style="265" customWidth="1"/>
    <col min="21" max="21" width="3.1796875" style="287" bestFit="1" customWidth="1"/>
    <col min="22" max="22" width="3.453125" style="287" customWidth="1"/>
    <col min="23" max="23" width="2" style="265" customWidth="1"/>
    <col min="24" max="24" width="3.1796875" style="287" bestFit="1" customWidth="1"/>
    <col min="25" max="25" width="4.1796875" style="287" customWidth="1"/>
    <col min="26" max="26" width="1.81640625" style="265" customWidth="1"/>
    <col min="27" max="28" width="3.1796875" style="287" bestFit="1" customWidth="1"/>
    <col min="29" max="29" width="1.7265625" style="265" customWidth="1"/>
    <col min="30" max="31" width="3.1796875" style="287" bestFit="1" customWidth="1"/>
    <col min="32" max="32" width="1.26953125" style="265" customWidth="1"/>
    <col min="33" max="34" width="3.1796875" style="287" bestFit="1" customWidth="1"/>
    <col min="35" max="35" width="1.7265625" style="265" customWidth="1"/>
    <col min="36" max="37" width="3.1796875" style="287" bestFit="1" customWidth="1"/>
    <col min="38" max="38" width="1.81640625" style="265" customWidth="1"/>
    <col min="39" max="40" width="3.1796875" style="287" bestFit="1" customWidth="1"/>
    <col min="41" max="41" width="1.26953125" style="265" customWidth="1"/>
    <col min="42" max="42" width="3.453125" style="287" bestFit="1" customWidth="1"/>
    <col min="43" max="43" width="4.1796875" style="287" customWidth="1"/>
    <col min="44" max="44" width="1.453125" style="265" customWidth="1"/>
    <col min="45" max="45" width="3.453125" style="287" bestFit="1" customWidth="1"/>
    <col min="46" max="46" width="3.1796875" style="287" bestFit="1" customWidth="1"/>
    <col min="47" max="47" width="1.453125" style="265" customWidth="1"/>
    <col min="48" max="48" width="3.453125" style="287" bestFit="1" customWidth="1"/>
    <col min="49" max="49" width="4.26953125" style="287" customWidth="1"/>
    <col min="50" max="50" width="1.26953125" style="265" customWidth="1"/>
    <col min="51" max="51" width="3.453125" style="287" bestFit="1" customWidth="1"/>
    <col min="52" max="52" width="3.81640625" style="287" customWidth="1"/>
    <col min="53" max="78" width="9.1796875" style="21"/>
    <col min="79" max="80" width="8.1796875" style="55" bestFit="1" customWidth="1"/>
    <col min="81" max="81" width="11.1796875" style="55" bestFit="1" customWidth="1"/>
    <col min="82" max="82" width="8.7265625" style="55" bestFit="1" customWidth="1"/>
    <col min="83" max="83" width="16.81640625" style="55" bestFit="1" customWidth="1"/>
    <col min="84" max="16384" width="9.1796875" style="21"/>
  </cols>
  <sheetData>
    <row r="1" spans="1:83" ht="15" thickBot="1">
      <c r="R1" s="748" t="s">
        <v>156</v>
      </c>
      <c r="S1" s="749"/>
      <c r="T1" s="251"/>
      <c r="U1" s="748" t="s">
        <v>157</v>
      </c>
      <c r="V1" s="749"/>
      <c r="W1" s="251"/>
      <c r="X1" s="748" t="s">
        <v>158</v>
      </c>
      <c r="Y1" s="749"/>
      <c r="Z1" s="251"/>
      <c r="AA1" s="748" t="s">
        <v>159</v>
      </c>
      <c r="AB1" s="749"/>
      <c r="AC1" s="251"/>
      <c r="AD1" s="748" t="s">
        <v>160</v>
      </c>
      <c r="AE1" s="749"/>
      <c r="AF1" s="251"/>
      <c r="AG1" s="748" t="s">
        <v>161</v>
      </c>
      <c r="AH1" s="749"/>
      <c r="AI1" s="251"/>
      <c r="AJ1" s="748" t="s">
        <v>162</v>
      </c>
      <c r="AK1" s="749"/>
      <c r="AL1" s="251"/>
      <c r="AM1" s="748" t="s">
        <v>163</v>
      </c>
      <c r="AN1" s="749"/>
      <c r="AO1" s="251"/>
      <c r="AP1" s="748" t="s">
        <v>164</v>
      </c>
      <c r="AQ1" s="749"/>
      <c r="AR1" s="251"/>
      <c r="AS1" s="748" t="s">
        <v>165</v>
      </c>
      <c r="AT1" s="749"/>
      <c r="AU1" s="251"/>
      <c r="AV1" s="748" t="s">
        <v>166</v>
      </c>
      <c r="AW1" s="750"/>
      <c r="AX1" s="251"/>
      <c r="AY1" s="748" t="s">
        <v>167</v>
      </c>
      <c r="AZ1" s="749"/>
      <c r="CA1" s="445" t="s">
        <v>125</v>
      </c>
      <c r="CB1" s="445" t="s">
        <v>125</v>
      </c>
      <c r="CC1" s="445" t="s">
        <v>126</v>
      </c>
      <c r="CD1" s="445" t="s">
        <v>128</v>
      </c>
      <c r="CE1" s="445" t="str">
        <f t="shared" ref="CE1:CE64" si="0">CC1&amp;" - "&amp;CD1</f>
        <v>Zodiac - Element</v>
      </c>
    </row>
    <row r="2" spans="1:83" ht="29.5" thickBot="1">
      <c r="A2" s="21"/>
      <c r="B2" s="252"/>
      <c r="C2" s="70"/>
      <c r="D2" s="147" t="s">
        <v>29</v>
      </c>
      <c r="E2" s="147" t="s">
        <v>29</v>
      </c>
      <c r="F2" s="147"/>
      <c r="G2" s="147" t="s">
        <v>47</v>
      </c>
      <c r="H2" s="147" t="s">
        <v>47</v>
      </c>
      <c r="I2" s="147"/>
      <c r="J2" s="147" t="s">
        <v>48</v>
      </c>
      <c r="K2" s="147" t="s">
        <v>48</v>
      </c>
      <c r="L2" s="147" t="s">
        <v>48</v>
      </c>
      <c r="M2" s="147" t="s">
        <v>48</v>
      </c>
      <c r="N2" s="72"/>
      <c r="O2" s="21"/>
      <c r="Q2" s="253" t="s">
        <v>168</v>
      </c>
      <c r="R2" s="254">
        <v>1</v>
      </c>
      <c r="S2" s="255">
        <f>IF(LEN(R2+$F$16)&gt;1,LEFT(R2+$F$16,1)+RIGHT(R2+$F$16,1),R2+$F$16)</f>
        <v>5</v>
      </c>
      <c r="T2" s="256"/>
      <c r="U2" s="254">
        <v>2</v>
      </c>
      <c r="V2" s="255">
        <f>IF(LEN(U2+$F$16)&gt;1,LEFT(U2+$F$16,1)+RIGHT(U2+$F$16,1),U2+$F$16)</f>
        <v>6</v>
      </c>
      <c r="W2" s="257"/>
      <c r="X2" s="254">
        <v>3</v>
      </c>
      <c r="Y2" s="255">
        <f>IF(LEN(X2+$F$16)&gt;1,LEFT(X2+$F$16,1)+RIGHT(X2+$F$16,1),X2+$F$16)</f>
        <v>7</v>
      </c>
      <c r="Z2" s="256"/>
      <c r="AA2" s="254">
        <v>4</v>
      </c>
      <c r="AB2" s="255">
        <f>IF(LEN(AA2+$F$16)&gt;1,LEFT(AA2+$F$16,1)+RIGHT(AA2+$F$16,1),AA2+$F$16)</f>
        <v>8</v>
      </c>
      <c r="AC2" s="257"/>
      <c r="AD2" s="254">
        <v>5</v>
      </c>
      <c r="AE2" s="255">
        <f>IF(LEN(AD2+$F$16)&gt;1,LEFT(AD2+$F$16,1)+RIGHT(AD2+$F$16,1),AD2+$F$16)</f>
        <v>9</v>
      </c>
      <c r="AF2" s="256"/>
      <c r="AG2" s="254">
        <v>6</v>
      </c>
      <c r="AH2" s="255">
        <f>IF(LEN(AG2+$F$16)&gt;1,LEFT(AG2+$F$16,1)+RIGHT(AG2+$F$16,1),AG2+$F$16)</f>
        <v>1</v>
      </c>
      <c r="AI2" s="257"/>
      <c r="AJ2" s="254">
        <v>7</v>
      </c>
      <c r="AK2" s="255">
        <f>IF(LEN(AJ2+$F$16)&gt;1,LEFT(AJ2+$F$16,1)+RIGHT(AJ2+$F$16,1),AJ2+$F$16)</f>
        <v>2</v>
      </c>
      <c r="AL2" s="257"/>
      <c r="AM2" s="254">
        <v>8</v>
      </c>
      <c r="AN2" s="255">
        <f>IF(LEN(AM2+$F$16)&gt;1,LEFT(AM2+$F$16,1)+RIGHT(AM2+$F$16,1),AM2+$F$16)</f>
        <v>3</v>
      </c>
      <c r="AO2" s="256"/>
      <c r="AP2" s="254">
        <v>9</v>
      </c>
      <c r="AQ2" s="255">
        <f>IF(LEN(AP2+$F$16)&gt;1,LEFT(AP2+$F$16,1)+RIGHT(AP2+$F$16,1),AP2+$F$16)</f>
        <v>4</v>
      </c>
      <c r="AR2" s="257"/>
      <c r="AS2" s="254">
        <v>1</v>
      </c>
      <c r="AT2" s="255">
        <f>IF(LEN(AS2+$F$16)&gt;1,LEFT(AS2+$F$16,1)+RIGHT(AS2+$F$16,1),AS2+$F$16)</f>
        <v>5</v>
      </c>
      <c r="AU2" s="257"/>
      <c r="AV2" s="254">
        <v>2</v>
      </c>
      <c r="AW2" s="255">
        <f>IF(LEN(AV2+$F$16)&gt;1,LEFT(AV2+$F$16,1)+RIGHT(AV2+$F$16,1),AV2+$F$16)</f>
        <v>6</v>
      </c>
      <c r="AX2" s="257"/>
      <c r="AY2" s="254">
        <v>3</v>
      </c>
      <c r="AZ2" s="255">
        <f>IF(LEN(AY2+$F$16)&gt;1,LEFT(AY2+$F$16,1)+RIGHT(AY2+$F$16,1),AY2+$F$16)</f>
        <v>7</v>
      </c>
      <c r="CA2" s="446">
        <v>43831</v>
      </c>
      <c r="CB2" s="205" t="str">
        <f>TEXT(CA2,"DD-MMM")</f>
        <v>01-Jan</v>
      </c>
      <c r="CC2" s="205" t="s">
        <v>113</v>
      </c>
      <c r="CD2" s="447" t="s">
        <v>130</v>
      </c>
      <c r="CE2" s="447" t="str">
        <f t="shared" si="0"/>
        <v>Capricorn - Earth</v>
      </c>
    </row>
    <row r="3" spans="1:83" ht="29.5" thickBot="1">
      <c r="A3" s="21"/>
      <c r="B3" s="51" t="s">
        <v>108</v>
      </c>
      <c r="C3" s="444">
        <v>24163</v>
      </c>
      <c r="D3" s="148" t="str">
        <f>MID(B5,1,1)</f>
        <v>2</v>
      </c>
      <c r="E3" s="148" t="str">
        <f>MID(B5,2,1)</f>
        <v>5</v>
      </c>
      <c r="F3" s="233"/>
      <c r="G3" s="148" t="str">
        <f>MID(B5,4,1)</f>
        <v>0</v>
      </c>
      <c r="H3" s="148" t="str">
        <f>MID(B5,5,1)</f>
        <v>2</v>
      </c>
      <c r="I3" s="233"/>
      <c r="J3" s="148" t="str">
        <f>MID(B5,7,1)</f>
        <v>1</v>
      </c>
      <c r="K3" s="52" t="str">
        <f>MID(B5,8,1)</f>
        <v>9</v>
      </c>
      <c r="L3" s="52" t="str">
        <f>MID(B5,9,1)</f>
        <v>6</v>
      </c>
      <c r="M3" s="52" t="str">
        <f>MID(B5,10,1)</f>
        <v>6</v>
      </c>
      <c r="N3" s="73"/>
      <c r="O3" s="21"/>
      <c r="Q3" s="258" t="s">
        <v>169</v>
      </c>
      <c r="R3" s="259">
        <v>1</v>
      </c>
      <c r="S3" s="260">
        <f t="shared" ref="S3:S33" si="1">MOD((IF(LEN(R3+$S$2)&gt;1,LEFT(R3+$S$2,1)+RIGHT(R3+$S$2,1),R3+$S$2))-1,9)+1</f>
        <v>6</v>
      </c>
      <c r="T3" s="261"/>
      <c r="U3" s="259">
        <v>1</v>
      </c>
      <c r="V3" s="264">
        <f t="shared" ref="V3:V31" si="2">MOD((IF(LEN(U3+$V$2)&gt;1,LEFT(U3+$V$2,1)+RIGHT(U3+$V$2,1),U3+$V$2))-1,9)+1</f>
        <v>7</v>
      </c>
      <c r="W3" s="261"/>
      <c r="X3" s="259">
        <v>1</v>
      </c>
      <c r="Y3" s="260">
        <f>MOD((IF(LEN(X3+$Y$2)&gt;1,LEFT(X3+$Y$2,1)+RIGHT(X3+$Y$2,1),X3+$Y$2))-1,9)+1</f>
        <v>8</v>
      </c>
      <c r="Z3" s="261"/>
      <c r="AA3" s="259">
        <v>1</v>
      </c>
      <c r="AB3" s="260">
        <f>MOD((IF(LEN(AA3+$AB$2)&gt;1,LEFT(AA3+$AB$2,1)+RIGHT(AA3+$AB$2,1),AA3+$AB$2))-1,9)+1</f>
        <v>9</v>
      </c>
      <c r="AC3" s="261"/>
      <c r="AD3" s="259">
        <v>1</v>
      </c>
      <c r="AE3" s="260">
        <f>MOD((IF(LEN(AD3+$AE$2)&gt;1,LEFT(AD3+$AE$2,1)+RIGHT(AD3+$AE$2,1),AD3+$AE$2))-1,9)+1</f>
        <v>1</v>
      </c>
      <c r="AF3" s="261"/>
      <c r="AG3" s="259">
        <v>1</v>
      </c>
      <c r="AH3" s="260">
        <f>MOD((IF(LEN(AG3+$AH$2)&gt;1,LEFT(AG3+$AH$2,1)+RIGHT(AG3+$AH$2,1),AG3+$AH$2))-1,9)+1</f>
        <v>2</v>
      </c>
      <c r="AI3" s="261"/>
      <c r="AJ3" s="259">
        <v>1</v>
      </c>
      <c r="AK3" s="260">
        <f>MOD((IF(LEN(AJ3+$AK$2)&gt;1,LEFT(AJ3+$AK$2,1)+RIGHT(AJ3+$AK$2,1),AJ3+$AK$2))-1,9)+1</f>
        <v>3</v>
      </c>
      <c r="AL3" s="261"/>
      <c r="AM3" s="259">
        <v>1</v>
      </c>
      <c r="AN3" s="260">
        <f>MOD((IF(LEN(AM3+$AN$2)&gt;1,LEFT(AM3+$AN$2,1)+RIGHT(AM3+$AN$2,1),AM3+$AN$2))-1,9)+1</f>
        <v>4</v>
      </c>
      <c r="AO3" s="261"/>
      <c r="AP3" s="259">
        <v>1</v>
      </c>
      <c r="AQ3" s="260">
        <f>MOD((IF(LEN(AP3+$AQ$2)&gt;1,LEFT(AP3+$AQ$2,1)+RIGHT(AP3+$AQ$2,1),AP3+$AQ$2))-1,9)+1</f>
        <v>5</v>
      </c>
      <c r="AR3" s="261"/>
      <c r="AS3" s="259">
        <v>1</v>
      </c>
      <c r="AT3" s="260">
        <f>MOD((IF(LEN(AS3+$AT$2)&gt;1,LEFT(AS3+$AT$2,1)+RIGHT(AS3+$AT$2,1),AS3+$AT$2))-1,9)+1</f>
        <v>6</v>
      </c>
      <c r="AU3" s="261"/>
      <c r="AV3" s="259">
        <v>1</v>
      </c>
      <c r="AW3" s="260">
        <f>MOD((IF(LEN(AV3+$AW$2)&gt;1,LEFT(AV3+$AW$2,1)+RIGHT(AV3+$AW$2,1),AV3+$AW$2))-1,9)+1</f>
        <v>7</v>
      </c>
      <c r="AX3" s="261"/>
      <c r="AY3" s="259">
        <v>1</v>
      </c>
      <c r="AZ3" s="260">
        <f>MOD((IF(LEN(AY3+$AZ$2)&gt;1,LEFT(AY3+$AZ$2,1)+RIGHT(AY3+$AZ$2,1),AY3+$AZ$2))-1,9)+1</f>
        <v>8</v>
      </c>
      <c r="CA3" s="446">
        <v>43832</v>
      </c>
      <c r="CB3" s="205" t="str">
        <f t="shared" ref="CB3:CB66" si="3">TEXT(CA3,"DD-MMM")</f>
        <v>02-Jan</v>
      </c>
      <c r="CC3" s="205" t="s">
        <v>113</v>
      </c>
      <c r="CD3" s="447" t="s">
        <v>130</v>
      </c>
      <c r="CE3" s="447" t="str">
        <f t="shared" si="0"/>
        <v>Capricorn - Earth</v>
      </c>
    </row>
    <row r="4" spans="1:83" ht="15" thickBot="1">
      <c r="A4" s="21"/>
      <c r="B4" s="262" t="str">
        <f>TEXT(C3,("DD-MMM"))</f>
        <v>25-Feb</v>
      </c>
      <c r="C4" s="21"/>
      <c r="D4" s="21"/>
      <c r="E4" s="21"/>
      <c r="F4" s="21"/>
      <c r="G4" s="21"/>
      <c r="H4" s="21"/>
      <c r="I4" s="21"/>
      <c r="J4" s="55" t="str">
        <f>J3&amp;K3&amp;L3&amp;M3</f>
        <v>1966</v>
      </c>
      <c r="K4" s="55"/>
      <c r="L4" s="55"/>
      <c r="M4" s="206">
        <f ca="1">SUMPRODUCT(1*MID(J4,ROW(INDIRECT("1:"&amp;LEN(J4))),1))</f>
        <v>22</v>
      </c>
      <c r="N4" s="73"/>
      <c r="O4" s="21"/>
      <c r="R4" s="263">
        <v>2</v>
      </c>
      <c r="S4" s="264">
        <f t="shared" si="1"/>
        <v>7</v>
      </c>
      <c r="U4" s="263">
        <v>2</v>
      </c>
      <c r="V4" s="264">
        <f t="shared" si="2"/>
        <v>8</v>
      </c>
      <c r="X4" s="263">
        <v>2</v>
      </c>
      <c r="Y4" s="264">
        <f t="shared" ref="Y4:Y33" si="4">MOD((IF(LEN(X4+$Y$2)&gt;1,LEFT(X4+$Y$2,1)+RIGHT(X4+$Y$2,1),X4+$Y$2))-1,9)+1</f>
        <v>9</v>
      </c>
      <c r="AA4" s="263">
        <v>2</v>
      </c>
      <c r="AB4" s="264">
        <f t="shared" ref="AB4:AB32" si="5">MOD((IF(LEN(AA4+$AB$2)&gt;1,LEFT(AA4+$AB$2,1)+RIGHT(AA4+$AB$2,1),AA4+$AB$2))-1,9)+1</f>
        <v>1</v>
      </c>
      <c r="AD4" s="263">
        <v>2</v>
      </c>
      <c r="AE4" s="264">
        <f t="shared" ref="AE4:AE33" si="6">MOD((IF(LEN(AD4+$AE$2)&gt;1,LEFT(AD4+$AE$2,1)+RIGHT(AD4+$AE$2,1),AD4+$AE$2))-1,9)+1</f>
        <v>2</v>
      </c>
      <c r="AG4" s="263">
        <v>2</v>
      </c>
      <c r="AH4" s="264">
        <f t="shared" ref="AH4:AH32" si="7">MOD((IF(LEN(AG4+$AH$2)&gt;1,LEFT(AG4+$AH$2,1)+RIGHT(AG4+$AH$2,1),AG4+$AH$2))-1,9)+1</f>
        <v>3</v>
      </c>
      <c r="AJ4" s="263">
        <v>2</v>
      </c>
      <c r="AK4" s="264">
        <f t="shared" ref="AK4:AK33" si="8">MOD((IF(LEN(AJ4+$AK$2)&gt;1,LEFT(AJ4+$AK$2,1)+RIGHT(AJ4+$AK$2,1),AJ4+$AK$2))-1,9)+1</f>
        <v>4</v>
      </c>
      <c r="AM4" s="263">
        <v>2</v>
      </c>
      <c r="AN4" s="264">
        <f t="shared" ref="AN4:AN33" si="9">MOD((IF(LEN(AM4+$AN$2)&gt;1,LEFT(AM4+$AN$2,1)+RIGHT(AM4+$AN$2,1),AM4+$AN$2))-1,9)+1</f>
        <v>5</v>
      </c>
      <c r="AP4" s="263">
        <v>2</v>
      </c>
      <c r="AQ4" s="264">
        <f t="shared" ref="AQ4:AQ32" si="10">MOD((IF(LEN(AP4+$AQ$2)&gt;1,LEFT(AP4+$AQ$2,1)+RIGHT(AP4+$AQ$2,1),AP4+$AQ$2))-1,9)+1</f>
        <v>6</v>
      </c>
      <c r="AS4" s="263">
        <v>2</v>
      </c>
      <c r="AT4" s="264">
        <f t="shared" ref="AT4:AT33" si="11">MOD((IF(LEN(AS4+$AT$2)&gt;1,LEFT(AS4+$AT$2,1)+RIGHT(AS4+$AT$2,1),AS4+$AT$2))-1,9)+1</f>
        <v>7</v>
      </c>
      <c r="AV4" s="263">
        <v>2</v>
      </c>
      <c r="AW4" s="264">
        <f t="shared" ref="AW4:AW32" si="12">MOD((IF(LEN(AV4+$AW$2)&gt;1,LEFT(AV4+$AW$2,1)+RIGHT(AV4+$AW$2,1),AV4+$AW$2))-1,9)+1</f>
        <v>8</v>
      </c>
      <c r="AY4" s="263">
        <v>2</v>
      </c>
      <c r="AZ4" s="264">
        <f t="shared" ref="AZ4:AZ33" si="13">MOD((IF(LEN(AY4+$AZ$2)&gt;1,LEFT(AY4+$AZ$2,1)+RIGHT(AY4+$AZ$2,1),AY4+$AZ$2))-1,9)+1</f>
        <v>9</v>
      </c>
      <c r="CA4" s="446">
        <v>43833</v>
      </c>
      <c r="CB4" s="205" t="str">
        <f t="shared" si="3"/>
        <v>03-Jan</v>
      </c>
      <c r="CC4" s="205" t="s">
        <v>113</v>
      </c>
      <c r="CD4" s="447" t="s">
        <v>130</v>
      </c>
      <c r="CE4" s="447" t="str">
        <f t="shared" si="0"/>
        <v>Capricorn - Earth</v>
      </c>
    </row>
    <row r="5" spans="1:83" s="22" customFormat="1" ht="33" customHeight="1" thickBot="1">
      <c r="B5" s="266" t="str">
        <f>TEXT(C3,"DD-MM-YYYY")</f>
        <v>25-02-1966</v>
      </c>
      <c r="C5" s="267" t="s">
        <v>127</v>
      </c>
      <c r="D5" s="724" t="s">
        <v>18</v>
      </c>
      <c r="E5" s="724"/>
      <c r="F5" s="221"/>
      <c r="G5" s="724" t="s">
        <v>54</v>
      </c>
      <c r="H5" s="724"/>
      <c r="I5" s="221"/>
      <c r="J5" s="724" t="s">
        <v>55</v>
      </c>
      <c r="K5" s="724"/>
      <c r="L5" s="724"/>
      <c r="M5" s="724"/>
      <c r="N5" s="268"/>
      <c r="R5" s="263">
        <v>3</v>
      </c>
      <c r="S5" s="264">
        <f t="shared" si="1"/>
        <v>8</v>
      </c>
      <c r="T5" s="265"/>
      <c r="U5" s="263">
        <v>3</v>
      </c>
      <c r="V5" s="264">
        <f t="shared" si="2"/>
        <v>9</v>
      </c>
      <c r="W5" s="265"/>
      <c r="X5" s="263">
        <v>3</v>
      </c>
      <c r="Y5" s="264">
        <f t="shared" si="4"/>
        <v>1</v>
      </c>
      <c r="Z5" s="265"/>
      <c r="AA5" s="263">
        <v>3</v>
      </c>
      <c r="AB5" s="264">
        <f t="shared" si="5"/>
        <v>2</v>
      </c>
      <c r="AC5" s="265"/>
      <c r="AD5" s="263">
        <v>3</v>
      </c>
      <c r="AE5" s="264">
        <f t="shared" si="6"/>
        <v>3</v>
      </c>
      <c r="AF5" s="265"/>
      <c r="AG5" s="263">
        <v>3</v>
      </c>
      <c r="AH5" s="264">
        <f t="shared" si="7"/>
        <v>4</v>
      </c>
      <c r="AI5" s="265"/>
      <c r="AJ5" s="263">
        <v>3</v>
      </c>
      <c r="AK5" s="264">
        <f t="shared" si="8"/>
        <v>5</v>
      </c>
      <c r="AL5" s="265"/>
      <c r="AM5" s="263">
        <v>3</v>
      </c>
      <c r="AN5" s="264">
        <f t="shared" si="9"/>
        <v>6</v>
      </c>
      <c r="AO5" s="265"/>
      <c r="AP5" s="263">
        <v>3</v>
      </c>
      <c r="AQ5" s="264">
        <f t="shared" si="10"/>
        <v>7</v>
      </c>
      <c r="AR5" s="265"/>
      <c r="AS5" s="263">
        <v>3</v>
      </c>
      <c r="AT5" s="264">
        <f t="shared" si="11"/>
        <v>8</v>
      </c>
      <c r="AU5" s="265"/>
      <c r="AV5" s="263">
        <v>3</v>
      </c>
      <c r="AW5" s="264">
        <f t="shared" si="12"/>
        <v>9</v>
      </c>
      <c r="AX5" s="265"/>
      <c r="AY5" s="263">
        <v>3</v>
      </c>
      <c r="AZ5" s="264">
        <f t="shared" si="13"/>
        <v>1</v>
      </c>
      <c r="CA5" s="446">
        <v>43834</v>
      </c>
      <c r="CB5" s="205" t="str">
        <f t="shared" si="3"/>
        <v>04-Jan</v>
      </c>
      <c r="CC5" s="205" t="s">
        <v>113</v>
      </c>
      <c r="CD5" s="447" t="s">
        <v>130</v>
      </c>
      <c r="CE5" s="447" t="str">
        <f t="shared" si="0"/>
        <v>Capricorn - Earth</v>
      </c>
    </row>
    <row r="6" spans="1:83" ht="15" thickBot="1">
      <c r="A6" s="21"/>
      <c r="B6" s="51"/>
      <c r="C6" s="269" t="str">
        <f>VLOOKUP(B4,CB:CE,4,0)</f>
        <v>Pisces - Water</v>
      </c>
      <c r="D6" s="699">
        <f>D3+E3</f>
        <v>7</v>
      </c>
      <c r="E6" s="699"/>
      <c r="F6" s="148"/>
      <c r="G6" s="700">
        <f>G3+H3</f>
        <v>2</v>
      </c>
      <c r="H6" s="700"/>
      <c r="I6" s="148"/>
      <c r="J6" s="700">
        <f ca="1">SUMPRODUCT(1*MID(M4,ROW(INDIRECT("1:"&amp;LEN(M4))),1))</f>
        <v>4</v>
      </c>
      <c r="K6" s="700"/>
      <c r="L6" s="700"/>
      <c r="M6" s="700"/>
      <c r="N6" s="73"/>
      <c r="O6" s="21"/>
      <c r="R6" s="263">
        <v>4</v>
      </c>
      <c r="S6" s="264">
        <f t="shared" si="1"/>
        <v>9</v>
      </c>
      <c r="U6" s="263">
        <v>4</v>
      </c>
      <c r="V6" s="264">
        <f t="shared" si="2"/>
        <v>1</v>
      </c>
      <c r="X6" s="263">
        <v>4</v>
      </c>
      <c r="Y6" s="264">
        <f t="shared" si="4"/>
        <v>2</v>
      </c>
      <c r="AA6" s="263">
        <v>4</v>
      </c>
      <c r="AB6" s="264">
        <f t="shared" si="5"/>
        <v>3</v>
      </c>
      <c r="AD6" s="263">
        <v>4</v>
      </c>
      <c r="AE6" s="264">
        <f t="shared" si="6"/>
        <v>4</v>
      </c>
      <c r="AG6" s="263">
        <v>4</v>
      </c>
      <c r="AH6" s="264">
        <f t="shared" si="7"/>
        <v>5</v>
      </c>
      <c r="AJ6" s="263">
        <v>4</v>
      </c>
      <c r="AK6" s="264">
        <f t="shared" si="8"/>
        <v>6</v>
      </c>
      <c r="AM6" s="263">
        <v>4</v>
      </c>
      <c r="AN6" s="264">
        <f t="shared" si="9"/>
        <v>7</v>
      </c>
      <c r="AP6" s="263">
        <v>4</v>
      </c>
      <c r="AQ6" s="264">
        <f t="shared" si="10"/>
        <v>8</v>
      </c>
      <c r="AS6" s="263">
        <v>4</v>
      </c>
      <c r="AT6" s="264">
        <f t="shared" si="11"/>
        <v>9</v>
      </c>
      <c r="AV6" s="263">
        <v>4</v>
      </c>
      <c r="AW6" s="264">
        <f t="shared" si="12"/>
        <v>1</v>
      </c>
      <c r="AY6" s="263">
        <v>4</v>
      </c>
      <c r="AZ6" s="264">
        <f t="shared" si="13"/>
        <v>2</v>
      </c>
      <c r="CA6" s="446">
        <v>43835</v>
      </c>
      <c r="CB6" s="205" t="str">
        <f t="shared" si="3"/>
        <v>05-Jan</v>
      </c>
      <c r="CC6" s="205" t="s">
        <v>113</v>
      </c>
      <c r="CD6" s="447" t="s">
        <v>130</v>
      </c>
      <c r="CE6" s="447" t="str">
        <f t="shared" si="0"/>
        <v>Capricorn - Earth</v>
      </c>
    </row>
    <row r="7" spans="1:83">
      <c r="A7" s="21"/>
      <c r="B7" s="51"/>
      <c r="C7" s="270" t="s">
        <v>18</v>
      </c>
      <c r="D7" s="57">
        <f>IF(LEN(D6)&gt;1,LEFT(D6,1)+RIGHT(D6,1),D6)</f>
        <v>7</v>
      </c>
      <c r="E7" s="148"/>
      <c r="F7" s="148"/>
      <c r="G7" s="57">
        <f>IF(LEN(G6)&gt;1,LEFT(G6,1)+RIGHT(G6,1),G6)</f>
        <v>2</v>
      </c>
      <c r="H7" s="148"/>
      <c r="I7" s="148"/>
      <c r="J7" s="57">
        <f ca="1">SUMPRODUCT(1*MID(J6,ROW(INDIRECT("1:"&amp;LEN(J6))),1))</f>
        <v>4</v>
      </c>
      <c r="K7" s="148"/>
      <c r="L7" s="148"/>
      <c r="M7" s="148"/>
      <c r="N7" s="73"/>
      <c r="O7" s="21"/>
      <c r="R7" s="263">
        <v>5</v>
      </c>
      <c r="S7" s="264">
        <f t="shared" si="1"/>
        <v>1</v>
      </c>
      <c r="U7" s="263">
        <v>5</v>
      </c>
      <c r="V7" s="264">
        <f t="shared" si="2"/>
        <v>2</v>
      </c>
      <c r="X7" s="263">
        <v>5</v>
      </c>
      <c r="Y7" s="264">
        <f t="shared" si="4"/>
        <v>3</v>
      </c>
      <c r="AA7" s="263">
        <v>5</v>
      </c>
      <c r="AB7" s="264">
        <f t="shared" si="5"/>
        <v>4</v>
      </c>
      <c r="AD7" s="263">
        <v>5</v>
      </c>
      <c r="AE7" s="264">
        <f t="shared" si="6"/>
        <v>5</v>
      </c>
      <c r="AG7" s="263">
        <v>5</v>
      </c>
      <c r="AH7" s="264">
        <f t="shared" si="7"/>
        <v>6</v>
      </c>
      <c r="AJ7" s="263">
        <v>5</v>
      </c>
      <c r="AK7" s="264">
        <f t="shared" si="8"/>
        <v>7</v>
      </c>
      <c r="AM7" s="263">
        <v>5</v>
      </c>
      <c r="AN7" s="264">
        <f t="shared" si="9"/>
        <v>8</v>
      </c>
      <c r="AP7" s="263">
        <v>5</v>
      </c>
      <c r="AQ7" s="264">
        <f t="shared" si="10"/>
        <v>9</v>
      </c>
      <c r="AS7" s="263">
        <v>5</v>
      </c>
      <c r="AT7" s="264">
        <f t="shared" si="11"/>
        <v>1</v>
      </c>
      <c r="AV7" s="263">
        <v>5</v>
      </c>
      <c r="AW7" s="264">
        <f t="shared" si="12"/>
        <v>2</v>
      </c>
      <c r="AY7" s="263">
        <v>5</v>
      </c>
      <c r="AZ7" s="264">
        <f t="shared" si="13"/>
        <v>3</v>
      </c>
      <c r="CA7" s="446">
        <v>43836</v>
      </c>
      <c r="CB7" s="205" t="str">
        <f t="shared" si="3"/>
        <v>06-Jan</v>
      </c>
      <c r="CC7" s="205" t="s">
        <v>113</v>
      </c>
      <c r="CD7" s="447" t="s">
        <v>130</v>
      </c>
      <c r="CE7" s="447" t="str">
        <f t="shared" si="0"/>
        <v>Capricorn - Earth</v>
      </c>
    </row>
    <row r="8" spans="1:83" ht="15" thickBot="1">
      <c r="A8" s="21"/>
      <c r="B8" s="217"/>
      <c r="C8" s="271" t="s">
        <v>25</v>
      </c>
      <c r="D8" s="85">
        <f ca="1">MOD((D7+G7+J7)-1,9)+1</f>
        <v>4</v>
      </c>
      <c r="E8" s="93"/>
      <c r="F8" s="93"/>
      <c r="G8" s="93"/>
      <c r="H8" s="93"/>
      <c r="I8" s="93"/>
      <c r="J8" s="93"/>
      <c r="K8" s="93"/>
      <c r="L8" s="93"/>
      <c r="M8" s="93"/>
      <c r="N8" s="87"/>
      <c r="O8" s="21"/>
      <c r="R8" s="263">
        <v>6</v>
      </c>
      <c r="S8" s="264">
        <f t="shared" si="1"/>
        <v>2</v>
      </c>
      <c r="U8" s="263">
        <v>6</v>
      </c>
      <c r="V8" s="264">
        <f t="shared" si="2"/>
        <v>3</v>
      </c>
      <c r="X8" s="263">
        <v>6</v>
      </c>
      <c r="Y8" s="264">
        <f t="shared" si="4"/>
        <v>4</v>
      </c>
      <c r="AA8" s="263">
        <v>6</v>
      </c>
      <c r="AB8" s="264">
        <f t="shared" si="5"/>
        <v>5</v>
      </c>
      <c r="AD8" s="263">
        <v>6</v>
      </c>
      <c r="AE8" s="264">
        <f t="shared" si="6"/>
        <v>6</v>
      </c>
      <c r="AG8" s="263">
        <v>6</v>
      </c>
      <c r="AH8" s="264">
        <f t="shared" si="7"/>
        <v>7</v>
      </c>
      <c r="AJ8" s="263">
        <v>6</v>
      </c>
      <c r="AK8" s="264">
        <f t="shared" si="8"/>
        <v>8</v>
      </c>
      <c r="AM8" s="263">
        <v>6</v>
      </c>
      <c r="AN8" s="264">
        <f t="shared" si="9"/>
        <v>9</v>
      </c>
      <c r="AP8" s="263">
        <v>6</v>
      </c>
      <c r="AQ8" s="264">
        <f t="shared" si="10"/>
        <v>1</v>
      </c>
      <c r="AS8" s="263">
        <v>6</v>
      </c>
      <c r="AT8" s="264">
        <f t="shared" si="11"/>
        <v>2</v>
      </c>
      <c r="AV8" s="263">
        <v>6</v>
      </c>
      <c r="AW8" s="264">
        <f t="shared" si="12"/>
        <v>3</v>
      </c>
      <c r="AY8" s="263">
        <v>6</v>
      </c>
      <c r="AZ8" s="264">
        <f t="shared" si="13"/>
        <v>4</v>
      </c>
      <c r="CA8" s="446">
        <v>43837</v>
      </c>
      <c r="CB8" s="205" t="str">
        <f t="shared" si="3"/>
        <v>07-Jan</v>
      </c>
      <c r="CC8" s="205" t="s">
        <v>113</v>
      </c>
      <c r="CD8" s="447" t="s">
        <v>130</v>
      </c>
      <c r="CE8" s="447" t="str">
        <f t="shared" si="0"/>
        <v>Capricorn - Earth</v>
      </c>
    </row>
    <row r="9" spans="1:83">
      <c r="A9" s="21"/>
      <c r="B9" s="21"/>
      <c r="R9" s="263">
        <v>7</v>
      </c>
      <c r="S9" s="264">
        <f t="shared" si="1"/>
        <v>3</v>
      </c>
      <c r="U9" s="263">
        <v>7</v>
      </c>
      <c r="V9" s="264">
        <f t="shared" si="2"/>
        <v>4</v>
      </c>
      <c r="X9" s="263">
        <v>7</v>
      </c>
      <c r="Y9" s="264">
        <f t="shared" si="4"/>
        <v>5</v>
      </c>
      <c r="AA9" s="263">
        <v>7</v>
      </c>
      <c r="AB9" s="264">
        <f t="shared" si="5"/>
        <v>6</v>
      </c>
      <c r="AD9" s="263">
        <v>7</v>
      </c>
      <c r="AE9" s="264">
        <f t="shared" si="6"/>
        <v>7</v>
      </c>
      <c r="AG9" s="263">
        <v>7</v>
      </c>
      <c r="AH9" s="264">
        <f t="shared" si="7"/>
        <v>8</v>
      </c>
      <c r="AJ9" s="263">
        <v>7</v>
      </c>
      <c r="AK9" s="264">
        <f t="shared" si="8"/>
        <v>9</v>
      </c>
      <c r="AM9" s="263">
        <v>7</v>
      </c>
      <c r="AN9" s="264">
        <f t="shared" si="9"/>
        <v>1</v>
      </c>
      <c r="AP9" s="263">
        <v>7</v>
      </c>
      <c r="AQ9" s="264">
        <f t="shared" si="10"/>
        <v>2</v>
      </c>
      <c r="AS9" s="263">
        <v>7</v>
      </c>
      <c r="AT9" s="264">
        <f t="shared" si="11"/>
        <v>3</v>
      </c>
      <c r="AV9" s="263">
        <v>7</v>
      </c>
      <c r="AW9" s="264">
        <f t="shared" si="12"/>
        <v>4</v>
      </c>
      <c r="AY9" s="263">
        <v>7</v>
      </c>
      <c r="AZ9" s="264">
        <f t="shared" si="13"/>
        <v>5</v>
      </c>
      <c r="CA9" s="446">
        <v>43838</v>
      </c>
      <c r="CB9" s="205" t="str">
        <f t="shared" si="3"/>
        <v>08-Jan</v>
      </c>
      <c r="CC9" s="205" t="s">
        <v>113</v>
      </c>
      <c r="CD9" s="447" t="s">
        <v>130</v>
      </c>
      <c r="CE9" s="447" t="str">
        <f t="shared" si="0"/>
        <v>Capricorn - Earth</v>
      </c>
    </row>
    <row r="10" spans="1:83" ht="15" thickBot="1">
      <c r="R10" s="263">
        <v>8</v>
      </c>
      <c r="S10" s="264">
        <f t="shared" si="1"/>
        <v>4</v>
      </c>
      <c r="U10" s="263">
        <v>8</v>
      </c>
      <c r="V10" s="264">
        <f t="shared" si="2"/>
        <v>5</v>
      </c>
      <c r="X10" s="263">
        <v>8</v>
      </c>
      <c r="Y10" s="264">
        <f t="shared" si="4"/>
        <v>6</v>
      </c>
      <c r="AA10" s="263">
        <v>8</v>
      </c>
      <c r="AB10" s="264">
        <f t="shared" si="5"/>
        <v>7</v>
      </c>
      <c r="AD10" s="263">
        <v>8</v>
      </c>
      <c r="AE10" s="264">
        <f t="shared" si="6"/>
        <v>8</v>
      </c>
      <c r="AG10" s="263">
        <v>8</v>
      </c>
      <c r="AH10" s="264">
        <f t="shared" si="7"/>
        <v>9</v>
      </c>
      <c r="AJ10" s="263">
        <v>8</v>
      </c>
      <c r="AK10" s="264">
        <f t="shared" si="8"/>
        <v>1</v>
      </c>
      <c r="AM10" s="263">
        <v>8</v>
      </c>
      <c r="AN10" s="264">
        <f t="shared" si="9"/>
        <v>2</v>
      </c>
      <c r="AP10" s="263">
        <v>8</v>
      </c>
      <c r="AQ10" s="264">
        <f t="shared" si="10"/>
        <v>3</v>
      </c>
      <c r="AS10" s="263">
        <v>8</v>
      </c>
      <c r="AT10" s="264">
        <f t="shared" si="11"/>
        <v>4</v>
      </c>
      <c r="AV10" s="263">
        <v>8</v>
      </c>
      <c r="AW10" s="264">
        <f t="shared" si="12"/>
        <v>5</v>
      </c>
      <c r="AY10" s="263">
        <v>8</v>
      </c>
      <c r="AZ10" s="264">
        <f t="shared" si="13"/>
        <v>6</v>
      </c>
      <c r="CA10" s="446">
        <v>43839</v>
      </c>
      <c r="CB10" s="205" t="str">
        <f t="shared" si="3"/>
        <v>09-Jan</v>
      </c>
      <c r="CC10" s="205" t="s">
        <v>113</v>
      </c>
      <c r="CD10" s="447" t="s">
        <v>130</v>
      </c>
      <c r="CE10" s="447" t="str">
        <f t="shared" si="0"/>
        <v>Capricorn - Earth</v>
      </c>
    </row>
    <row r="11" spans="1:83">
      <c r="A11" s="272" t="s">
        <v>125</v>
      </c>
      <c r="B11" s="70"/>
      <c r="C11" s="147"/>
      <c r="D11" s="147" t="s">
        <v>29</v>
      </c>
      <c r="E11" s="147" t="s">
        <v>29</v>
      </c>
      <c r="F11" s="147"/>
      <c r="G11" s="147" t="s">
        <v>47</v>
      </c>
      <c r="H11" s="147" t="s">
        <v>47</v>
      </c>
      <c r="I11" s="147"/>
      <c r="J11" s="147" t="s">
        <v>48</v>
      </c>
      <c r="K11" s="71" t="s">
        <v>48</v>
      </c>
      <c r="L11" s="71" t="s">
        <v>48</v>
      </c>
      <c r="M11" s="71" t="s">
        <v>48</v>
      </c>
      <c r="N11" s="11"/>
      <c r="O11" s="72"/>
      <c r="R11" s="263">
        <v>9</v>
      </c>
      <c r="S11" s="264">
        <f t="shared" si="1"/>
        <v>5</v>
      </c>
      <c r="U11" s="263">
        <v>9</v>
      </c>
      <c r="V11" s="264">
        <f t="shared" si="2"/>
        <v>6</v>
      </c>
      <c r="X11" s="263">
        <v>9</v>
      </c>
      <c r="Y11" s="264">
        <f t="shared" si="4"/>
        <v>7</v>
      </c>
      <c r="AA11" s="263">
        <v>9</v>
      </c>
      <c r="AB11" s="264">
        <f t="shared" si="5"/>
        <v>8</v>
      </c>
      <c r="AD11" s="263">
        <v>9</v>
      </c>
      <c r="AE11" s="264">
        <f t="shared" si="6"/>
        <v>9</v>
      </c>
      <c r="AG11" s="263">
        <v>9</v>
      </c>
      <c r="AH11" s="264">
        <f t="shared" si="7"/>
        <v>1</v>
      </c>
      <c r="AJ11" s="263">
        <v>9</v>
      </c>
      <c r="AK11" s="264">
        <f t="shared" si="8"/>
        <v>2</v>
      </c>
      <c r="AM11" s="263">
        <v>9</v>
      </c>
      <c r="AN11" s="264">
        <f t="shared" si="9"/>
        <v>3</v>
      </c>
      <c r="AP11" s="263">
        <v>9</v>
      </c>
      <c r="AQ11" s="264">
        <f t="shared" si="10"/>
        <v>4</v>
      </c>
      <c r="AS11" s="263">
        <v>9</v>
      </c>
      <c r="AT11" s="264">
        <f t="shared" si="11"/>
        <v>5</v>
      </c>
      <c r="AV11" s="263">
        <v>9</v>
      </c>
      <c r="AW11" s="264">
        <f t="shared" si="12"/>
        <v>6</v>
      </c>
      <c r="AY11" s="263">
        <v>9</v>
      </c>
      <c r="AZ11" s="264">
        <f t="shared" si="13"/>
        <v>7</v>
      </c>
      <c r="CA11" s="446">
        <v>43840</v>
      </c>
      <c r="CB11" s="205" t="str">
        <f t="shared" si="3"/>
        <v>10-Jan</v>
      </c>
      <c r="CC11" s="205" t="s">
        <v>113</v>
      </c>
      <c r="CD11" s="447" t="s">
        <v>130</v>
      </c>
      <c r="CE11" s="447" t="str">
        <f t="shared" si="0"/>
        <v>Capricorn - Earth</v>
      </c>
    </row>
    <row r="12" spans="1:83">
      <c r="A12" s="273">
        <v>43831</v>
      </c>
      <c r="B12" s="52"/>
      <c r="C12" s="148"/>
      <c r="D12" s="148" t="str">
        <f>MID(A13,1,1)</f>
        <v>0</v>
      </c>
      <c r="E12" s="148" t="str">
        <f>MID(A13,2,1)</f>
        <v>1</v>
      </c>
      <c r="F12" s="148"/>
      <c r="G12" s="148" t="str">
        <f>MID(A13,4,1)</f>
        <v>0</v>
      </c>
      <c r="H12" s="148" t="str">
        <f>MID(A13,5,1)</f>
        <v>1</v>
      </c>
      <c r="I12" s="148"/>
      <c r="J12" s="148" t="str">
        <f>MID(A13,7,1)</f>
        <v>2</v>
      </c>
      <c r="K12" s="52" t="str">
        <f>MID(A13,8,1)</f>
        <v>0</v>
      </c>
      <c r="L12" s="52" t="str">
        <f>MID(A13,9,1)</f>
        <v>2</v>
      </c>
      <c r="M12" s="52" t="str">
        <f>MID(A13,10,1)</f>
        <v>0</v>
      </c>
      <c r="N12" s="21"/>
      <c r="O12" s="73"/>
      <c r="R12" s="263">
        <v>10</v>
      </c>
      <c r="S12" s="264">
        <f t="shared" si="1"/>
        <v>6</v>
      </c>
      <c r="U12" s="263">
        <v>10</v>
      </c>
      <c r="V12" s="264">
        <f t="shared" si="2"/>
        <v>7</v>
      </c>
      <c r="X12" s="263">
        <v>10</v>
      </c>
      <c r="Y12" s="264">
        <f t="shared" si="4"/>
        <v>8</v>
      </c>
      <c r="AA12" s="263">
        <v>10</v>
      </c>
      <c r="AB12" s="264">
        <f t="shared" si="5"/>
        <v>9</v>
      </c>
      <c r="AD12" s="263">
        <v>10</v>
      </c>
      <c r="AE12" s="264">
        <f t="shared" si="6"/>
        <v>1</v>
      </c>
      <c r="AG12" s="263">
        <v>10</v>
      </c>
      <c r="AH12" s="264">
        <f t="shared" si="7"/>
        <v>2</v>
      </c>
      <c r="AJ12" s="263">
        <v>10</v>
      </c>
      <c r="AK12" s="264">
        <f t="shared" si="8"/>
        <v>3</v>
      </c>
      <c r="AM12" s="263">
        <v>10</v>
      </c>
      <c r="AN12" s="264">
        <f t="shared" si="9"/>
        <v>4</v>
      </c>
      <c r="AP12" s="263">
        <v>10</v>
      </c>
      <c r="AQ12" s="264">
        <f t="shared" si="10"/>
        <v>5</v>
      </c>
      <c r="AS12" s="263">
        <v>10</v>
      </c>
      <c r="AT12" s="264">
        <f t="shared" si="11"/>
        <v>6</v>
      </c>
      <c r="AV12" s="263">
        <v>10</v>
      </c>
      <c r="AW12" s="264">
        <f t="shared" si="12"/>
        <v>7</v>
      </c>
      <c r="AY12" s="263">
        <v>10</v>
      </c>
      <c r="AZ12" s="264">
        <f t="shared" si="13"/>
        <v>8</v>
      </c>
      <c r="CA12" s="446">
        <v>43841</v>
      </c>
      <c r="CB12" s="205" t="str">
        <f t="shared" si="3"/>
        <v>11-Jan</v>
      </c>
      <c r="CC12" s="205" t="s">
        <v>113</v>
      </c>
      <c r="CD12" s="447" t="s">
        <v>130</v>
      </c>
      <c r="CE12" s="447" t="str">
        <f t="shared" si="0"/>
        <v>Capricorn - Earth</v>
      </c>
    </row>
    <row r="13" spans="1:83">
      <c r="A13" s="274" t="str">
        <f>TEXT(A12,"DD-MM-YYYY")</f>
        <v>01-01-2020</v>
      </c>
      <c r="B13" s="52"/>
      <c r="C13" s="148"/>
      <c r="D13" s="232">
        <f>D12+E12</f>
        <v>1</v>
      </c>
      <c r="E13" s="232"/>
      <c r="F13" s="233"/>
      <c r="G13" s="232">
        <f>G12+H12</f>
        <v>1</v>
      </c>
      <c r="H13" s="232"/>
      <c r="I13" s="233"/>
      <c r="J13" s="233">
        <f>J12+K12+L12+M12</f>
        <v>4</v>
      </c>
      <c r="K13" s="233"/>
      <c r="L13" s="233"/>
      <c r="M13" s="233"/>
      <c r="N13" s="21"/>
      <c r="O13" s="73"/>
      <c r="R13" s="263">
        <v>11</v>
      </c>
      <c r="S13" s="264">
        <f t="shared" si="1"/>
        <v>7</v>
      </c>
      <c r="U13" s="263">
        <v>11</v>
      </c>
      <c r="V13" s="264">
        <f t="shared" si="2"/>
        <v>8</v>
      </c>
      <c r="X13" s="263">
        <v>11</v>
      </c>
      <c r="Y13" s="264">
        <f t="shared" si="4"/>
        <v>9</v>
      </c>
      <c r="AA13" s="263">
        <v>11</v>
      </c>
      <c r="AB13" s="264">
        <f t="shared" si="5"/>
        <v>1</v>
      </c>
      <c r="AD13" s="263">
        <v>11</v>
      </c>
      <c r="AE13" s="264">
        <f t="shared" si="6"/>
        <v>2</v>
      </c>
      <c r="AG13" s="263">
        <v>11</v>
      </c>
      <c r="AH13" s="264">
        <f t="shared" si="7"/>
        <v>3</v>
      </c>
      <c r="AJ13" s="263">
        <v>11</v>
      </c>
      <c r="AK13" s="264">
        <f t="shared" si="8"/>
        <v>4</v>
      </c>
      <c r="AM13" s="263">
        <v>11</v>
      </c>
      <c r="AN13" s="264">
        <f t="shared" si="9"/>
        <v>5</v>
      </c>
      <c r="AP13" s="263">
        <v>11</v>
      </c>
      <c r="AQ13" s="264">
        <f t="shared" si="10"/>
        <v>6</v>
      </c>
      <c r="AS13" s="263">
        <v>11</v>
      </c>
      <c r="AT13" s="264">
        <f t="shared" si="11"/>
        <v>7</v>
      </c>
      <c r="AV13" s="263">
        <v>11</v>
      </c>
      <c r="AW13" s="264">
        <f t="shared" si="12"/>
        <v>8</v>
      </c>
      <c r="AY13" s="263">
        <v>11</v>
      </c>
      <c r="AZ13" s="264">
        <f t="shared" si="13"/>
        <v>9</v>
      </c>
      <c r="CA13" s="446">
        <v>43842</v>
      </c>
      <c r="CB13" s="205" t="str">
        <f t="shared" si="3"/>
        <v>12-Jan</v>
      </c>
      <c r="CC13" s="205" t="s">
        <v>113</v>
      </c>
      <c r="CD13" s="447" t="s">
        <v>130</v>
      </c>
      <c r="CE13" s="447" t="str">
        <f t="shared" si="0"/>
        <v>Capricorn - Earth</v>
      </c>
    </row>
    <row r="14" spans="1:83">
      <c r="A14" s="51"/>
      <c r="B14" s="52"/>
      <c r="C14" s="148"/>
      <c r="D14" s="232">
        <f>IF(LEN(D13)&gt;1,LEFT(D13,1)+RIGHT(D13,1),D13)</f>
        <v>1</v>
      </c>
      <c r="E14" s="233"/>
      <c r="F14" s="233"/>
      <c r="G14" s="232">
        <f>IF(LEN(G13)&gt;1,LEFT(G13,1)+RIGHT(G13,1),G13)</f>
        <v>1</v>
      </c>
      <c r="H14" s="233"/>
      <c r="I14" s="233"/>
      <c r="J14" s="232">
        <f>IF(LEN(J13)&gt;1,LEFT(J13,1)+RIGHT(J13,1),J13)</f>
        <v>4</v>
      </c>
      <c r="K14" s="74"/>
      <c r="L14" s="74"/>
      <c r="M14" s="74"/>
      <c r="N14" s="21"/>
      <c r="O14" s="73"/>
      <c r="R14" s="263">
        <v>12</v>
      </c>
      <c r="S14" s="264">
        <f t="shared" si="1"/>
        <v>8</v>
      </c>
      <c r="U14" s="263">
        <v>12</v>
      </c>
      <c r="V14" s="264">
        <f t="shared" si="2"/>
        <v>9</v>
      </c>
      <c r="X14" s="263">
        <v>12</v>
      </c>
      <c r="Y14" s="264">
        <f t="shared" si="4"/>
        <v>1</v>
      </c>
      <c r="AA14" s="263">
        <v>12</v>
      </c>
      <c r="AB14" s="264">
        <f t="shared" si="5"/>
        <v>2</v>
      </c>
      <c r="AD14" s="263">
        <v>12</v>
      </c>
      <c r="AE14" s="264">
        <f t="shared" si="6"/>
        <v>3</v>
      </c>
      <c r="AG14" s="263">
        <v>12</v>
      </c>
      <c r="AH14" s="264">
        <f t="shared" si="7"/>
        <v>4</v>
      </c>
      <c r="AJ14" s="263">
        <v>12</v>
      </c>
      <c r="AK14" s="264">
        <f t="shared" si="8"/>
        <v>5</v>
      </c>
      <c r="AM14" s="263">
        <v>12</v>
      </c>
      <c r="AN14" s="264">
        <f t="shared" si="9"/>
        <v>6</v>
      </c>
      <c r="AP14" s="263">
        <v>12</v>
      </c>
      <c r="AQ14" s="264">
        <f t="shared" si="10"/>
        <v>7</v>
      </c>
      <c r="AS14" s="263">
        <v>12</v>
      </c>
      <c r="AT14" s="264">
        <f t="shared" si="11"/>
        <v>8</v>
      </c>
      <c r="AV14" s="263">
        <v>12</v>
      </c>
      <c r="AW14" s="264">
        <f t="shared" si="12"/>
        <v>9</v>
      </c>
      <c r="AY14" s="263">
        <v>12</v>
      </c>
      <c r="AZ14" s="264">
        <f t="shared" si="13"/>
        <v>1</v>
      </c>
      <c r="CA14" s="446">
        <v>43843</v>
      </c>
      <c r="CB14" s="205" t="str">
        <f t="shared" si="3"/>
        <v>13-Jan</v>
      </c>
      <c r="CC14" s="205" t="s">
        <v>113</v>
      </c>
      <c r="CD14" s="447" t="s">
        <v>130</v>
      </c>
      <c r="CE14" s="447" t="str">
        <f t="shared" si="0"/>
        <v>Capricorn - Earth</v>
      </c>
    </row>
    <row r="15" spans="1:83">
      <c r="A15" s="51"/>
      <c r="B15" s="52"/>
      <c r="C15" s="148"/>
      <c r="D15" s="148"/>
      <c r="E15" s="148"/>
      <c r="F15" s="148"/>
      <c r="G15" s="148"/>
      <c r="H15" s="148"/>
      <c r="I15" s="148"/>
      <c r="J15" s="148"/>
      <c r="K15" s="52"/>
      <c r="L15" s="52"/>
      <c r="M15" s="52"/>
      <c r="N15" s="21"/>
      <c r="O15" s="73"/>
      <c r="R15" s="263">
        <v>13</v>
      </c>
      <c r="S15" s="264">
        <f t="shared" si="1"/>
        <v>9</v>
      </c>
      <c r="U15" s="263">
        <v>13</v>
      </c>
      <c r="V15" s="264">
        <f t="shared" si="2"/>
        <v>1</v>
      </c>
      <c r="X15" s="263">
        <v>13</v>
      </c>
      <c r="Y15" s="264">
        <f t="shared" si="4"/>
        <v>2</v>
      </c>
      <c r="AA15" s="263">
        <v>13</v>
      </c>
      <c r="AB15" s="264">
        <f t="shared" si="5"/>
        <v>3</v>
      </c>
      <c r="AD15" s="263">
        <v>13</v>
      </c>
      <c r="AE15" s="264">
        <f t="shared" si="6"/>
        <v>4</v>
      </c>
      <c r="AG15" s="263">
        <v>13</v>
      </c>
      <c r="AH15" s="264">
        <f t="shared" si="7"/>
        <v>5</v>
      </c>
      <c r="AJ15" s="263">
        <v>13</v>
      </c>
      <c r="AK15" s="264">
        <f t="shared" si="8"/>
        <v>6</v>
      </c>
      <c r="AM15" s="263">
        <v>13</v>
      </c>
      <c r="AN15" s="264">
        <f t="shared" si="9"/>
        <v>7</v>
      </c>
      <c r="AP15" s="263">
        <v>13</v>
      </c>
      <c r="AQ15" s="264">
        <f t="shared" si="10"/>
        <v>8</v>
      </c>
      <c r="AS15" s="263">
        <v>13</v>
      </c>
      <c r="AT15" s="264">
        <f t="shared" si="11"/>
        <v>9</v>
      </c>
      <c r="AV15" s="263">
        <v>13</v>
      </c>
      <c r="AW15" s="264">
        <f t="shared" si="12"/>
        <v>1</v>
      </c>
      <c r="AY15" s="263">
        <v>13</v>
      </c>
      <c r="AZ15" s="264">
        <f t="shared" si="13"/>
        <v>2</v>
      </c>
      <c r="CA15" s="446">
        <v>43844</v>
      </c>
      <c r="CB15" s="205" t="str">
        <f t="shared" si="3"/>
        <v>14-Jan</v>
      </c>
      <c r="CC15" s="205" t="s">
        <v>113</v>
      </c>
      <c r="CD15" s="447" t="s">
        <v>130</v>
      </c>
      <c r="CE15" s="447" t="str">
        <f t="shared" si="0"/>
        <v>Capricorn - Earth</v>
      </c>
    </row>
    <row r="16" spans="1:83">
      <c r="A16" s="75" t="s">
        <v>69</v>
      </c>
      <c r="B16" s="275" t="s">
        <v>170</v>
      </c>
      <c r="C16" s="21"/>
      <c r="D16" s="148">
        <f>D7+G7+J14</f>
        <v>13</v>
      </c>
      <c r="E16" s="148"/>
      <c r="F16" s="549">
        <f>MOD(D16-1,9)+1</f>
        <v>4</v>
      </c>
      <c r="G16" s="148"/>
      <c r="H16" s="148"/>
      <c r="I16" s="148"/>
      <c r="J16" s="148"/>
      <c r="K16" s="52"/>
      <c r="L16" s="52"/>
      <c r="M16" s="52"/>
      <c r="N16" s="21"/>
      <c r="O16" s="73"/>
      <c r="R16" s="263">
        <v>14</v>
      </c>
      <c r="S16" s="264">
        <f t="shared" si="1"/>
        <v>1</v>
      </c>
      <c r="U16" s="263">
        <v>14</v>
      </c>
      <c r="V16" s="264">
        <f t="shared" si="2"/>
        <v>2</v>
      </c>
      <c r="X16" s="263">
        <v>14</v>
      </c>
      <c r="Y16" s="264">
        <f t="shared" si="4"/>
        <v>3</v>
      </c>
      <c r="AA16" s="263">
        <v>14</v>
      </c>
      <c r="AB16" s="264">
        <f t="shared" si="5"/>
        <v>4</v>
      </c>
      <c r="AD16" s="263">
        <v>14</v>
      </c>
      <c r="AE16" s="264">
        <f t="shared" si="6"/>
        <v>5</v>
      </c>
      <c r="AG16" s="263">
        <v>14</v>
      </c>
      <c r="AH16" s="264">
        <f t="shared" si="7"/>
        <v>6</v>
      </c>
      <c r="AJ16" s="263">
        <v>14</v>
      </c>
      <c r="AK16" s="264">
        <f t="shared" si="8"/>
        <v>7</v>
      </c>
      <c r="AM16" s="263">
        <v>14</v>
      </c>
      <c r="AN16" s="264">
        <f t="shared" si="9"/>
        <v>8</v>
      </c>
      <c r="AP16" s="263">
        <v>14</v>
      </c>
      <c r="AQ16" s="264">
        <f t="shared" si="10"/>
        <v>9</v>
      </c>
      <c r="AS16" s="263">
        <v>14</v>
      </c>
      <c r="AT16" s="264">
        <f t="shared" si="11"/>
        <v>1</v>
      </c>
      <c r="AV16" s="263">
        <v>14</v>
      </c>
      <c r="AW16" s="264">
        <f t="shared" si="12"/>
        <v>2</v>
      </c>
      <c r="AY16" s="263">
        <v>14</v>
      </c>
      <c r="AZ16" s="264">
        <f t="shared" si="13"/>
        <v>3</v>
      </c>
      <c r="CA16" s="446">
        <v>43845</v>
      </c>
      <c r="CB16" s="205" t="str">
        <f t="shared" si="3"/>
        <v>15-Jan</v>
      </c>
      <c r="CC16" s="205" t="s">
        <v>113</v>
      </c>
      <c r="CD16" s="447" t="s">
        <v>130</v>
      </c>
      <c r="CE16" s="447" t="str">
        <f t="shared" si="0"/>
        <v>Capricorn - Earth</v>
      </c>
    </row>
    <row r="17" spans="1:83">
      <c r="A17" s="75" t="s">
        <v>71</v>
      </c>
      <c r="B17" s="275" t="s">
        <v>168</v>
      </c>
      <c r="C17" s="21"/>
      <c r="D17" s="148">
        <f>F16+G14</f>
        <v>5</v>
      </c>
      <c r="E17" s="148"/>
      <c r="F17" s="167">
        <f t="shared" ref="F17:F18" si="14">MOD(D17-1,9)+1</f>
        <v>5</v>
      </c>
      <c r="G17" s="148"/>
      <c r="H17" s="148"/>
      <c r="I17" s="148"/>
      <c r="J17" s="148"/>
      <c r="K17" s="52"/>
      <c r="L17" s="52"/>
      <c r="M17" s="52"/>
      <c r="N17" s="21"/>
      <c r="O17" s="73"/>
      <c r="R17" s="263">
        <v>15</v>
      </c>
      <c r="S17" s="264">
        <f t="shared" si="1"/>
        <v>2</v>
      </c>
      <c r="U17" s="263">
        <v>15</v>
      </c>
      <c r="V17" s="264">
        <f t="shared" si="2"/>
        <v>3</v>
      </c>
      <c r="X17" s="263">
        <v>15</v>
      </c>
      <c r="Y17" s="264">
        <f t="shared" si="4"/>
        <v>4</v>
      </c>
      <c r="AA17" s="263">
        <v>15</v>
      </c>
      <c r="AB17" s="264">
        <f t="shared" si="5"/>
        <v>5</v>
      </c>
      <c r="AD17" s="263">
        <v>15</v>
      </c>
      <c r="AE17" s="264">
        <f t="shared" si="6"/>
        <v>6</v>
      </c>
      <c r="AG17" s="263">
        <v>15</v>
      </c>
      <c r="AH17" s="264">
        <f t="shared" si="7"/>
        <v>7</v>
      </c>
      <c r="AJ17" s="263">
        <v>15</v>
      </c>
      <c r="AK17" s="264">
        <f t="shared" si="8"/>
        <v>8</v>
      </c>
      <c r="AM17" s="263">
        <v>15</v>
      </c>
      <c r="AN17" s="264">
        <f t="shared" si="9"/>
        <v>9</v>
      </c>
      <c r="AP17" s="263">
        <v>15</v>
      </c>
      <c r="AQ17" s="264">
        <f t="shared" si="10"/>
        <v>1</v>
      </c>
      <c r="AS17" s="263">
        <v>15</v>
      </c>
      <c r="AT17" s="264">
        <f t="shared" si="11"/>
        <v>2</v>
      </c>
      <c r="AV17" s="263">
        <v>15</v>
      </c>
      <c r="AW17" s="264">
        <f t="shared" si="12"/>
        <v>3</v>
      </c>
      <c r="AY17" s="263">
        <v>15</v>
      </c>
      <c r="AZ17" s="264">
        <f t="shared" si="13"/>
        <v>4</v>
      </c>
      <c r="CA17" s="446">
        <v>43846</v>
      </c>
      <c r="CB17" s="205" t="str">
        <f t="shared" si="3"/>
        <v>16-Jan</v>
      </c>
      <c r="CC17" s="205" t="s">
        <v>113</v>
      </c>
      <c r="CD17" s="447" t="s">
        <v>130</v>
      </c>
      <c r="CE17" s="447" t="str">
        <f t="shared" si="0"/>
        <v>Capricorn - Earth</v>
      </c>
    </row>
    <row r="18" spans="1:83">
      <c r="A18" s="75" t="s">
        <v>74</v>
      </c>
      <c r="B18" s="275" t="s">
        <v>169</v>
      </c>
      <c r="C18" s="21"/>
      <c r="D18" s="148">
        <f>D14+F17</f>
        <v>6</v>
      </c>
      <c r="E18" s="148"/>
      <c r="F18" s="167">
        <f t="shared" si="14"/>
        <v>6</v>
      </c>
      <c r="G18" s="148"/>
      <c r="H18" s="148"/>
      <c r="I18" s="148"/>
      <c r="J18" s="148"/>
      <c r="K18" s="52"/>
      <c r="L18" s="52"/>
      <c r="M18" s="52"/>
      <c r="N18" s="21"/>
      <c r="O18" s="73"/>
      <c r="R18" s="263">
        <v>16</v>
      </c>
      <c r="S18" s="264">
        <f t="shared" si="1"/>
        <v>3</v>
      </c>
      <c r="U18" s="263">
        <v>16</v>
      </c>
      <c r="V18" s="264">
        <f t="shared" si="2"/>
        <v>4</v>
      </c>
      <c r="X18" s="263">
        <v>16</v>
      </c>
      <c r="Y18" s="264">
        <f t="shared" si="4"/>
        <v>5</v>
      </c>
      <c r="AA18" s="263">
        <v>16</v>
      </c>
      <c r="AB18" s="264">
        <f t="shared" si="5"/>
        <v>6</v>
      </c>
      <c r="AD18" s="263">
        <v>16</v>
      </c>
      <c r="AE18" s="264">
        <f t="shared" si="6"/>
        <v>7</v>
      </c>
      <c r="AG18" s="263">
        <v>16</v>
      </c>
      <c r="AH18" s="264">
        <f t="shared" si="7"/>
        <v>8</v>
      </c>
      <c r="AJ18" s="263">
        <v>16</v>
      </c>
      <c r="AK18" s="264">
        <f t="shared" si="8"/>
        <v>9</v>
      </c>
      <c r="AM18" s="263">
        <v>16</v>
      </c>
      <c r="AN18" s="264">
        <f t="shared" si="9"/>
        <v>1</v>
      </c>
      <c r="AP18" s="263">
        <v>16</v>
      </c>
      <c r="AQ18" s="264">
        <f t="shared" si="10"/>
        <v>2</v>
      </c>
      <c r="AS18" s="263">
        <v>16</v>
      </c>
      <c r="AT18" s="264">
        <f t="shared" si="11"/>
        <v>3</v>
      </c>
      <c r="AV18" s="263">
        <v>16</v>
      </c>
      <c r="AW18" s="264">
        <f t="shared" si="12"/>
        <v>4</v>
      </c>
      <c r="AY18" s="263">
        <v>16</v>
      </c>
      <c r="AZ18" s="264">
        <f t="shared" si="13"/>
        <v>5</v>
      </c>
      <c r="CA18" s="446">
        <v>43847</v>
      </c>
      <c r="CB18" s="205" t="str">
        <f t="shared" si="3"/>
        <v>17-Jan</v>
      </c>
      <c r="CC18" s="205" t="s">
        <v>113</v>
      </c>
      <c r="CD18" s="447" t="s">
        <v>130</v>
      </c>
      <c r="CE18" s="447" t="str">
        <f t="shared" si="0"/>
        <v>Capricorn - Earth</v>
      </c>
    </row>
    <row r="19" spans="1:83">
      <c r="A19" s="51"/>
      <c r="B19" s="52"/>
      <c r="C19" s="148"/>
      <c r="D19" s="148"/>
      <c r="E19" s="148"/>
      <c r="F19" s="148"/>
      <c r="G19" s="148"/>
      <c r="H19" s="148"/>
      <c r="I19" s="148"/>
      <c r="J19" s="148"/>
      <c r="K19" s="148"/>
      <c r="L19" s="148"/>
      <c r="M19" s="52"/>
      <c r="N19" s="52"/>
      <c r="O19" s="276"/>
      <c r="R19" s="263">
        <v>17</v>
      </c>
      <c r="S19" s="264">
        <f t="shared" si="1"/>
        <v>4</v>
      </c>
      <c r="U19" s="263">
        <v>17</v>
      </c>
      <c r="V19" s="264">
        <f t="shared" si="2"/>
        <v>5</v>
      </c>
      <c r="X19" s="263">
        <v>17</v>
      </c>
      <c r="Y19" s="264">
        <f t="shared" si="4"/>
        <v>6</v>
      </c>
      <c r="AA19" s="263">
        <v>17</v>
      </c>
      <c r="AB19" s="264">
        <f t="shared" si="5"/>
        <v>7</v>
      </c>
      <c r="AD19" s="263">
        <v>17</v>
      </c>
      <c r="AE19" s="264">
        <f t="shared" si="6"/>
        <v>8</v>
      </c>
      <c r="AG19" s="263">
        <v>17</v>
      </c>
      <c r="AH19" s="264">
        <f t="shared" si="7"/>
        <v>9</v>
      </c>
      <c r="AJ19" s="263">
        <v>17</v>
      </c>
      <c r="AK19" s="264">
        <f t="shared" si="8"/>
        <v>1</v>
      </c>
      <c r="AM19" s="263">
        <v>17</v>
      </c>
      <c r="AN19" s="264">
        <f t="shared" si="9"/>
        <v>2</v>
      </c>
      <c r="AP19" s="263">
        <v>17</v>
      </c>
      <c r="AQ19" s="264">
        <f t="shared" si="10"/>
        <v>3</v>
      </c>
      <c r="AS19" s="263">
        <v>17</v>
      </c>
      <c r="AT19" s="264">
        <f t="shared" si="11"/>
        <v>4</v>
      </c>
      <c r="AV19" s="263">
        <v>17</v>
      </c>
      <c r="AW19" s="264">
        <f t="shared" si="12"/>
        <v>5</v>
      </c>
      <c r="AY19" s="263">
        <v>17</v>
      </c>
      <c r="AZ19" s="264">
        <f t="shared" si="13"/>
        <v>6</v>
      </c>
      <c r="CA19" s="446">
        <v>43848</v>
      </c>
      <c r="CB19" s="205" t="str">
        <f t="shared" si="3"/>
        <v>18-Jan</v>
      </c>
      <c r="CC19" s="205" t="s">
        <v>113</v>
      </c>
      <c r="CD19" s="447" t="s">
        <v>130</v>
      </c>
      <c r="CE19" s="447" t="str">
        <f t="shared" si="0"/>
        <v>Capricorn - Earth</v>
      </c>
    </row>
    <row r="20" spans="1:83" ht="19" thickBot="1">
      <c r="A20" s="217"/>
      <c r="B20" s="218"/>
      <c r="C20" s="277"/>
      <c r="D20" s="93"/>
      <c r="E20" s="93"/>
      <c r="F20" s="93"/>
      <c r="G20" s="93"/>
      <c r="H20" s="93"/>
      <c r="I20" s="93"/>
      <c r="J20" s="93"/>
      <c r="K20" s="93"/>
      <c r="L20" s="93"/>
      <c r="M20" s="218"/>
      <c r="N20" s="218"/>
      <c r="O20" s="278"/>
      <c r="R20" s="263">
        <v>18</v>
      </c>
      <c r="S20" s="264">
        <f t="shared" si="1"/>
        <v>5</v>
      </c>
      <c r="U20" s="263">
        <v>18</v>
      </c>
      <c r="V20" s="264">
        <f t="shared" si="2"/>
        <v>6</v>
      </c>
      <c r="X20" s="263">
        <v>18</v>
      </c>
      <c r="Y20" s="264">
        <f t="shared" si="4"/>
        <v>7</v>
      </c>
      <c r="AA20" s="263">
        <v>18</v>
      </c>
      <c r="AB20" s="264">
        <f t="shared" si="5"/>
        <v>8</v>
      </c>
      <c r="AD20" s="263">
        <v>18</v>
      </c>
      <c r="AE20" s="264">
        <f t="shared" si="6"/>
        <v>9</v>
      </c>
      <c r="AG20" s="263">
        <v>18</v>
      </c>
      <c r="AH20" s="264">
        <f t="shared" si="7"/>
        <v>1</v>
      </c>
      <c r="AJ20" s="263">
        <v>18</v>
      </c>
      <c r="AK20" s="264">
        <f t="shared" si="8"/>
        <v>2</v>
      </c>
      <c r="AM20" s="263">
        <v>18</v>
      </c>
      <c r="AN20" s="264">
        <f t="shared" si="9"/>
        <v>3</v>
      </c>
      <c r="AP20" s="263">
        <v>18</v>
      </c>
      <c r="AQ20" s="264">
        <f t="shared" si="10"/>
        <v>4</v>
      </c>
      <c r="AS20" s="263">
        <v>18</v>
      </c>
      <c r="AT20" s="264">
        <f t="shared" si="11"/>
        <v>5</v>
      </c>
      <c r="AV20" s="263">
        <v>18</v>
      </c>
      <c r="AW20" s="264">
        <f t="shared" si="12"/>
        <v>6</v>
      </c>
      <c r="AY20" s="263">
        <v>18</v>
      </c>
      <c r="AZ20" s="264">
        <f t="shared" si="13"/>
        <v>7</v>
      </c>
      <c r="CA20" s="446">
        <v>43849</v>
      </c>
      <c r="CB20" s="205" t="str">
        <f t="shared" si="3"/>
        <v>19-Jan</v>
      </c>
      <c r="CC20" s="205" t="s">
        <v>113</v>
      </c>
      <c r="CD20" s="447" t="s">
        <v>130</v>
      </c>
      <c r="CE20" s="447" t="str">
        <f t="shared" si="0"/>
        <v>Capricorn - Earth</v>
      </c>
    </row>
    <row r="21" spans="1:83" s="22" customFormat="1">
      <c r="A21" s="279"/>
      <c r="B21" s="280"/>
      <c r="C21" s="40"/>
      <c r="D21" s="40"/>
      <c r="E21" s="40"/>
      <c r="F21" s="40"/>
      <c r="G21" s="40"/>
      <c r="H21" s="40"/>
      <c r="I21" s="40"/>
      <c r="J21" s="40"/>
      <c r="K21" s="280"/>
      <c r="L21" s="280"/>
      <c r="M21" s="280"/>
      <c r="N21" s="281"/>
      <c r="O21" s="281"/>
      <c r="R21" s="263">
        <v>19</v>
      </c>
      <c r="S21" s="264">
        <f t="shared" si="1"/>
        <v>6</v>
      </c>
      <c r="T21" s="265"/>
      <c r="U21" s="263">
        <v>19</v>
      </c>
      <c r="V21" s="264">
        <f t="shared" si="2"/>
        <v>7</v>
      </c>
      <c r="W21" s="265"/>
      <c r="X21" s="263">
        <v>19</v>
      </c>
      <c r="Y21" s="264">
        <f t="shared" si="4"/>
        <v>8</v>
      </c>
      <c r="Z21" s="265"/>
      <c r="AA21" s="263">
        <v>19</v>
      </c>
      <c r="AB21" s="264">
        <f t="shared" si="5"/>
        <v>9</v>
      </c>
      <c r="AC21" s="265"/>
      <c r="AD21" s="263">
        <v>19</v>
      </c>
      <c r="AE21" s="264">
        <f t="shared" si="6"/>
        <v>1</v>
      </c>
      <c r="AF21" s="265"/>
      <c r="AG21" s="263">
        <v>19</v>
      </c>
      <c r="AH21" s="264">
        <f t="shared" si="7"/>
        <v>2</v>
      </c>
      <c r="AI21" s="265"/>
      <c r="AJ21" s="263">
        <v>19</v>
      </c>
      <c r="AK21" s="264">
        <f t="shared" si="8"/>
        <v>3</v>
      </c>
      <c r="AL21" s="265"/>
      <c r="AM21" s="263">
        <v>19</v>
      </c>
      <c r="AN21" s="264">
        <f t="shared" si="9"/>
        <v>4</v>
      </c>
      <c r="AO21" s="265"/>
      <c r="AP21" s="263">
        <v>19</v>
      </c>
      <c r="AQ21" s="264">
        <f t="shared" si="10"/>
        <v>5</v>
      </c>
      <c r="AR21" s="265"/>
      <c r="AS21" s="263">
        <v>19</v>
      </c>
      <c r="AT21" s="264">
        <f t="shared" si="11"/>
        <v>6</v>
      </c>
      <c r="AU21" s="265"/>
      <c r="AV21" s="263">
        <v>19</v>
      </c>
      <c r="AW21" s="264">
        <f t="shared" si="12"/>
        <v>7</v>
      </c>
      <c r="AX21" s="265"/>
      <c r="AY21" s="263">
        <v>19</v>
      </c>
      <c r="AZ21" s="264">
        <f t="shared" si="13"/>
        <v>8</v>
      </c>
      <c r="CA21" s="446">
        <v>43850</v>
      </c>
      <c r="CB21" s="205" t="str">
        <f t="shared" si="3"/>
        <v>20-Jan</v>
      </c>
      <c r="CC21" s="205" t="s">
        <v>114</v>
      </c>
      <c r="CD21" s="447" t="s">
        <v>132</v>
      </c>
      <c r="CE21" s="447" t="str">
        <f t="shared" si="0"/>
        <v>Aquarius - Air</v>
      </c>
    </row>
    <row r="22" spans="1:83">
      <c r="A22" s="282"/>
      <c r="B22" s="74"/>
      <c r="C22" s="455" t="s">
        <v>170</v>
      </c>
      <c r="D22" s="632"/>
      <c r="E22" s="233"/>
      <c r="F22" s="233"/>
      <c r="G22" s="233"/>
      <c r="H22" s="233"/>
      <c r="I22" s="233"/>
      <c r="J22" s="233"/>
      <c r="K22" s="74"/>
      <c r="L22" s="74"/>
      <c r="M22" s="74"/>
      <c r="N22" s="14"/>
      <c r="O22" s="14"/>
      <c r="R22" s="263">
        <v>20</v>
      </c>
      <c r="S22" s="264">
        <f t="shared" si="1"/>
        <v>7</v>
      </c>
      <c r="U22" s="263">
        <v>20</v>
      </c>
      <c r="V22" s="264">
        <f t="shared" si="2"/>
        <v>8</v>
      </c>
      <c r="X22" s="263">
        <v>20</v>
      </c>
      <c r="Y22" s="264">
        <f t="shared" si="4"/>
        <v>9</v>
      </c>
      <c r="AA22" s="263">
        <v>20</v>
      </c>
      <c r="AB22" s="264">
        <f t="shared" si="5"/>
        <v>1</v>
      </c>
      <c r="AD22" s="263">
        <v>20</v>
      </c>
      <c r="AE22" s="264">
        <f t="shared" si="6"/>
        <v>2</v>
      </c>
      <c r="AG22" s="263">
        <v>20</v>
      </c>
      <c r="AH22" s="264">
        <f t="shared" si="7"/>
        <v>3</v>
      </c>
      <c r="AJ22" s="263">
        <v>20</v>
      </c>
      <c r="AK22" s="264">
        <f t="shared" si="8"/>
        <v>4</v>
      </c>
      <c r="AM22" s="263">
        <v>20</v>
      </c>
      <c r="AN22" s="264">
        <f t="shared" si="9"/>
        <v>5</v>
      </c>
      <c r="AP22" s="263">
        <v>20</v>
      </c>
      <c r="AQ22" s="264">
        <f t="shared" si="10"/>
        <v>6</v>
      </c>
      <c r="AS22" s="263">
        <v>20</v>
      </c>
      <c r="AT22" s="264">
        <f t="shared" si="11"/>
        <v>7</v>
      </c>
      <c r="AV22" s="263">
        <v>20</v>
      </c>
      <c r="AW22" s="264">
        <f t="shared" si="12"/>
        <v>8</v>
      </c>
      <c r="AY22" s="263">
        <v>20</v>
      </c>
      <c r="AZ22" s="264">
        <f t="shared" si="13"/>
        <v>9</v>
      </c>
      <c r="CA22" s="446">
        <v>43851</v>
      </c>
      <c r="CB22" s="205" t="str">
        <f t="shared" si="3"/>
        <v>21-Jan</v>
      </c>
      <c r="CC22" s="205" t="s">
        <v>114</v>
      </c>
      <c r="CD22" s="447" t="s">
        <v>132</v>
      </c>
      <c r="CE22" s="447" t="str">
        <f t="shared" si="0"/>
        <v>Aquarius - Air</v>
      </c>
    </row>
    <row r="23" spans="1:83">
      <c r="A23" s="283"/>
      <c r="B23" s="74"/>
      <c r="C23" s="455" t="s">
        <v>253</v>
      </c>
      <c r="D23" s="633"/>
      <c r="E23" s="232"/>
      <c r="F23" s="233"/>
      <c r="G23" s="232"/>
      <c r="H23" s="232"/>
      <c r="I23" s="233"/>
      <c r="J23" s="233"/>
      <c r="K23" s="233"/>
      <c r="L23" s="233"/>
      <c r="M23" s="233"/>
      <c r="N23" s="14"/>
      <c r="O23" s="14"/>
      <c r="R23" s="263">
        <v>21</v>
      </c>
      <c r="S23" s="264">
        <f t="shared" si="1"/>
        <v>8</v>
      </c>
      <c r="U23" s="263">
        <v>21</v>
      </c>
      <c r="V23" s="264">
        <f t="shared" si="2"/>
        <v>9</v>
      </c>
      <c r="X23" s="263">
        <v>21</v>
      </c>
      <c r="Y23" s="264">
        <f t="shared" si="4"/>
        <v>1</v>
      </c>
      <c r="AA23" s="263">
        <v>21</v>
      </c>
      <c r="AB23" s="264">
        <f t="shared" si="5"/>
        <v>2</v>
      </c>
      <c r="AD23" s="263">
        <v>21</v>
      </c>
      <c r="AE23" s="264">
        <f t="shared" si="6"/>
        <v>3</v>
      </c>
      <c r="AG23" s="263">
        <v>21</v>
      </c>
      <c r="AH23" s="264">
        <f t="shared" si="7"/>
        <v>4</v>
      </c>
      <c r="AJ23" s="263">
        <v>21</v>
      </c>
      <c r="AK23" s="264">
        <f t="shared" si="8"/>
        <v>5</v>
      </c>
      <c r="AM23" s="263">
        <v>21</v>
      </c>
      <c r="AN23" s="264">
        <f t="shared" si="9"/>
        <v>6</v>
      </c>
      <c r="AP23" s="263">
        <v>21</v>
      </c>
      <c r="AQ23" s="264">
        <f t="shared" si="10"/>
        <v>7</v>
      </c>
      <c r="AS23" s="263">
        <v>21</v>
      </c>
      <c r="AT23" s="264">
        <f t="shared" si="11"/>
        <v>8</v>
      </c>
      <c r="AV23" s="263">
        <v>21</v>
      </c>
      <c r="AW23" s="264">
        <f t="shared" si="12"/>
        <v>9</v>
      </c>
      <c r="AY23" s="263">
        <v>21</v>
      </c>
      <c r="AZ23" s="264">
        <f t="shared" si="13"/>
        <v>1</v>
      </c>
      <c r="CA23" s="446">
        <v>43852</v>
      </c>
      <c r="CB23" s="205" t="str">
        <f t="shared" si="3"/>
        <v>22-Jan</v>
      </c>
      <c r="CC23" s="205" t="s">
        <v>114</v>
      </c>
      <c r="CD23" s="447" t="s">
        <v>132</v>
      </c>
      <c r="CE23" s="447" t="str">
        <f t="shared" si="0"/>
        <v>Aquarius - Air</v>
      </c>
    </row>
    <row r="24" spans="1:83">
      <c r="A24" s="283"/>
      <c r="B24" s="74"/>
      <c r="C24" s="233"/>
      <c r="D24" s="232"/>
      <c r="E24" s="233"/>
      <c r="F24" s="233"/>
      <c r="G24" s="232"/>
      <c r="H24" s="233"/>
      <c r="I24" s="233"/>
      <c r="J24" s="232"/>
      <c r="K24" s="74"/>
      <c r="L24" s="74"/>
      <c r="M24" s="74"/>
      <c r="N24" s="14"/>
      <c r="O24" s="14"/>
      <c r="R24" s="263">
        <v>22</v>
      </c>
      <c r="S24" s="264">
        <f t="shared" si="1"/>
        <v>9</v>
      </c>
      <c r="U24" s="263">
        <v>22</v>
      </c>
      <c r="V24" s="264">
        <f t="shared" si="2"/>
        <v>1</v>
      </c>
      <c r="X24" s="263">
        <v>22</v>
      </c>
      <c r="Y24" s="264">
        <f t="shared" si="4"/>
        <v>2</v>
      </c>
      <c r="AA24" s="263">
        <v>22</v>
      </c>
      <c r="AB24" s="264">
        <f t="shared" si="5"/>
        <v>3</v>
      </c>
      <c r="AD24" s="263">
        <v>22</v>
      </c>
      <c r="AE24" s="264">
        <f t="shared" si="6"/>
        <v>4</v>
      </c>
      <c r="AG24" s="263">
        <v>22</v>
      </c>
      <c r="AH24" s="264">
        <f t="shared" si="7"/>
        <v>5</v>
      </c>
      <c r="AJ24" s="263">
        <v>22</v>
      </c>
      <c r="AK24" s="264">
        <f t="shared" si="8"/>
        <v>6</v>
      </c>
      <c r="AM24" s="263">
        <v>22</v>
      </c>
      <c r="AN24" s="264">
        <f t="shared" si="9"/>
        <v>7</v>
      </c>
      <c r="AP24" s="263">
        <v>22</v>
      </c>
      <c r="AQ24" s="264">
        <f t="shared" si="10"/>
        <v>8</v>
      </c>
      <c r="AS24" s="263">
        <v>22</v>
      </c>
      <c r="AT24" s="264">
        <f t="shared" si="11"/>
        <v>9</v>
      </c>
      <c r="AV24" s="263">
        <v>22</v>
      </c>
      <c r="AW24" s="264">
        <f t="shared" si="12"/>
        <v>1</v>
      </c>
      <c r="AY24" s="263">
        <v>22</v>
      </c>
      <c r="AZ24" s="264">
        <f t="shared" si="13"/>
        <v>2</v>
      </c>
      <c r="CA24" s="446">
        <v>43853</v>
      </c>
      <c r="CB24" s="205" t="str">
        <f t="shared" si="3"/>
        <v>23-Jan</v>
      </c>
      <c r="CC24" s="205" t="s">
        <v>114</v>
      </c>
      <c r="CD24" s="447" t="s">
        <v>132</v>
      </c>
      <c r="CE24" s="447" t="str">
        <f t="shared" si="0"/>
        <v>Aquarius - Air</v>
      </c>
    </row>
    <row r="25" spans="1:83">
      <c r="A25" s="21"/>
      <c r="B25" s="634" t="s">
        <v>256</v>
      </c>
      <c r="C25" s="634" t="s">
        <v>257</v>
      </c>
      <c r="D25" s="233"/>
      <c r="E25" s="233"/>
      <c r="F25" s="455"/>
      <c r="G25" s="455"/>
      <c r="H25" s="455"/>
      <c r="I25" s="233"/>
      <c r="J25" s="233"/>
      <c r="K25" s="74"/>
      <c r="L25" s="74"/>
      <c r="M25" s="74"/>
      <c r="N25" s="14"/>
      <c r="O25" s="14"/>
      <c r="R25" s="263">
        <v>23</v>
      </c>
      <c r="S25" s="264">
        <f t="shared" si="1"/>
        <v>1</v>
      </c>
      <c r="U25" s="263">
        <v>23</v>
      </c>
      <c r="V25" s="264">
        <f t="shared" si="2"/>
        <v>2</v>
      </c>
      <c r="X25" s="263">
        <v>23</v>
      </c>
      <c r="Y25" s="264">
        <f t="shared" si="4"/>
        <v>3</v>
      </c>
      <c r="AA25" s="263">
        <v>23</v>
      </c>
      <c r="AB25" s="264">
        <f t="shared" si="5"/>
        <v>4</v>
      </c>
      <c r="AD25" s="263">
        <v>23</v>
      </c>
      <c r="AE25" s="264">
        <f t="shared" si="6"/>
        <v>5</v>
      </c>
      <c r="AG25" s="263">
        <v>23</v>
      </c>
      <c r="AH25" s="264">
        <f t="shared" si="7"/>
        <v>6</v>
      </c>
      <c r="AJ25" s="263">
        <v>23</v>
      </c>
      <c r="AK25" s="264">
        <f t="shared" si="8"/>
        <v>7</v>
      </c>
      <c r="AM25" s="263">
        <v>23</v>
      </c>
      <c r="AN25" s="264">
        <f t="shared" si="9"/>
        <v>8</v>
      </c>
      <c r="AP25" s="263">
        <v>23</v>
      </c>
      <c r="AQ25" s="264">
        <f t="shared" si="10"/>
        <v>9</v>
      </c>
      <c r="AS25" s="263">
        <v>23</v>
      </c>
      <c r="AT25" s="264">
        <f t="shared" si="11"/>
        <v>1</v>
      </c>
      <c r="AV25" s="263">
        <v>23</v>
      </c>
      <c r="AW25" s="264">
        <f t="shared" si="12"/>
        <v>2</v>
      </c>
      <c r="AY25" s="263">
        <v>23</v>
      </c>
      <c r="AZ25" s="264">
        <f t="shared" si="13"/>
        <v>3</v>
      </c>
      <c r="CA25" s="446">
        <v>43854</v>
      </c>
      <c r="CB25" s="205" t="str">
        <f t="shared" si="3"/>
        <v>24-Jan</v>
      </c>
      <c r="CC25" s="205" t="s">
        <v>114</v>
      </c>
      <c r="CD25" s="447" t="s">
        <v>132</v>
      </c>
      <c r="CE25" s="447" t="str">
        <f t="shared" si="0"/>
        <v>Aquarius - Air</v>
      </c>
    </row>
    <row r="26" spans="1:83">
      <c r="A26" s="635">
        <f>MOD(B26-1,9)+1</f>
        <v>8</v>
      </c>
      <c r="B26" s="50">
        <v>2015</v>
      </c>
      <c r="C26" s="50">
        <f>MOD($D$7+$G$7+A26-1,9)+1</f>
        <v>8</v>
      </c>
      <c r="D26" s="233"/>
      <c r="E26" s="233"/>
      <c r="F26" s="455"/>
      <c r="G26" s="455"/>
      <c r="H26" s="455"/>
      <c r="I26" s="233"/>
      <c r="J26" s="233"/>
      <c r="K26" s="74"/>
      <c r="L26" s="74"/>
      <c r="M26" s="74"/>
      <c r="N26" s="14"/>
      <c r="O26" s="14"/>
      <c r="R26" s="263">
        <v>24</v>
      </c>
      <c r="S26" s="264">
        <f t="shared" si="1"/>
        <v>2</v>
      </c>
      <c r="U26" s="263">
        <v>24</v>
      </c>
      <c r="V26" s="264">
        <f t="shared" si="2"/>
        <v>3</v>
      </c>
      <c r="X26" s="263">
        <v>24</v>
      </c>
      <c r="Y26" s="264">
        <f t="shared" si="4"/>
        <v>4</v>
      </c>
      <c r="AA26" s="263">
        <v>24</v>
      </c>
      <c r="AB26" s="264">
        <f t="shared" si="5"/>
        <v>5</v>
      </c>
      <c r="AD26" s="263">
        <v>24</v>
      </c>
      <c r="AE26" s="264">
        <f t="shared" si="6"/>
        <v>6</v>
      </c>
      <c r="AG26" s="263">
        <v>24</v>
      </c>
      <c r="AH26" s="264">
        <f t="shared" si="7"/>
        <v>7</v>
      </c>
      <c r="AJ26" s="263">
        <v>24</v>
      </c>
      <c r="AK26" s="264">
        <f t="shared" si="8"/>
        <v>8</v>
      </c>
      <c r="AM26" s="263">
        <v>24</v>
      </c>
      <c r="AN26" s="264">
        <f t="shared" si="9"/>
        <v>9</v>
      </c>
      <c r="AP26" s="263">
        <v>24</v>
      </c>
      <c r="AQ26" s="264">
        <f t="shared" si="10"/>
        <v>1</v>
      </c>
      <c r="AS26" s="263">
        <v>24</v>
      </c>
      <c r="AT26" s="264">
        <f t="shared" si="11"/>
        <v>2</v>
      </c>
      <c r="AV26" s="263">
        <v>24</v>
      </c>
      <c r="AW26" s="264">
        <f t="shared" si="12"/>
        <v>3</v>
      </c>
      <c r="AY26" s="263">
        <v>24</v>
      </c>
      <c r="AZ26" s="264">
        <f t="shared" si="13"/>
        <v>4</v>
      </c>
      <c r="CA26" s="446">
        <v>43855</v>
      </c>
      <c r="CB26" s="205" t="str">
        <f t="shared" si="3"/>
        <v>25-Jan</v>
      </c>
      <c r="CC26" s="205" t="s">
        <v>114</v>
      </c>
      <c r="CD26" s="447" t="s">
        <v>132</v>
      </c>
      <c r="CE26" s="447" t="str">
        <f t="shared" si="0"/>
        <v>Aquarius - Air</v>
      </c>
    </row>
    <row r="27" spans="1:83">
      <c r="A27" s="635">
        <f t="shared" ref="A27:A40" si="15">MOD(B27-1,9)+1</f>
        <v>9</v>
      </c>
      <c r="B27" s="50">
        <v>2016</v>
      </c>
      <c r="C27" s="50">
        <f t="shared" ref="C27:C40" si="16">MOD($D$7+$G$7+A27-1,9)+1</f>
        <v>9</v>
      </c>
      <c r="D27" s="233"/>
      <c r="E27" s="233"/>
      <c r="F27" s="455"/>
      <c r="G27" s="455"/>
      <c r="H27" s="455"/>
      <c r="I27" s="233"/>
      <c r="J27" s="233"/>
      <c r="K27" s="74"/>
      <c r="L27" s="74"/>
      <c r="M27" s="74"/>
      <c r="N27" s="14"/>
      <c r="O27" s="14"/>
      <c r="R27" s="263">
        <v>25</v>
      </c>
      <c r="S27" s="264">
        <f t="shared" si="1"/>
        <v>3</v>
      </c>
      <c r="U27" s="263">
        <v>25</v>
      </c>
      <c r="V27" s="264">
        <f t="shared" si="2"/>
        <v>4</v>
      </c>
      <c r="X27" s="263">
        <v>25</v>
      </c>
      <c r="Y27" s="264">
        <f t="shared" si="4"/>
        <v>5</v>
      </c>
      <c r="AA27" s="263">
        <v>25</v>
      </c>
      <c r="AB27" s="264">
        <f t="shared" si="5"/>
        <v>6</v>
      </c>
      <c r="AD27" s="263">
        <v>25</v>
      </c>
      <c r="AE27" s="264">
        <f t="shared" si="6"/>
        <v>7</v>
      </c>
      <c r="AG27" s="263">
        <v>25</v>
      </c>
      <c r="AH27" s="264">
        <f t="shared" si="7"/>
        <v>8</v>
      </c>
      <c r="AJ27" s="263">
        <v>25</v>
      </c>
      <c r="AK27" s="264">
        <f t="shared" si="8"/>
        <v>9</v>
      </c>
      <c r="AM27" s="263">
        <v>25</v>
      </c>
      <c r="AN27" s="264">
        <f t="shared" si="9"/>
        <v>1</v>
      </c>
      <c r="AP27" s="263">
        <v>25</v>
      </c>
      <c r="AQ27" s="264">
        <f t="shared" si="10"/>
        <v>2</v>
      </c>
      <c r="AS27" s="263">
        <v>25</v>
      </c>
      <c r="AT27" s="264">
        <f t="shared" si="11"/>
        <v>3</v>
      </c>
      <c r="AV27" s="263">
        <v>25</v>
      </c>
      <c r="AW27" s="264">
        <f t="shared" si="12"/>
        <v>4</v>
      </c>
      <c r="AY27" s="263">
        <v>25</v>
      </c>
      <c r="AZ27" s="264">
        <f t="shared" si="13"/>
        <v>5</v>
      </c>
      <c r="CA27" s="446">
        <v>43856</v>
      </c>
      <c r="CB27" s="205" t="str">
        <f t="shared" si="3"/>
        <v>26-Jan</v>
      </c>
      <c r="CC27" s="205" t="s">
        <v>114</v>
      </c>
      <c r="CD27" s="447" t="s">
        <v>132</v>
      </c>
      <c r="CE27" s="447" t="str">
        <f t="shared" si="0"/>
        <v>Aquarius - Air</v>
      </c>
    </row>
    <row r="28" spans="1:83">
      <c r="A28" s="635">
        <f t="shared" si="15"/>
        <v>1</v>
      </c>
      <c r="B28" s="50">
        <v>2017</v>
      </c>
      <c r="C28" s="50">
        <f t="shared" si="16"/>
        <v>1</v>
      </c>
      <c r="D28" s="233"/>
      <c r="E28" s="233"/>
      <c r="F28" s="455"/>
      <c r="G28" s="455"/>
      <c r="H28" s="455"/>
      <c r="I28" s="233"/>
      <c r="J28" s="233"/>
      <c r="K28" s="74"/>
      <c r="L28" s="74"/>
      <c r="M28" s="74"/>
      <c r="N28" s="14"/>
      <c r="O28" s="14"/>
      <c r="R28" s="263">
        <v>26</v>
      </c>
      <c r="S28" s="264">
        <f t="shared" si="1"/>
        <v>4</v>
      </c>
      <c r="U28" s="263">
        <v>26</v>
      </c>
      <c r="V28" s="264">
        <f t="shared" si="2"/>
        <v>5</v>
      </c>
      <c r="X28" s="263">
        <v>26</v>
      </c>
      <c r="Y28" s="264">
        <f t="shared" si="4"/>
        <v>6</v>
      </c>
      <c r="AA28" s="263">
        <v>26</v>
      </c>
      <c r="AB28" s="264">
        <f t="shared" si="5"/>
        <v>7</v>
      </c>
      <c r="AD28" s="263">
        <v>26</v>
      </c>
      <c r="AE28" s="264">
        <f t="shared" si="6"/>
        <v>8</v>
      </c>
      <c r="AG28" s="263">
        <v>26</v>
      </c>
      <c r="AH28" s="264">
        <f t="shared" si="7"/>
        <v>9</v>
      </c>
      <c r="AJ28" s="263">
        <v>26</v>
      </c>
      <c r="AK28" s="264">
        <f t="shared" si="8"/>
        <v>1</v>
      </c>
      <c r="AM28" s="263">
        <v>26</v>
      </c>
      <c r="AN28" s="264">
        <f t="shared" si="9"/>
        <v>2</v>
      </c>
      <c r="AP28" s="263">
        <v>26</v>
      </c>
      <c r="AQ28" s="264">
        <f t="shared" si="10"/>
        <v>3</v>
      </c>
      <c r="AS28" s="263">
        <v>26</v>
      </c>
      <c r="AT28" s="264">
        <f t="shared" si="11"/>
        <v>4</v>
      </c>
      <c r="AV28" s="263">
        <v>26</v>
      </c>
      <c r="AW28" s="264">
        <f t="shared" si="12"/>
        <v>5</v>
      </c>
      <c r="AY28" s="263">
        <v>26</v>
      </c>
      <c r="AZ28" s="264">
        <f t="shared" si="13"/>
        <v>6</v>
      </c>
      <c r="CA28" s="446">
        <v>43857</v>
      </c>
      <c r="CB28" s="205" t="str">
        <f t="shared" si="3"/>
        <v>27-Jan</v>
      </c>
      <c r="CC28" s="205" t="s">
        <v>114</v>
      </c>
      <c r="CD28" s="447" t="s">
        <v>132</v>
      </c>
      <c r="CE28" s="447" t="str">
        <f t="shared" si="0"/>
        <v>Aquarius - Air</v>
      </c>
    </row>
    <row r="29" spans="1:83">
      <c r="A29" s="635">
        <f t="shared" si="15"/>
        <v>2</v>
      </c>
      <c r="B29" s="50">
        <v>2018</v>
      </c>
      <c r="C29" s="50">
        <f t="shared" si="16"/>
        <v>2</v>
      </c>
      <c r="D29" s="14"/>
      <c r="E29" s="14"/>
      <c r="F29" s="636"/>
      <c r="G29" s="636"/>
      <c r="H29" s="636"/>
      <c r="I29" s="14"/>
      <c r="J29" s="14"/>
      <c r="K29" s="14"/>
      <c r="L29" s="14"/>
      <c r="M29" s="14"/>
      <c r="N29" s="14"/>
      <c r="O29" s="14"/>
      <c r="R29" s="263">
        <v>27</v>
      </c>
      <c r="S29" s="264">
        <f t="shared" si="1"/>
        <v>5</v>
      </c>
      <c r="U29" s="263">
        <v>27</v>
      </c>
      <c r="V29" s="264">
        <f t="shared" si="2"/>
        <v>6</v>
      </c>
      <c r="X29" s="263">
        <v>27</v>
      </c>
      <c r="Y29" s="264">
        <f t="shared" si="4"/>
        <v>7</v>
      </c>
      <c r="AA29" s="263">
        <v>27</v>
      </c>
      <c r="AB29" s="264">
        <f t="shared" si="5"/>
        <v>8</v>
      </c>
      <c r="AD29" s="263">
        <v>27</v>
      </c>
      <c r="AE29" s="264">
        <f t="shared" si="6"/>
        <v>9</v>
      </c>
      <c r="AG29" s="263">
        <v>27</v>
      </c>
      <c r="AH29" s="264">
        <f t="shared" si="7"/>
        <v>1</v>
      </c>
      <c r="AJ29" s="263">
        <v>27</v>
      </c>
      <c r="AK29" s="264">
        <f t="shared" si="8"/>
        <v>2</v>
      </c>
      <c r="AM29" s="263">
        <v>27</v>
      </c>
      <c r="AN29" s="264">
        <f t="shared" si="9"/>
        <v>3</v>
      </c>
      <c r="AP29" s="263">
        <v>27</v>
      </c>
      <c r="AQ29" s="264">
        <f t="shared" si="10"/>
        <v>4</v>
      </c>
      <c r="AS29" s="263">
        <v>27</v>
      </c>
      <c r="AT29" s="264">
        <f t="shared" si="11"/>
        <v>5</v>
      </c>
      <c r="AV29" s="263">
        <v>27</v>
      </c>
      <c r="AW29" s="264">
        <f t="shared" si="12"/>
        <v>6</v>
      </c>
      <c r="AY29" s="263">
        <v>27</v>
      </c>
      <c r="AZ29" s="264">
        <f t="shared" si="13"/>
        <v>7</v>
      </c>
      <c r="CA29" s="446">
        <v>43858</v>
      </c>
      <c r="CB29" s="205" t="str">
        <f t="shared" si="3"/>
        <v>28-Jan</v>
      </c>
      <c r="CC29" s="205" t="s">
        <v>114</v>
      </c>
      <c r="CD29" s="447" t="s">
        <v>132</v>
      </c>
      <c r="CE29" s="447" t="str">
        <f t="shared" si="0"/>
        <v>Aquarius - Air</v>
      </c>
    </row>
    <row r="30" spans="1:83">
      <c r="A30" s="635">
        <f t="shared" si="15"/>
        <v>3</v>
      </c>
      <c r="B30" s="50">
        <v>2019</v>
      </c>
      <c r="C30" s="50">
        <f t="shared" si="16"/>
        <v>3</v>
      </c>
      <c r="F30" s="637"/>
      <c r="G30" s="637"/>
      <c r="H30" s="637"/>
      <c r="R30" s="263">
        <v>28</v>
      </c>
      <c r="S30" s="264">
        <f t="shared" si="1"/>
        <v>6</v>
      </c>
      <c r="U30" s="263">
        <v>28</v>
      </c>
      <c r="V30" s="264">
        <f t="shared" si="2"/>
        <v>7</v>
      </c>
      <c r="X30" s="263">
        <v>28</v>
      </c>
      <c r="Y30" s="264">
        <f t="shared" si="4"/>
        <v>8</v>
      </c>
      <c r="AA30" s="263">
        <v>28</v>
      </c>
      <c r="AB30" s="264">
        <f t="shared" si="5"/>
        <v>9</v>
      </c>
      <c r="AD30" s="263">
        <v>28</v>
      </c>
      <c r="AE30" s="264">
        <f t="shared" si="6"/>
        <v>1</v>
      </c>
      <c r="AG30" s="263">
        <v>28</v>
      </c>
      <c r="AH30" s="264">
        <f t="shared" si="7"/>
        <v>2</v>
      </c>
      <c r="AJ30" s="263">
        <v>28</v>
      </c>
      <c r="AK30" s="264">
        <f t="shared" si="8"/>
        <v>3</v>
      </c>
      <c r="AM30" s="263">
        <v>28</v>
      </c>
      <c r="AN30" s="264">
        <f t="shared" si="9"/>
        <v>4</v>
      </c>
      <c r="AP30" s="263">
        <v>28</v>
      </c>
      <c r="AQ30" s="264">
        <f t="shared" si="10"/>
        <v>5</v>
      </c>
      <c r="AS30" s="263">
        <v>28</v>
      </c>
      <c r="AT30" s="264">
        <f t="shared" si="11"/>
        <v>6</v>
      </c>
      <c r="AV30" s="263">
        <v>28</v>
      </c>
      <c r="AW30" s="264">
        <f t="shared" si="12"/>
        <v>7</v>
      </c>
      <c r="AY30" s="263">
        <v>28</v>
      </c>
      <c r="AZ30" s="264">
        <f t="shared" si="13"/>
        <v>8</v>
      </c>
      <c r="CA30" s="446">
        <v>43859</v>
      </c>
      <c r="CB30" s="205" t="str">
        <f t="shared" si="3"/>
        <v>29-Jan</v>
      </c>
      <c r="CC30" s="205" t="s">
        <v>114</v>
      </c>
      <c r="CD30" s="447" t="s">
        <v>132</v>
      </c>
      <c r="CE30" s="447" t="str">
        <f t="shared" si="0"/>
        <v>Aquarius - Air</v>
      </c>
    </row>
    <row r="31" spans="1:83" ht="15" thickBot="1">
      <c r="A31" s="635">
        <f t="shared" si="15"/>
        <v>4</v>
      </c>
      <c r="B31" s="289">
        <v>2020</v>
      </c>
      <c r="C31" s="50">
        <f t="shared" si="16"/>
        <v>4</v>
      </c>
      <c r="F31" s="637"/>
      <c r="G31" s="637"/>
      <c r="H31" s="637"/>
      <c r="R31" s="263">
        <v>29</v>
      </c>
      <c r="S31" s="264">
        <f t="shared" si="1"/>
        <v>7</v>
      </c>
      <c r="U31" s="285">
        <v>29</v>
      </c>
      <c r="V31" s="264">
        <f t="shared" si="2"/>
        <v>8</v>
      </c>
      <c r="X31" s="263">
        <v>29</v>
      </c>
      <c r="Y31" s="264">
        <f t="shared" si="4"/>
        <v>9</v>
      </c>
      <c r="AA31" s="263">
        <v>29</v>
      </c>
      <c r="AB31" s="264">
        <f t="shared" si="5"/>
        <v>1</v>
      </c>
      <c r="AD31" s="263">
        <v>29</v>
      </c>
      <c r="AE31" s="264">
        <f t="shared" si="6"/>
        <v>2</v>
      </c>
      <c r="AG31" s="263">
        <v>29</v>
      </c>
      <c r="AH31" s="264">
        <f t="shared" si="7"/>
        <v>3</v>
      </c>
      <c r="AJ31" s="263">
        <v>29</v>
      </c>
      <c r="AK31" s="264">
        <f t="shared" si="8"/>
        <v>4</v>
      </c>
      <c r="AM31" s="263">
        <v>29</v>
      </c>
      <c r="AN31" s="264">
        <f t="shared" si="9"/>
        <v>5</v>
      </c>
      <c r="AP31" s="263">
        <v>29</v>
      </c>
      <c r="AQ31" s="264">
        <f t="shared" si="10"/>
        <v>6</v>
      </c>
      <c r="AS31" s="263">
        <v>29</v>
      </c>
      <c r="AT31" s="264">
        <f t="shared" si="11"/>
        <v>7</v>
      </c>
      <c r="AV31" s="263">
        <v>29</v>
      </c>
      <c r="AW31" s="264">
        <f t="shared" si="12"/>
        <v>8</v>
      </c>
      <c r="AY31" s="263">
        <v>29</v>
      </c>
      <c r="AZ31" s="264">
        <f t="shared" si="13"/>
        <v>9</v>
      </c>
      <c r="CA31" s="446">
        <v>43860</v>
      </c>
      <c r="CB31" s="205" t="str">
        <f t="shared" si="3"/>
        <v>30-Jan</v>
      </c>
      <c r="CC31" s="205" t="s">
        <v>114</v>
      </c>
      <c r="CD31" s="447" t="s">
        <v>132</v>
      </c>
      <c r="CE31" s="447" t="str">
        <f t="shared" si="0"/>
        <v>Aquarius - Air</v>
      </c>
    </row>
    <row r="32" spans="1:83" ht="15" thickBot="1">
      <c r="A32" s="635">
        <f t="shared" si="15"/>
        <v>5</v>
      </c>
      <c r="B32" s="289">
        <v>2021</v>
      </c>
      <c r="C32" s="50">
        <f t="shared" si="16"/>
        <v>5</v>
      </c>
      <c r="F32" s="637"/>
      <c r="G32" s="637"/>
      <c r="H32" s="637"/>
      <c r="R32" s="263">
        <v>30</v>
      </c>
      <c r="S32" s="264">
        <f t="shared" si="1"/>
        <v>8</v>
      </c>
      <c r="X32" s="263">
        <v>30</v>
      </c>
      <c r="Y32" s="264">
        <f t="shared" si="4"/>
        <v>1</v>
      </c>
      <c r="AA32" s="285">
        <v>30</v>
      </c>
      <c r="AB32" s="286">
        <f t="shared" si="5"/>
        <v>2</v>
      </c>
      <c r="AD32" s="263">
        <v>30</v>
      </c>
      <c r="AE32" s="264">
        <f t="shared" si="6"/>
        <v>3</v>
      </c>
      <c r="AG32" s="285">
        <v>30</v>
      </c>
      <c r="AH32" s="286">
        <f t="shared" si="7"/>
        <v>4</v>
      </c>
      <c r="AJ32" s="263">
        <v>30</v>
      </c>
      <c r="AK32" s="264">
        <f t="shared" si="8"/>
        <v>5</v>
      </c>
      <c r="AM32" s="263">
        <v>30</v>
      </c>
      <c r="AN32" s="264">
        <f t="shared" si="9"/>
        <v>6</v>
      </c>
      <c r="AP32" s="285">
        <v>30</v>
      </c>
      <c r="AQ32" s="286">
        <f t="shared" si="10"/>
        <v>7</v>
      </c>
      <c r="AS32" s="263">
        <v>30</v>
      </c>
      <c r="AT32" s="264">
        <f t="shared" si="11"/>
        <v>8</v>
      </c>
      <c r="AV32" s="285">
        <v>30</v>
      </c>
      <c r="AW32" s="286">
        <f t="shared" si="12"/>
        <v>9</v>
      </c>
      <c r="AY32" s="263">
        <v>30</v>
      </c>
      <c r="AZ32" s="264">
        <f t="shared" si="13"/>
        <v>1</v>
      </c>
      <c r="CA32" s="446">
        <v>43861</v>
      </c>
      <c r="CB32" s="205" t="str">
        <f t="shared" si="3"/>
        <v>31-Jan</v>
      </c>
      <c r="CC32" s="205" t="s">
        <v>114</v>
      </c>
      <c r="CD32" s="447" t="s">
        <v>132</v>
      </c>
      <c r="CE32" s="447" t="str">
        <f t="shared" si="0"/>
        <v>Aquarius - Air</v>
      </c>
    </row>
    <row r="33" spans="1:83" ht="15" thickBot="1">
      <c r="A33" s="635">
        <f t="shared" si="15"/>
        <v>6</v>
      </c>
      <c r="B33" s="50">
        <v>2022</v>
      </c>
      <c r="C33" s="50">
        <f t="shared" si="16"/>
        <v>6</v>
      </c>
      <c r="F33" s="637"/>
      <c r="G33" s="637"/>
      <c r="H33" s="637"/>
      <c r="R33" s="285">
        <v>31</v>
      </c>
      <c r="S33" s="286">
        <f t="shared" si="1"/>
        <v>9</v>
      </c>
      <c r="X33" s="285">
        <v>31</v>
      </c>
      <c r="Y33" s="286">
        <f t="shared" si="4"/>
        <v>2</v>
      </c>
      <c r="AD33" s="285">
        <v>31</v>
      </c>
      <c r="AE33" s="286">
        <f t="shared" si="6"/>
        <v>4</v>
      </c>
      <c r="AJ33" s="285">
        <v>31</v>
      </c>
      <c r="AK33" s="286">
        <f t="shared" si="8"/>
        <v>6</v>
      </c>
      <c r="AL33" s="288"/>
      <c r="AM33" s="285">
        <v>31</v>
      </c>
      <c r="AN33" s="286">
        <f t="shared" si="9"/>
        <v>7</v>
      </c>
      <c r="AS33" s="285">
        <v>31</v>
      </c>
      <c r="AT33" s="286">
        <f t="shared" si="11"/>
        <v>9</v>
      </c>
      <c r="AY33" s="285">
        <v>31</v>
      </c>
      <c r="AZ33" s="286">
        <f t="shared" si="13"/>
        <v>2</v>
      </c>
      <c r="CA33" s="446">
        <v>43862</v>
      </c>
      <c r="CB33" s="205" t="str">
        <f t="shared" si="3"/>
        <v>01-Feb</v>
      </c>
      <c r="CC33" s="205" t="s">
        <v>114</v>
      </c>
      <c r="CD33" s="447" t="s">
        <v>132</v>
      </c>
      <c r="CE33" s="447" t="str">
        <f t="shared" si="0"/>
        <v>Aquarius - Air</v>
      </c>
    </row>
    <row r="34" spans="1:83">
      <c r="A34" s="635">
        <f t="shared" si="15"/>
        <v>7</v>
      </c>
      <c r="B34" s="50">
        <v>2023</v>
      </c>
      <c r="C34" s="50">
        <f t="shared" si="16"/>
        <v>7</v>
      </c>
      <c r="F34" s="637"/>
      <c r="G34" s="637"/>
      <c r="H34" s="637"/>
      <c r="CA34" s="446">
        <v>43863</v>
      </c>
      <c r="CB34" s="205" t="str">
        <f t="shared" si="3"/>
        <v>02-Feb</v>
      </c>
      <c r="CC34" s="205" t="s">
        <v>114</v>
      </c>
      <c r="CD34" s="447" t="s">
        <v>132</v>
      </c>
      <c r="CE34" s="447" t="str">
        <f t="shared" si="0"/>
        <v>Aquarius - Air</v>
      </c>
    </row>
    <row r="35" spans="1:83">
      <c r="A35" s="635">
        <f t="shared" si="15"/>
        <v>8</v>
      </c>
      <c r="B35" s="50">
        <v>2024</v>
      </c>
      <c r="C35" s="50">
        <f t="shared" si="16"/>
        <v>8</v>
      </c>
      <c r="F35" s="637"/>
      <c r="G35" s="637"/>
      <c r="H35" s="637"/>
      <c r="CA35" s="446">
        <v>43864</v>
      </c>
      <c r="CB35" s="205" t="str">
        <f t="shared" si="3"/>
        <v>03-Feb</v>
      </c>
      <c r="CC35" s="205" t="s">
        <v>114</v>
      </c>
      <c r="CD35" s="447" t="s">
        <v>132</v>
      </c>
      <c r="CE35" s="447" t="str">
        <f t="shared" si="0"/>
        <v>Aquarius - Air</v>
      </c>
    </row>
    <row r="36" spans="1:83">
      <c r="A36" s="635">
        <f t="shared" si="15"/>
        <v>9</v>
      </c>
      <c r="B36" s="50">
        <v>2025</v>
      </c>
      <c r="C36" s="50">
        <f t="shared" si="16"/>
        <v>9</v>
      </c>
      <c r="CA36" s="446">
        <v>43865</v>
      </c>
      <c r="CB36" s="205" t="str">
        <f t="shared" si="3"/>
        <v>04-Feb</v>
      </c>
      <c r="CC36" s="205" t="s">
        <v>114</v>
      </c>
      <c r="CD36" s="447" t="s">
        <v>132</v>
      </c>
      <c r="CE36" s="447" t="str">
        <f t="shared" si="0"/>
        <v>Aquarius - Air</v>
      </c>
    </row>
    <row r="37" spans="1:83">
      <c r="A37" s="635">
        <f t="shared" si="15"/>
        <v>1</v>
      </c>
      <c r="B37" s="50">
        <v>2026</v>
      </c>
      <c r="C37" s="50">
        <f t="shared" si="16"/>
        <v>1</v>
      </c>
      <c r="CA37" s="446">
        <v>43866</v>
      </c>
      <c r="CB37" s="205" t="str">
        <f t="shared" si="3"/>
        <v>05-Feb</v>
      </c>
      <c r="CC37" s="205" t="s">
        <v>114</v>
      </c>
      <c r="CD37" s="447" t="s">
        <v>132</v>
      </c>
      <c r="CE37" s="447" t="str">
        <f t="shared" si="0"/>
        <v>Aquarius - Air</v>
      </c>
    </row>
    <row r="38" spans="1:83">
      <c r="A38" s="635">
        <f t="shared" si="15"/>
        <v>2</v>
      </c>
      <c r="B38" s="50">
        <v>2027</v>
      </c>
      <c r="C38" s="50">
        <f t="shared" si="16"/>
        <v>2</v>
      </c>
      <c r="CA38" s="446">
        <v>43867</v>
      </c>
      <c r="CB38" s="205" t="str">
        <f t="shared" si="3"/>
        <v>06-Feb</v>
      </c>
      <c r="CC38" s="205" t="s">
        <v>114</v>
      </c>
      <c r="CD38" s="447" t="s">
        <v>132</v>
      </c>
      <c r="CE38" s="447" t="str">
        <f t="shared" si="0"/>
        <v>Aquarius - Air</v>
      </c>
    </row>
    <row r="39" spans="1:83">
      <c r="A39" s="635">
        <f t="shared" si="15"/>
        <v>3</v>
      </c>
      <c r="B39" s="50">
        <v>2028</v>
      </c>
      <c r="C39" s="50">
        <f t="shared" si="16"/>
        <v>3</v>
      </c>
      <c r="CA39" s="446">
        <v>43868</v>
      </c>
      <c r="CB39" s="205" t="str">
        <f t="shared" si="3"/>
        <v>07-Feb</v>
      </c>
      <c r="CC39" s="205" t="s">
        <v>114</v>
      </c>
      <c r="CD39" s="447" t="s">
        <v>132</v>
      </c>
      <c r="CE39" s="447" t="str">
        <f t="shared" si="0"/>
        <v>Aquarius - Air</v>
      </c>
    </row>
    <row r="40" spans="1:83">
      <c r="A40" s="635">
        <f t="shared" si="15"/>
        <v>4</v>
      </c>
      <c r="B40" s="50">
        <v>2029</v>
      </c>
      <c r="C40" s="50">
        <f t="shared" si="16"/>
        <v>4</v>
      </c>
      <c r="CA40" s="446">
        <v>43869</v>
      </c>
      <c r="CB40" s="205" t="str">
        <f t="shared" si="3"/>
        <v>08-Feb</v>
      </c>
      <c r="CC40" s="205" t="s">
        <v>114</v>
      </c>
      <c r="CD40" s="447" t="s">
        <v>132</v>
      </c>
      <c r="CE40" s="447" t="str">
        <f t="shared" si="0"/>
        <v>Aquarius - Air</v>
      </c>
    </row>
    <row r="41" spans="1:83">
      <c r="CA41" s="446">
        <v>43870</v>
      </c>
      <c r="CB41" s="205" t="str">
        <f t="shared" si="3"/>
        <v>09-Feb</v>
      </c>
      <c r="CC41" s="205" t="s">
        <v>114</v>
      </c>
      <c r="CD41" s="447" t="s">
        <v>132</v>
      </c>
      <c r="CE41" s="447" t="str">
        <f t="shared" si="0"/>
        <v>Aquarius - Air</v>
      </c>
    </row>
    <row r="42" spans="1:83">
      <c r="CA42" s="446">
        <v>43871</v>
      </c>
      <c r="CB42" s="205" t="str">
        <f t="shared" si="3"/>
        <v>10-Feb</v>
      </c>
      <c r="CC42" s="205" t="s">
        <v>114</v>
      </c>
      <c r="CD42" s="447" t="s">
        <v>132</v>
      </c>
      <c r="CE42" s="447" t="str">
        <f t="shared" si="0"/>
        <v>Aquarius - Air</v>
      </c>
    </row>
    <row r="43" spans="1:83">
      <c r="CA43" s="446">
        <v>43872</v>
      </c>
      <c r="CB43" s="205" t="str">
        <f t="shared" si="3"/>
        <v>11-Feb</v>
      </c>
      <c r="CC43" s="205" t="s">
        <v>114</v>
      </c>
      <c r="CD43" s="447" t="s">
        <v>132</v>
      </c>
      <c r="CE43" s="447" t="str">
        <f t="shared" si="0"/>
        <v>Aquarius - Air</v>
      </c>
    </row>
    <row r="44" spans="1:83">
      <c r="CA44" s="446">
        <v>43873</v>
      </c>
      <c r="CB44" s="205" t="str">
        <f t="shared" si="3"/>
        <v>12-Feb</v>
      </c>
      <c r="CC44" s="205" t="s">
        <v>114</v>
      </c>
      <c r="CD44" s="447" t="s">
        <v>132</v>
      </c>
      <c r="CE44" s="447" t="str">
        <f t="shared" si="0"/>
        <v>Aquarius - Air</v>
      </c>
    </row>
    <row r="45" spans="1:83">
      <c r="CA45" s="446">
        <v>43874</v>
      </c>
      <c r="CB45" s="205" t="str">
        <f t="shared" si="3"/>
        <v>13-Feb</v>
      </c>
      <c r="CC45" s="205" t="s">
        <v>114</v>
      </c>
      <c r="CD45" s="447" t="s">
        <v>132</v>
      </c>
      <c r="CE45" s="447" t="str">
        <f t="shared" si="0"/>
        <v>Aquarius - Air</v>
      </c>
    </row>
    <row r="46" spans="1:83">
      <c r="CA46" s="446">
        <v>43875</v>
      </c>
      <c r="CB46" s="205" t="str">
        <f t="shared" si="3"/>
        <v>14-Feb</v>
      </c>
      <c r="CC46" s="205" t="s">
        <v>114</v>
      </c>
      <c r="CD46" s="447" t="s">
        <v>132</v>
      </c>
      <c r="CE46" s="447" t="str">
        <f t="shared" si="0"/>
        <v>Aquarius - Air</v>
      </c>
    </row>
    <row r="47" spans="1:83">
      <c r="CA47" s="446">
        <v>43876</v>
      </c>
      <c r="CB47" s="205" t="str">
        <f t="shared" si="3"/>
        <v>15-Feb</v>
      </c>
      <c r="CC47" s="205" t="s">
        <v>114</v>
      </c>
      <c r="CD47" s="447" t="s">
        <v>132</v>
      </c>
      <c r="CE47" s="447" t="str">
        <f t="shared" si="0"/>
        <v>Aquarius - Air</v>
      </c>
    </row>
    <row r="48" spans="1:83">
      <c r="CA48" s="446">
        <v>43877</v>
      </c>
      <c r="CB48" s="205" t="str">
        <f t="shared" si="3"/>
        <v>16-Feb</v>
      </c>
      <c r="CC48" s="205" t="s">
        <v>114</v>
      </c>
      <c r="CD48" s="447" t="s">
        <v>132</v>
      </c>
      <c r="CE48" s="447" t="str">
        <f t="shared" si="0"/>
        <v>Aquarius - Air</v>
      </c>
    </row>
    <row r="49" spans="79:83">
      <c r="CA49" s="446">
        <v>43878</v>
      </c>
      <c r="CB49" s="205" t="str">
        <f t="shared" si="3"/>
        <v>17-Feb</v>
      </c>
      <c r="CC49" s="205" t="s">
        <v>114</v>
      </c>
      <c r="CD49" s="447" t="s">
        <v>132</v>
      </c>
      <c r="CE49" s="447" t="str">
        <f t="shared" si="0"/>
        <v>Aquarius - Air</v>
      </c>
    </row>
    <row r="50" spans="79:83">
      <c r="CA50" s="446">
        <v>43879</v>
      </c>
      <c r="CB50" s="205" t="str">
        <f t="shared" si="3"/>
        <v>18-Feb</v>
      </c>
      <c r="CC50" s="205" t="s">
        <v>114</v>
      </c>
      <c r="CD50" s="447" t="s">
        <v>132</v>
      </c>
      <c r="CE50" s="447" t="str">
        <f t="shared" si="0"/>
        <v>Aquarius - Air</v>
      </c>
    </row>
    <row r="51" spans="79:83">
      <c r="CA51" s="446">
        <v>43880</v>
      </c>
      <c r="CB51" s="205" t="str">
        <f t="shared" si="3"/>
        <v>19-Feb</v>
      </c>
      <c r="CC51" s="205" t="s">
        <v>115</v>
      </c>
      <c r="CD51" s="447" t="s">
        <v>131</v>
      </c>
      <c r="CE51" s="447" t="str">
        <f t="shared" si="0"/>
        <v>Pisces - Water</v>
      </c>
    </row>
    <row r="52" spans="79:83">
      <c r="CA52" s="446">
        <v>43881</v>
      </c>
      <c r="CB52" s="205" t="str">
        <f t="shared" si="3"/>
        <v>20-Feb</v>
      </c>
      <c r="CC52" s="205" t="s">
        <v>115</v>
      </c>
      <c r="CD52" s="447" t="s">
        <v>131</v>
      </c>
      <c r="CE52" s="447" t="str">
        <f t="shared" si="0"/>
        <v>Pisces - Water</v>
      </c>
    </row>
    <row r="53" spans="79:83">
      <c r="CA53" s="446">
        <v>43882</v>
      </c>
      <c r="CB53" s="205" t="str">
        <f t="shared" si="3"/>
        <v>21-Feb</v>
      </c>
      <c r="CC53" s="205" t="s">
        <v>115</v>
      </c>
      <c r="CD53" s="447" t="s">
        <v>131</v>
      </c>
      <c r="CE53" s="447" t="str">
        <f t="shared" si="0"/>
        <v>Pisces - Water</v>
      </c>
    </row>
    <row r="54" spans="79:83">
      <c r="CA54" s="446">
        <v>43883</v>
      </c>
      <c r="CB54" s="205" t="str">
        <f t="shared" si="3"/>
        <v>22-Feb</v>
      </c>
      <c r="CC54" s="205" t="s">
        <v>115</v>
      </c>
      <c r="CD54" s="447" t="s">
        <v>131</v>
      </c>
      <c r="CE54" s="447" t="str">
        <f t="shared" si="0"/>
        <v>Pisces - Water</v>
      </c>
    </row>
    <row r="55" spans="79:83">
      <c r="CA55" s="446">
        <v>43884</v>
      </c>
      <c r="CB55" s="205" t="str">
        <f t="shared" si="3"/>
        <v>23-Feb</v>
      </c>
      <c r="CC55" s="205" t="s">
        <v>115</v>
      </c>
      <c r="CD55" s="447" t="s">
        <v>131</v>
      </c>
      <c r="CE55" s="447" t="str">
        <f t="shared" si="0"/>
        <v>Pisces - Water</v>
      </c>
    </row>
    <row r="56" spans="79:83">
      <c r="CA56" s="446">
        <v>43885</v>
      </c>
      <c r="CB56" s="205" t="str">
        <f t="shared" si="3"/>
        <v>24-Feb</v>
      </c>
      <c r="CC56" s="205" t="s">
        <v>115</v>
      </c>
      <c r="CD56" s="447" t="s">
        <v>131</v>
      </c>
      <c r="CE56" s="447" t="str">
        <f t="shared" si="0"/>
        <v>Pisces - Water</v>
      </c>
    </row>
    <row r="57" spans="79:83">
      <c r="CA57" s="446">
        <v>43886</v>
      </c>
      <c r="CB57" s="205" t="str">
        <f t="shared" si="3"/>
        <v>25-Feb</v>
      </c>
      <c r="CC57" s="205" t="s">
        <v>115</v>
      </c>
      <c r="CD57" s="447" t="s">
        <v>131</v>
      </c>
      <c r="CE57" s="447" t="str">
        <f t="shared" si="0"/>
        <v>Pisces - Water</v>
      </c>
    </row>
    <row r="58" spans="79:83">
      <c r="CA58" s="446">
        <v>43887</v>
      </c>
      <c r="CB58" s="205" t="str">
        <f t="shared" si="3"/>
        <v>26-Feb</v>
      </c>
      <c r="CC58" s="205" t="s">
        <v>115</v>
      </c>
      <c r="CD58" s="447" t="s">
        <v>131</v>
      </c>
      <c r="CE58" s="447" t="str">
        <f t="shared" si="0"/>
        <v>Pisces - Water</v>
      </c>
    </row>
    <row r="59" spans="79:83">
      <c r="CA59" s="446">
        <v>43888</v>
      </c>
      <c r="CB59" s="205" t="str">
        <f t="shared" si="3"/>
        <v>27-Feb</v>
      </c>
      <c r="CC59" s="205" t="s">
        <v>115</v>
      </c>
      <c r="CD59" s="447" t="s">
        <v>131</v>
      </c>
      <c r="CE59" s="447" t="str">
        <f t="shared" si="0"/>
        <v>Pisces - Water</v>
      </c>
    </row>
    <row r="60" spans="79:83">
      <c r="CA60" s="446">
        <v>43889</v>
      </c>
      <c r="CB60" s="205" t="str">
        <f t="shared" si="3"/>
        <v>28-Feb</v>
      </c>
      <c r="CC60" s="205" t="s">
        <v>115</v>
      </c>
      <c r="CD60" s="447" t="s">
        <v>131</v>
      </c>
      <c r="CE60" s="447" t="str">
        <f t="shared" si="0"/>
        <v>Pisces - Water</v>
      </c>
    </row>
    <row r="61" spans="79:83">
      <c r="CA61" s="446">
        <v>43890</v>
      </c>
      <c r="CB61" s="205" t="str">
        <f t="shared" si="3"/>
        <v>29-Feb</v>
      </c>
      <c r="CC61" s="205" t="s">
        <v>115</v>
      </c>
      <c r="CD61" s="447" t="s">
        <v>131</v>
      </c>
      <c r="CE61" s="447" t="str">
        <f t="shared" si="0"/>
        <v>Pisces - Water</v>
      </c>
    </row>
    <row r="62" spans="79:83">
      <c r="CA62" s="446">
        <v>43891</v>
      </c>
      <c r="CB62" s="205" t="str">
        <f t="shared" si="3"/>
        <v>01-Mar</v>
      </c>
      <c r="CC62" s="205" t="s">
        <v>115</v>
      </c>
      <c r="CD62" s="447" t="s">
        <v>131</v>
      </c>
      <c r="CE62" s="447" t="str">
        <f t="shared" si="0"/>
        <v>Pisces - Water</v>
      </c>
    </row>
    <row r="63" spans="79:83">
      <c r="CA63" s="446">
        <v>43892</v>
      </c>
      <c r="CB63" s="205" t="str">
        <f t="shared" si="3"/>
        <v>02-Mar</v>
      </c>
      <c r="CC63" s="205" t="s">
        <v>115</v>
      </c>
      <c r="CD63" s="447" t="s">
        <v>131</v>
      </c>
      <c r="CE63" s="447" t="str">
        <f t="shared" si="0"/>
        <v>Pisces - Water</v>
      </c>
    </row>
    <row r="64" spans="79:83">
      <c r="CA64" s="446">
        <v>43893</v>
      </c>
      <c r="CB64" s="205" t="str">
        <f t="shared" si="3"/>
        <v>03-Mar</v>
      </c>
      <c r="CC64" s="205" t="s">
        <v>115</v>
      </c>
      <c r="CD64" s="447" t="s">
        <v>131</v>
      </c>
      <c r="CE64" s="447" t="str">
        <f t="shared" si="0"/>
        <v>Pisces - Water</v>
      </c>
    </row>
    <row r="65" spans="79:83">
      <c r="CA65" s="446">
        <v>43894</v>
      </c>
      <c r="CB65" s="205" t="str">
        <f t="shared" si="3"/>
        <v>04-Mar</v>
      </c>
      <c r="CC65" s="205" t="s">
        <v>115</v>
      </c>
      <c r="CD65" s="447" t="s">
        <v>131</v>
      </c>
      <c r="CE65" s="447" t="str">
        <f t="shared" ref="CE65:CE128" si="17">CC65&amp;" - "&amp;CD65</f>
        <v>Pisces - Water</v>
      </c>
    </row>
    <row r="66" spans="79:83">
      <c r="CA66" s="446">
        <v>43895</v>
      </c>
      <c r="CB66" s="205" t="str">
        <f t="shared" si="3"/>
        <v>05-Mar</v>
      </c>
      <c r="CC66" s="205" t="s">
        <v>115</v>
      </c>
      <c r="CD66" s="447" t="s">
        <v>131</v>
      </c>
      <c r="CE66" s="447" t="str">
        <f t="shared" si="17"/>
        <v>Pisces - Water</v>
      </c>
    </row>
    <row r="67" spans="79:83">
      <c r="CA67" s="446">
        <v>43896</v>
      </c>
      <c r="CB67" s="205" t="str">
        <f t="shared" ref="CB67:CB130" si="18">TEXT(CA67,"DD-MMM")</f>
        <v>06-Mar</v>
      </c>
      <c r="CC67" s="205" t="s">
        <v>115</v>
      </c>
      <c r="CD67" s="447" t="s">
        <v>131</v>
      </c>
      <c r="CE67" s="447" t="str">
        <f t="shared" si="17"/>
        <v>Pisces - Water</v>
      </c>
    </row>
    <row r="68" spans="79:83">
      <c r="CA68" s="446">
        <v>43897</v>
      </c>
      <c r="CB68" s="205" t="str">
        <f t="shared" si="18"/>
        <v>07-Mar</v>
      </c>
      <c r="CC68" s="205" t="s">
        <v>115</v>
      </c>
      <c r="CD68" s="447" t="s">
        <v>131</v>
      </c>
      <c r="CE68" s="447" t="str">
        <f t="shared" si="17"/>
        <v>Pisces - Water</v>
      </c>
    </row>
    <row r="69" spans="79:83">
      <c r="CA69" s="446">
        <v>43898</v>
      </c>
      <c r="CB69" s="205" t="str">
        <f t="shared" si="18"/>
        <v>08-Mar</v>
      </c>
      <c r="CC69" s="205" t="s">
        <v>115</v>
      </c>
      <c r="CD69" s="447" t="s">
        <v>131</v>
      </c>
      <c r="CE69" s="447" t="str">
        <f t="shared" si="17"/>
        <v>Pisces - Water</v>
      </c>
    </row>
    <row r="70" spans="79:83">
      <c r="CA70" s="446">
        <v>43899</v>
      </c>
      <c r="CB70" s="205" t="str">
        <f t="shared" si="18"/>
        <v>09-Mar</v>
      </c>
      <c r="CC70" s="205" t="s">
        <v>115</v>
      </c>
      <c r="CD70" s="447" t="s">
        <v>131</v>
      </c>
      <c r="CE70" s="447" t="str">
        <f t="shared" si="17"/>
        <v>Pisces - Water</v>
      </c>
    </row>
    <row r="71" spans="79:83">
      <c r="CA71" s="446">
        <v>43900</v>
      </c>
      <c r="CB71" s="205" t="str">
        <f t="shared" si="18"/>
        <v>10-Mar</v>
      </c>
      <c r="CC71" s="205" t="s">
        <v>115</v>
      </c>
      <c r="CD71" s="447" t="s">
        <v>131</v>
      </c>
      <c r="CE71" s="447" t="str">
        <f t="shared" si="17"/>
        <v>Pisces - Water</v>
      </c>
    </row>
    <row r="72" spans="79:83">
      <c r="CA72" s="446">
        <v>43901</v>
      </c>
      <c r="CB72" s="205" t="str">
        <f t="shared" si="18"/>
        <v>11-Mar</v>
      </c>
      <c r="CC72" s="205" t="s">
        <v>115</v>
      </c>
      <c r="CD72" s="447" t="s">
        <v>131</v>
      </c>
      <c r="CE72" s="447" t="str">
        <f t="shared" si="17"/>
        <v>Pisces - Water</v>
      </c>
    </row>
    <row r="73" spans="79:83">
      <c r="CA73" s="446">
        <v>43902</v>
      </c>
      <c r="CB73" s="205" t="str">
        <f t="shared" si="18"/>
        <v>12-Mar</v>
      </c>
      <c r="CC73" s="205" t="s">
        <v>115</v>
      </c>
      <c r="CD73" s="447" t="s">
        <v>131</v>
      </c>
      <c r="CE73" s="447" t="str">
        <f t="shared" si="17"/>
        <v>Pisces - Water</v>
      </c>
    </row>
    <row r="74" spans="79:83">
      <c r="CA74" s="446">
        <v>43903</v>
      </c>
      <c r="CB74" s="205" t="str">
        <f t="shared" si="18"/>
        <v>13-Mar</v>
      </c>
      <c r="CC74" s="205" t="s">
        <v>115</v>
      </c>
      <c r="CD74" s="447" t="s">
        <v>131</v>
      </c>
      <c r="CE74" s="447" t="str">
        <f t="shared" si="17"/>
        <v>Pisces - Water</v>
      </c>
    </row>
    <row r="75" spans="79:83">
      <c r="CA75" s="446">
        <v>43904</v>
      </c>
      <c r="CB75" s="205" t="str">
        <f t="shared" si="18"/>
        <v>14-Mar</v>
      </c>
      <c r="CC75" s="205" t="s">
        <v>115</v>
      </c>
      <c r="CD75" s="447" t="s">
        <v>131</v>
      </c>
      <c r="CE75" s="447" t="str">
        <f t="shared" si="17"/>
        <v>Pisces - Water</v>
      </c>
    </row>
    <row r="76" spans="79:83">
      <c r="CA76" s="446">
        <v>43905</v>
      </c>
      <c r="CB76" s="205" t="str">
        <f t="shared" si="18"/>
        <v>15-Mar</v>
      </c>
      <c r="CC76" s="205" t="s">
        <v>115</v>
      </c>
      <c r="CD76" s="447" t="s">
        <v>131</v>
      </c>
      <c r="CE76" s="447" t="str">
        <f t="shared" si="17"/>
        <v>Pisces - Water</v>
      </c>
    </row>
    <row r="77" spans="79:83">
      <c r="CA77" s="446">
        <v>43906</v>
      </c>
      <c r="CB77" s="205" t="str">
        <f t="shared" si="18"/>
        <v>16-Mar</v>
      </c>
      <c r="CC77" s="205" t="s">
        <v>115</v>
      </c>
      <c r="CD77" s="447" t="s">
        <v>131</v>
      </c>
      <c r="CE77" s="447" t="str">
        <f t="shared" si="17"/>
        <v>Pisces - Water</v>
      </c>
    </row>
    <row r="78" spans="79:83">
      <c r="CA78" s="446">
        <v>43907</v>
      </c>
      <c r="CB78" s="205" t="str">
        <f t="shared" si="18"/>
        <v>17-Mar</v>
      </c>
      <c r="CC78" s="205" t="s">
        <v>115</v>
      </c>
      <c r="CD78" s="447" t="s">
        <v>131</v>
      </c>
      <c r="CE78" s="447" t="str">
        <f t="shared" si="17"/>
        <v>Pisces - Water</v>
      </c>
    </row>
    <row r="79" spans="79:83">
      <c r="CA79" s="446">
        <v>43908</v>
      </c>
      <c r="CB79" s="205" t="str">
        <f t="shared" si="18"/>
        <v>18-Mar</v>
      </c>
      <c r="CC79" s="205" t="s">
        <v>115</v>
      </c>
      <c r="CD79" s="447" t="s">
        <v>131</v>
      </c>
      <c r="CE79" s="447" t="str">
        <f t="shared" si="17"/>
        <v>Pisces - Water</v>
      </c>
    </row>
    <row r="80" spans="79:83">
      <c r="CA80" s="446">
        <v>43909</v>
      </c>
      <c r="CB80" s="205" t="str">
        <f t="shared" si="18"/>
        <v>19-Mar</v>
      </c>
      <c r="CC80" s="205" t="s">
        <v>115</v>
      </c>
      <c r="CD80" s="447" t="s">
        <v>131</v>
      </c>
      <c r="CE80" s="447" t="str">
        <f t="shared" si="17"/>
        <v>Pisces - Water</v>
      </c>
    </row>
    <row r="81" spans="79:83">
      <c r="CA81" s="446">
        <v>43910</v>
      </c>
      <c r="CB81" s="205" t="str">
        <f t="shared" si="18"/>
        <v>20-Mar</v>
      </c>
      <c r="CC81" s="205" t="s">
        <v>115</v>
      </c>
      <c r="CD81" s="447" t="s">
        <v>131</v>
      </c>
      <c r="CE81" s="447" t="str">
        <f t="shared" si="17"/>
        <v>Pisces - Water</v>
      </c>
    </row>
    <row r="82" spans="79:83">
      <c r="CA82" s="446">
        <v>43911</v>
      </c>
      <c r="CB82" s="205" t="str">
        <f t="shared" si="18"/>
        <v>21-Mar</v>
      </c>
      <c r="CC82" s="205" t="s">
        <v>116</v>
      </c>
      <c r="CD82" s="447" t="s">
        <v>129</v>
      </c>
      <c r="CE82" s="447" t="str">
        <f t="shared" si="17"/>
        <v>Aries - Fire</v>
      </c>
    </row>
    <row r="83" spans="79:83">
      <c r="CA83" s="446">
        <v>43912</v>
      </c>
      <c r="CB83" s="205" t="str">
        <f t="shared" si="18"/>
        <v>22-Mar</v>
      </c>
      <c r="CC83" s="205" t="s">
        <v>116</v>
      </c>
      <c r="CD83" s="447" t="s">
        <v>129</v>
      </c>
      <c r="CE83" s="447" t="str">
        <f t="shared" si="17"/>
        <v>Aries - Fire</v>
      </c>
    </row>
    <row r="84" spans="79:83">
      <c r="CA84" s="446">
        <v>43913</v>
      </c>
      <c r="CB84" s="205" t="str">
        <f t="shared" si="18"/>
        <v>23-Mar</v>
      </c>
      <c r="CC84" s="205" t="s">
        <v>116</v>
      </c>
      <c r="CD84" s="447" t="s">
        <v>129</v>
      </c>
      <c r="CE84" s="447" t="str">
        <f t="shared" si="17"/>
        <v>Aries - Fire</v>
      </c>
    </row>
    <row r="85" spans="79:83">
      <c r="CA85" s="446">
        <v>43914</v>
      </c>
      <c r="CB85" s="205" t="str">
        <f t="shared" si="18"/>
        <v>24-Mar</v>
      </c>
      <c r="CC85" s="205" t="s">
        <v>116</v>
      </c>
      <c r="CD85" s="447" t="s">
        <v>129</v>
      </c>
      <c r="CE85" s="447" t="str">
        <f t="shared" si="17"/>
        <v>Aries - Fire</v>
      </c>
    </row>
    <row r="86" spans="79:83">
      <c r="CA86" s="446">
        <v>43915</v>
      </c>
      <c r="CB86" s="205" t="str">
        <f t="shared" si="18"/>
        <v>25-Mar</v>
      </c>
      <c r="CC86" s="205" t="s">
        <v>116</v>
      </c>
      <c r="CD86" s="447" t="s">
        <v>129</v>
      </c>
      <c r="CE86" s="447" t="str">
        <f t="shared" si="17"/>
        <v>Aries - Fire</v>
      </c>
    </row>
    <row r="87" spans="79:83">
      <c r="CA87" s="446">
        <v>43916</v>
      </c>
      <c r="CB87" s="205" t="str">
        <f t="shared" si="18"/>
        <v>26-Mar</v>
      </c>
      <c r="CC87" s="205" t="s">
        <v>116</v>
      </c>
      <c r="CD87" s="447" t="s">
        <v>129</v>
      </c>
      <c r="CE87" s="447" t="str">
        <f t="shared" si="17"/>
        <v>Aries - Fire</v>
      </c>
    </row>
    <row r="88" spans="79:83">
      <c r="CA88" s="446">
        <v>43917</v>
      </c>
      <c r="CB88" s="205" t="str">
        <f t="shared" si="18"/>
        <v>27-Mar</v>
      </c>
      <c r="CC88" s="205" t="s">
        <v>116</v>
      </c>
      <c r="CD88" s="447" t="s">
        <v>129</v>
      </c>
      <c r="CE88" s="447" t="str">
        <f t="shared" si="17"/>
        <v>Aries - Fire</v>
      </c>
    </row>
    <row r="89" spans="79:83">
      <c r="CA89" s="446">
        <v>43918</v>
      </c>
      <c r="CB89" s="205" t="str">
        <f t="shared" si="18"/>
        <v>28-Mar</v>
      </c>
      <c r="CC89" s="205" t="s">
        <v>116</v>
      </c>
      <c r="CD89" s="447" t="s">
        <v>129</v>
      </c>
      <c r="CE89" s="447" t="str">
        <f t="shared" si="17"/>
        <v>Aries - Fire</v>
      </c>
    </row>
    <row r="90" spans="79:83">
      <c r="CA90" s="446">
        <v>43919</v>
      </c>
      <c r="CB90" s="205" t="str">
        <f t="shared" si="18"/>
        <v>29-Mar</v>
      </c>
      <c r="CC90" s="205" t="s">
        <v>116</v>
      </c>
      <c r="CD90" s="447" t="s">
        <v>129</v>
      </c>
      <c r="CE90" s="447" t="str">
        <f t="shared" si="17"/>
        <v>Aries - Fire</v>
      </c>
    </row>
    <row r="91" spans="79:83">
      <c r="CA91" s="446">
        <v>43920</v>
      </c>
      <c r="CB91" s="205" t="str">
        <f t="shared" si="18"/>
        <v>30-Mar</v>
      </c>
      <c r="CC91" s="205" t="s">
        <v>116</v>
      </c>
      <c r="CD91" s="447" t="s">
        <v>129</v>
      </c>
      <c r="CE91" s="447" t="str">
        <f t="shared" si="17"/>
        <v>Aries - Fire</v>
      </c>
    </row>
    <row r="92" spans="79:83">
      <c r="CA92" s="446">
        <v>43921</v>
      </c>
      <c r="CB92" s="205" t="str">
        <f t="shared" si="18"/>
        <v>31-Mar</v>
      </c>
      <c r="CC92" s="205" t="s">
        <v>116</v>
      </c>
      <c r="CD92" s="447" t="s">
        <v>129</v>
      </c>
      <c r="CE92" s="447" t="str">
        <f t="shared" si="17"/>
        <v>Aries - Fire</v>
      </c>
    </row>
    <row r="93" spans="79:83">
      <c r="CA93" s="446">
        <v>43922</v>
      </c>
      <c r="CB93" s="205" t="str">
        <f t="shared" si="18"/>
        <v>01-Apr</v>
      </c>
      <c r="CC93" s="205" t="s">
        <v>116</v>
      </c>
      <c r="CD93" s="447" t="s">
        <v>129</v>
      </c>
      <c r="CE93" s="447" t="str">
        <f t="shared" si="17"/>
        <v>Aries - Fire</v>
      </c>
    </row>
    <row r="94" spans="79:83">
      <c r="CA94" s="446">
        <v>43923</v>
      </c>
      <c r="CB94" s="205" t="str">
        <f t="shared" si="18"/>
        <v>02-Apr</v>
      </c>
      <c r="CC94" s="205" t="s">
        <v>116</v>
      </c>
      <c r="CD94" s="447" t="s">
        <v>129</v>
      </c>
      <c r="CE94" s="447" t="str">
        <f t="shared" si="17"/>
        <v>Aries - Fire</v>
      </c>
    </row>
    <row r="95" spans="79:83">
      <c r="CA95" s="446">
        <v>43924</v>
      </c>
      <c r="CB95" s="205" t="str">
        <f t="shared" si="18"/>
        <v>03-Apr</v>
      </c>
      <c r="CC95" s="205" t="s">
        <v>116</v>
      </c>
      <c r="CD95" s="447" t="s">
        <v>129</v>
      </c>
      <c r="CE95" s="447" t="str">
        <f t="shared" si="17"/>
        <v>Aries - Fire</v>
      </c>
    </row>
    <row r="96" spans="79:83">
      <c r="CA96" s="446">
        <v>43925</v>
      </c>
      <c r="CB96" s="205" t="str">
        <f t="shared" si="18"/>
        <v>04-Apr</v>
      </c>
      <c r="CC96" s="205" t="s">
        <v>116</v>
      </c>
      <c r="CD96" s="447" t="s">
        <v>129</v>
      </c>
      <c r="CE96" s="447" t="str">
        <f t="shared" si="17"/>
        <v>Aries - Fire</v>
      </c>
    </row>
    <row r="97" spans="79:83">
      <c r="CA97" s="446">
        <v>43926</v>
      </c>
      <c r="CB97" s="205" t="str">
        <f t="shared" si="18"/>
        <v>05-Apr</v>
      </c>
      <c r="CC97" s="205" t="s">
        <v>116</v>
      </c>
      <c r="CD97" s="447" t="s">
        <v>129</v>
      </c>
      <c r="CE97" s="447" t="str">
        <f t="shared" si="17"/>
        <v>Aries - Fire</v>
      </c>
    </row>
    <row r="98" spans="79:83">
      <c r="CA98" s="446">
        <v>43927</v>
      </c>
      <c r="CB98" s="205" t="str">
        <f t="shared" si="18"/>
        <v>06-Apr</v>
      </c>
      <c r="CC98" s="205" t="s">
        <v>116</v>
      </c>
      <c r="CD98" s="447" t="s">
        <v>129</v>
      </c>
      <c r="CE98" s="447" t="str">
        <f t="shared" si="17"/>
        <v>Aries - Fire</v>
      </c>
    </row>
    <row r="99" spans="79:83">
      <c r="CA99" s="446">
        <v>43928</v>
      </c>
      <c r="CB99" s="205" t="str">
        <f t="shared" si="18"/>
        <v>07-Apr</v>
      </c>
      <c r="CC99" s="205" t="s">
        <v>116</v>
      </c>
      <c r="CD99" s="447" t="s">
        <v>129</v>
      </c>
      <c r="CE99" s="447" t="str">
        <f t="shared" si="17"/>
        <v>Aries - Fire</v>
      </c>
    </row>
    <row r="100" spans="79:83">
      <c r="CA100" s="446">
        <v>43929</v>
      </c>
      <c r="CB100" s="205" t="str">
        <f t="shared" si="18"/>
        <v>08-Apr</v>
      </c>
      <c r="CC100" s="205" t="s">
        <v>116</v>
      </c>
      <c r="CD100" s="447" t="s">
        <v>129</v>
      </c>
      <c r="CE100" s="447" t="str">
        <f t="shared" si="17"/>
        <v>Aries - Fire</v>
      </c>
    </row>
    <row r="101" spans="79:83">
      <c r="CA101" s="446">
        <v>43930</v>
      </c>
      <c r="CB101" s="205" t="str">
        <f t="shared" si="18"/>
        <v>09-Apr</v>
      </c>
      <c r="CC101" s="205" t="s">
        <v>116</v>
      </c>
      <c r="CD101" s="447" t="s">
        <v>129</v>
      </c>
      <c r="CE101" s="447" t="str">
        <f t="shared" si="17"/>
        <v>Aries - Fire</v>
      </c>
    </row>
    <row r="102" spans="79:83">
      <c r="CA102" s="446">
        <v>43931</v>
      </c>
      <c r="CB102" s="205" t="str">
        <f t="shared" si="18"/>
        <v>10-Apr</v>
      </c>
      <c r="CC102" s="205" t="s">
        <v>116</v>
      </c>
      <c r="CD102" s="447" t="s">
        <v>129</v>
      </c>
      <c r="CE102" s="447" t="str">
        <f t="shared" si="17"/>
        <v>Aries - Fire</v>
      </c>
    </row>
    <row r="103" spans="79:83">
      <c r="CA103" s="446">
        <v>43932</v>
      </c>
      <c r="CB103" s="205" t="str">
        <f t="shared" si="18"/>
        <v>11-Apr</v>
      </c>
      <c r="CC103" s="205" t="s">
        <v>116</v>
      </c>
      <c r="CD103" s="447" t="s">
        <v>129</v>
      </c>
      <c r="CE103" s="447" t="str">
        <f t="shared" si="17"/>
        <v>Aries - Fire</v>
      </c>
    </row>
    <row r="104" spans="79:83">
      <c r="CA104" s="446">
        <v>43933</v>
      </c>
      <c r="CB104" s="205" t="str">
        <f t="shared" si="18"/>
        <v>12-Apr</v>
      </c>
      <c r="CC104" s="205" t="s">
        <v>116</v>
      </c>
      <c r="CD104" s="447" t="s">
        <v>129</v>
      </c>
      <c r="CE104" s="447" t="str">
        <f t="shared" si="17"/>
        <v>Aries - Fire</v>
      </c>
    </row>
    <row r="105" spans="79:83">
      <c r="CA105" s="446">
        <v>43934</v>
      </c>
      <c r="CB105" s="205" t="str">
        <f t="shared" si="18"/>
        <v>13-Apr</v>
      </c>
      <c r="CC105" s="205" t="s">
        <v>116</v>
      </c>
      <c r="CD105" s="447" t="s">
        <v>129</v>
      </c>
      <c r="CE105" s="447" t="str">
        <f t="shared" si="17"/>
        <v>Aries - Fire</v>
      </c>
    </row>
    <row r="106" spans="79:83">
      <c r="CA106" s="446">
        <v>43935</v>
      </c>
      <c r="CB106" s="205" t="str">
        <f t="shared" si="18"/>
        <v>14-Apr</v>
      </c>
      <c r="CC106" s="205" t="s">
        <v>116</v>
      </c>
      <c r="CD106" s="447" t="s">
        <v>129</v>
      </c>
      <c r="CE106" s="447" t="str">
        <f t="shared" si="17"/>
        <v>Aries - Fire</v>
      </c>
    </row>
    <row r="107" spans="79:83">
      <c r="CA107" s="446">
        <v>43936</v>
      </c>
      <c r="CB107" s="205" t="str">
        <f t="shared" si="18"/>
        <v>15-Apr</v>
      </c>
      <c r="CC107" s="205" t="s">
        <v>116</v>
      </c>
      <c r="CD107" s="447" t="s">
        <v>129</v>
      </c>
      <c r="CE107" s="447" t="str">
        <f t="shared" si="17"/>
        <v>Aries - Fire</v>
      </c>
    </row>
    <row r="108" spans="79:83">
      <c r="CA108" s="446">
        <v>43937</v>
      </c>
      <c r="CB108" s="205" t="str">
        <f t="shared" si="18"/>
        <v>16-Apr</v>
      </c>
      <c r="CC108" s="205" t="s">
        <v>116</v>
      </c>
      <c r="CD108" s="447" t="s">
        <v>129</v>
      </c>
      <c r="CE108" s="447" t="str">
        <f t="shared" si="17"/>
        <v>Aries - Fire</v>
      </c>
    </row>
    <row r="109" spans="79:83">
      <c r="CA109" s="446">
        <v>43938</v>
      </c>
      <c r="CB109" s="205" t="str">
        <f t="shared" si="18"/>
        <v>17-Apr</v>
      </c>
      <c r="CC109" s="205" t="s">
        <v>116</v>
      </c>
      <c r="CD109" s="447" t="s">
        <v>129</v>
      </c>
      <c r="CE109" s="447" t="str">
        <f t="shared" si="17"/>
        <v>Aries - Fire</v>
      </c>
    </row>
    <row r="110" spans="79:83">
      <c r="CA110" s="446">
        <v>43939</v>
      </c>
      <c r="CB110" s="205" t="str">
        <f t="shared" si="18"/>
        <v>18-Apr</v>
      </c>
      <c r="CC110" s="205" t="s">
        <v>116</v>
      </c>
      <c r="CD110" s="447" t="s">
        <v>129</v>
      </c>
      <c r="CE110" s="447" t="str">
        <f t="shared" si="17"/>
        <v>Aries - Fire</v>
      </c>
    </row>
    <row r="111" spans="79:83">
      <c r="CA111" s="446">
        <v>43940</v>
      </c>
      <c r="CB111" s="205" t="str">
        <f t="shared" si="18"/>
        <v>19-Apr</v>
      </c>
      <c r="CC111" s="205" t="s">
        <v>116</v>
      </c>
      <c r="CD111" s="447" t="s">
        <v>129</v>
      </c>
      <c r="CE111" s="447" t="str">
        <f t="shared" si="17"/>
        <v>Aries - Fire</v>
      </c>
    </row>
    <row r="112" spans="79:83">
      <c r="CA112" s="446">
        <v>43941</v>
      </c>
      <c r="CB112" s="205" t="str">
        <f t="shared" si="18"/>
        <v>20-Apr</v>
      </c>
      <c r="CC112" s="205" t="s">
        <v>117</v>
      </c>
      <c r="CD112" s="447" t="s">
        <v>130</v>
      </c>
      <c r="CE112" s="447" t="str">
        <f t="shared" si="17"/>
        <v>Taurus - Earth</v>
      </c>
    </row>
    <row r="113" spans="79:83">
      <c r="CA113" s="446">
        <v>43942</v>
      </c>
      <c r="CB113" s="205" t="str">
        <f t="shared" si="18"/>
        <v>21-Apr</v>
      </c>
      <c r="CC113" s="205" t="s">
        <v>117</v>
      </c>
      <c r="CD113" s="447" t="s">
        <v>130</v>
      </c>
      <c r="CE113" s="447" t="str">
        <f t="shared" si="17"/>
        <v>Taurus - Earth</v>
      </c>
    </row>
    <row r="114" spans="79:83">
      <c r="CA114" s="446">
        <v>43943</v>
      </c>
      <c r="CB114" s="205" t="str">
        <f t="shared" si="18"/>
        <v>22-Apr</v>
      </c>
      <c r="CC114" s="205" t="s">
        <v>117</v>
      </c>
      <c r="CD114" s="447" t="s">
        <v>130</v>
      </c>
      <c r="CE114" s="447" t="str">
        <f t="shared" si="17"/>
        <v>Taurus - Earth</v>
      </c>
    </row>
    <row r="115" spans="79:83">
      <c r="CA115" s="446">
        <v>43944</v>
      </c>
      <c r="CB115" s="205" t="str">
        <f t="shared" si="18"/>
        <v>23-Apr</v>
      </c>
      <c r="CC115" s="205" t="s">
        <v>117</v>
      </c>
      <c r="CD115" s="447" t="s">
        <v>130</v>
      </c>
      <c r="CE115" s="447" t="str">
        <f t="shared" si="17"/>
        <v>Taurus - Earth</v>
      </c>
    </row>
    <row r="116" spans="79:83">
      <c r="CA116" s="446">
        <v>43945</v>
      </c>
      <c r="CB116" s="205" t="str">
        <f t="shared" si="18"/>
        <v>24-Apr</v>
      </c>
      <c r="CC116" s="205" t="s">
        <v>117</v>
      </c>
      <c r="CD116" s="447" t="s">
        <v>130</v>
      </c>
      <c r="CE116" s="447" t="str">
        <f t="shared" si="17"/>
        <v>Taurus - Earth</v>
      </c>
    </row>
    <row r="117" spans="79:83">
      <c r="CA117" s="446">
        <v>43946</v>
      </c>
      <c r="CB117" s="205" t="str">
        <f t="shared" si="18"/>
        <v>25-Apr</v>
      </c>
      <c r="CC117" s="205" t="s">
        <v>117</v>
      </c>
      <c r="CD117" s="447" t="s">
        <v>130</v>
      </c>
      <c r="CE117" s="447" t="str">
        <f t="shared" si="17"/>
        <v>Taurus - Earth</v>
      </c>
    </row>
    <row r="118" spans="79:83">
      <c r="CA118" s="446">
        <v>43947</v>
      </c>
      <c r="CB118" s="205" t="str">
        <f t="shared" si="18"/>
        <v>26-Apr</v>
      </c>
      <c r="CC118" s="205" t="s">
        <v>117</v>
      </c>
      <c r="CD118" s="447" t="s">
        <v>130</v>
      </c>
      <c r="CE118" s="447" t="str">
        <f t="shared" si="17"/>
        <v>Taurus - Earth</v>
      </c>
    </row>
    <row r="119" spans="79:83">
      <c r="CA119" s="446">
        <v>43948</v>
      </c>
      <c r="CB119" s="205" t="str">
        <f t="shared" si="18"/>
        <v>27-Apr</v>
      </c>
      <c r="CC119" s="205" t="s">
        <v>117</v>
      </c>
      <c r="CD119" s="447" t="s">
        <v>130</v>
      </c>
      <c r="CE119" s="447" t="str">
        <f t="shared" si="17"/>
        <v>Taurus - Earth</v>
      </c>
    </row>
    <row r="120" spans="79:83">
      <c r="CA120" s="446">
        <v>43949</v>
      </c>
      <c r="CB120" s="205" t="str">
        <f t="shared" si="18"/>
        <v>28-Apr</v>
      </c>
      <c r="CC120" s="205" t="s">
        <v>117</v>
      </c>
      <c r="CD120" s="447" t="s">
        <v>130</v>
      </c>
      <c r="CE120" s="447" t="str">
        <f t="shared" si="17"/>
        <v>Taurus - Earth</v>
      </c>
    </row>
    <row r="121" spans="79:83">
      <c r="CA121" s="446">
        <v>43950</v>
      </c>
      <c r="CB121" s="205" t="str">
        <f t="shared" si="18"/>
        <v>29-Apr</v>
      </c>
      <c r="CC121" s="205" t="s">
        <v>117</v>
      </c>
      <c r="CD121" s="447" t="s">
        <v>130</v>
      </c>
      <c r="CE121" s="447" t="str">
        <f t="shared" si="17"/>
        <v>Taurus - Earth</v>
      </c>
    </row>
    <row r="122" spans="79:83">
      <c r="CA122" s="446">
        <v>43951</v>
      </c>
      <c r="CB122" s="205" t="str">
        <f t="shared" si="18"/>
        <v>30-Apr</v>
      </c>
      <c r="CC122" s="205" t="s">
        <v>117</v>
      </c>
      <c r="CD122" s="447" t="s">
        <v>130</v>
      </c>
      <c r="CE122" s="447" t="str">
        <f t="shared" si="17"/>
        <v>Taurus - Earth</v>
      </c>
    </row>
    <row r="123" spans="79:83">
      <c r="CA123" s="446">
        <v>43952</v>
      </c>
      <c r="CB123" s="205" t="str">
        <f t="shared" si="18"/>
        <v>01-May</v>
      </c>
      <c r="CC123" s="205" t="s">
        <v>117</v>
      </c>
      <c r="CD123" s="447" t="s">
        <v>130</v>
      </c>
      <c r="CE123" s="447" t="str">
        <f t="shared" si="17"/>
        <v>Taurus - Earth</v>
      </c>
    </row>
    <row r="124" spans="79:83">
      <c r="CA124" s="446">
        <v>43953</v>
      </c>
      <c r="CB124" s="205" t="str">
        <f t="shared" si="18"/>
        <v>02-May</v>
      </c>
      <c r="CC124" s="205" t="s">
        <v>117</v>
      </c>
      <c r="CD124" s="447" t="s">
        <v>130</v>
      </c>
      <c r="CE124" s="447" t="str">
        <f t="shared" si="17"/>
        <v>Taurus - Earth</v>
      </c>
    </row>
    <row r="125" spans="79:83">
      <c r="CA125" s="446">
        <v>43954</v>
      </c>
      <c r="CB125" s="205" t="str">
        <f t="shared" si="18"/>
        <v>03-May</v>
      </c>
      <c r="CC125" s="205" t="s">
        <v>117</v>
      </c>
      <c r="CD125" s="447" t="s">
        <v>130</v>
      </c>
      <c r="CE125" s="447" t="str">
        <f t="shared" si="17"/>
        <v>Taurus - Earth</v>
      </c>
    </row>
    <row r="126" spans="79:83">
      <c r="CA126" s="446">
        <v>43955</v>
      </c>
      <c r="CB126" s="205" t="str">
        <f t="shared" si="18"/>
        <v>04-May</v>
      </c>
      <c r="CC126" s="205" t="s">
        <v>117</v>
      </c>
      <c r="CD126" s="447" t="s">
        <v>130</v>
      </c>
      <c r="CE126" s="447" t="str">
        <f t="shared" si="17"/>
        <v>Taurus - Earth</v>
      </c>
    </row>
    <row r="127" spans="79:83">
      <c r="CA127" s="446">
        <v>43956</v>
      </c>
      <c r="CB127" s="205" t="str">
        <f t="shared" si="18"/>
        <v>05-May</v>
      </c>
      <c r="CC127" s="205" t="s">
        <v>117</v>
      </c>
      <c r="CD127" s="447" t="s">
        <v>130</v>
      </c>
      <c r="CE127" s="447" t="str">
        <f t="shared" si="17"/>
        <v>Taurus - Earth</v>
      </c>
    </row>
    <row r="128" spans="79:83">
      <c r="CA128" s="446">
        <v>43957</v>
      </c>
      <c r="CB128" s="205" t="str">
        <f t="shared" si="18"/>
        <v>06-May</v>
      </c>
      <c r="CC128" s="205" t="s">
        <v>117</v>
      </c>
      <c r="CD128" s="447" t="s">
        <v>130</v>
      </c>
      <c r="CE128" s="447" t="str">
        <f t="shared" si="17"/>
        <v>Taurus - Earth</v>
      </c>
    </row>
    <row r="129" spans="79:83">
      <c r="CA129" s="446">
        <v>43958</v>
      </c>
      <c r="CB129" s="205" t="str">
        <f t="shared" si="18"/>
        <v>07-May</v>
      </c>
      <c r="CC129" s="205" t="s">
        <v>117</v>
      </c>
      <c r="CD129" s="447" t="s">
        <v>130</v>
      </c>
      <c r="CE129" s="447" t="str">
        <f t="shared" ref="CE129:CE192" si="19">CC129&amp;" - "&amp;CD129</f>
        <v>Taurus - Earth</v>
      </c>
    </row>
    <row r="130" spans="79:83">
      <c r="CA130" s="446">
        <v>43959</v>
      </c>
      <c r="CB130" s="205" t="str">
        <f t="shared" si="18"/>
        <v>08-May</v>
      </c>
      <c r="CC130" s="205" t="s">
        <v>117</v>
      </c>
      <c r="CD130" s="447" t="s">
        <v>130</v>
      </c>
      <c r="CE130" s="447" t="str">
        <f t="shared" si="19"/>
        <v>Taurus - Earth</v>
      </c>
    </row>
    <row r="131" spans="79:83">
      <c r="CA131" s="446">
        <v>43960</v>
      </c>
      <c r="CB131" s="205" t="str">
        <f t="shared" ref="CB131:CB194" si="20">TEXT(CA131,"DD-MMM")</f>
        <v>09-May</v>
      </c>
      <c r="CC131" s="205" t="s">
        <v>117</v>
      </c>
      <c r="CD131" s="447" t="s">
        <v>130</v>
      </c>
      <c r="CE131" s="447" t="str">
        <f t="shared" si="19"/>
        <v>Taurus - Earth</v>
      </c>
    </row>
    <row r="132" spans="79:83">
      <c r="CA132" s="446">
        <v>43961</v>
      </c>
      <c r="CB132" s="205" t="str">
        <f t="shared" si="20"/>
        <v>10-May</v>
      </c>
      <c r="CC132" s="205" t="s">
        <v>117</v>
      </c>
      <c r="CD132" s="447" t="s">
        <v>130</v>
      </c>
      <c r="CE132" s="447" t="str">
        <f t="shared" si="19"/>
        <v>Taurus - Earth</v>
      </c>
    </row>
    <row r="133" spans="79:83">
      <c r="CA133" s="446">
        <v>43962</v>
      </c>
      <c r="CB133" s="205" t="str">
        <f t="shared" si="20"/>
        <v>11-May</v>
      </c>
      <c r="CC133" s="205" t="s">
        <v>117</v>
      </c>
      <c r="CD133" s="447" t="s">
        <v>130</v>
      </c>
      <c r="CE133" s="447" t="str">
        <f t="shared" si="19"/>
        <v>Taurus - Earth</v>
      </c>
    </row>
    <row r="134" spans="79:83">
      <c r="CA134" s="446">
        <v>43963</v>
      </c>
      <c r="CB134" s="205" t="str">
        <f t="shared" si="20"/>
        <v>12-May</v>
      </c>
      <c r="CC134" s="205" t="s">
        <v>117</v>
      </c>
      <c r="CD134" s="447" t="s">
        <v>130</v>
      </c>
      <c r="CE134" s="447" t="str">
        <f t="shared" si="19"/>
        <v>Taurus - Earth</v>
      </c>
    </row>
    <row r="135" spans="79:83">
      <c r="CA135" s="446">
        <v>43964</v>
      </c>
      <c r="CB135" s="205" t="str">
        <f t="shared" si="20"/>
        <v>13-May</v>
      </c>
      <c r="CC135" s="205" t="s">
        <v>117</v>
      </c>
      <c r="CD135" s="447" t="s">
        <v>130</v>
      </c>
      <c r="CE135" s="447" t="str">
        <f t="shared" si="19"/>
        <v>Taurus - Earth</v>
      </c>
    </row>
    <row r="136" spans="79:83">
      <c r="CA136" s="446">
        <v>43965</v>
      </c>
      <c r="CB136" s="205" t="str">
        <f t="shared" si="20"/>
        <v>14-May</v>
      </c>
      <c r="CC136" s="205" t="s">
        <v>117</v>
      </c>
      <c r="CD136" s="447" t="s">
        <v>130</v>
      </c>
      <c r="CE136" s="447" t="str">
        <f t="shared" si="19"/>
        <v>Taurus - Earth</v>
      </c>
    </row>
    <row r="137" spans="79:83">
      <c r="CA137" s="446">
        <v>43966</v>
      </c>
      <c r="CB137" s="205" t="str">
        <f t="shared" si="20"/>
        <v>15-May</v>
      </c>
      <c r="CC137" s="205" t="s">
        <v>117</v>
      </c>
      <c r="CD137" s="447" t="s">
        <v>130</v>
      </c>
      <c r="CE137" s="447" t="str">
        <f t="shared" si="19"/>
        <v>Taurus - Earth</v>
      </c>
    </row>
    <row r="138" spans="79:83">
      <c r="CA138" s="446">
        <v>43967</v>
      </c>
      <c r="CB138" s="205" t="str">
        <f t="shared" si="20"/>
        <v>16-May</v>
      </c>
      <c r="CC138" s="205" t="s">
        <v>117</v>
      </c>
      <c r="CD138" s="447" t="s">
        <v>130</v>
      </c>
      <c r="CE138" s="447" t="str">
        <f t="shared" si="19"/>
        <v>Taurus - Earth</v>
      </c>
    </row>
    <row r="139" spans="79:83">
      <c r="CA139" s="446">
        <v>43968</v>
      </c>
      <c r="CB139" s="205" t="str">
        <f t="shared" si="20"/>
        <v>17-May</v>
      </c>
      <c r="CC139" s="205" t="s">
        <v>117</v>
      </c>
      <c r="CD139" s="447" t="s">
        <v>130</v>
      </c>
      <c r="CE139" s="447" t="str">
        <f t="shared" si="19"/>
        <v>Taurus - Earth</v>
      </c>
    </row>
    <row r="140" spans="79:83">
      <c r="CA140" s="446">
        <v>43969</v>
      </c>
      <c r="CB140" s="205" t="str">
        <f t="shared" si="20"/>
        <v>18-May</v>
      </c>
      <c r="CC140" s="205" t="s">
        <v>117</v>
      </c>
      <c r="CD140" s="447" t="s">
        <v>130</v>
      </c>
      <c r="CE140" s="447" t="str">
        <f t="shared" si="19"/>
        <v>Taurus - Earth</v>
      </c>
    </row>
    <row r="141" spans="79:83">
      <c r="CA141" s="446">
        <v>43970</v>
      </c>
      <c r="CB141" s="205" t="str">
        <f t="shared" si="20"/>
        <v>19-May</v>
      </c>
      <c r="CC141" s="205" t="s">
        <v>117</v>
      </c>
      <c r="CD141" s="447" t="s">
        <v>130</v>
      </c>
      <c r="CE141" s="447" t="str">
        <f t="shared" si="19"/>
        <v>Taurus - Earth</v>
      </c>
    </row>
    <row r="142" spans="79:83">
      <c r="CA142" s="446">
        <v>43971</v>
      </c>
      <c r="CB142" s="205" t="str">
        <f t="shared" si="20"/>
        <v>20-May</v>
      </c>
      <c r="CC142" s="205" t="s">
        <v>117</v>
      </c>
      <c r="CD142" s="447" t="s">
        <v>130</v>
      </c>
      <c r="CE142" s="447" t="str">
        <f t="shared" si="19"/>
        <v>Taurus - Earth</v>
      </c>
    </row>
    <row r="143" spans="79:83">
      <c r="CA143" s="446">
        <v>43972</v>
      </c>
      <c r="CB143" s="205" t="str">
        <f t="shared" si="20"/>
        <v>21-May</v>
      </c>
      <c r="CC143" s="205" t="s">
        <v>118</v>
      </c>
      <c r="CD143" s="447" t="s">
        <v>132</v>
      </c>
      <c r="CE143" s="447" t="str">
        <f t="shared" si="19"/>
        <v>Gemini - Air</v>
      </c>
    </row>
    <row r="144" spans="79:83">
      <c r="CA144" s="446">
        <v>43973</v>
      </c>
      <c r="CB144" s="205" t="str">
        <f t="shared" si="20"/>
        <v>22-May</v>
      </c>
      <c r="CC144" s="205" t="s">
        <v>118</v>
      </c>
      <c r="CD144" s="447" t="s">
        <v>132</v>
      </c>
      <c r="CE144" s="447" t="str">
        <f t="shared" si="19"/>
        <v>Gemini - Air</v>
      </c>
    </row>
    <row r="145" spans="79:83">
      <c r="CA145" s="446">
        <v>43974</v>
      </c>
      <c r="CB145" s="205" t="str">
        <f t="shared" si="20"/>
        <v>23-May</v>
      </c>
      <c r="CC145" s="205" t="s">
        <v>118</v>
      </c>
      <c r="CD145" s="447" t="s">
        <v>132</v>
      </c>
      <c r="CE145" s="447" t="str">
        <f t="shared" si="19"/>
        <v>Gemini - Air</v>
      </c>
    </row>
    <row r="146" spans="79:83">
      <c r="CA146" s="446">
        <v>43975</v>
      </c>
      <c r="CB146" s="205" t="str">
        <f t="shared" si="20"/>
        <v>24-May</v>
      </c>
      <c r="CC146" s="205" t="s">
        <v>118</v>
      </c>
      <c r="CD146" s="447" t="s">
        <v>132</v>
      </c>
      <c r="CE146" s="447" t="str">
        <f t="shared" si="19"/>
        <v>Gemini - Air</v>
      </c>
    </row>
    <row r="147" spans="79:83">
      <c r="CA147" s="446">
        <v>43976</v>
      </c>
      <c r="CB147" s="205" t="str">
        <f t="shared" si="20"/>
        <v>25-May</v>
      </c>
      <c r="CC147" s="205" t="s">
        <v>118</v>
      </c>
      <c r="CD147" s="447" t="s">
        <v>132</v>
      </c>
      <c r="CE147" s="447" t="str">
        <f t="shared" si="19"/>
        <v>Gemini - Air</v>
      </c>
    </row>
    <row r="148" spans="79:83">
      <c r="CA148" s="446">
        <v>43977</v>
      </c>
      <c r="CB148" s="205" t="str">
        <f t="shared" si="20"/>
        <v>26-May</v>
      </c>
      <c r="CC148" s="205" t="s">
        <v>118</v>
      </c>
      <c r="CD148" s="447" t="s">
        <v>132</v>
      </c>
      <c r="CE148" s="447" t="str">
        <f t="shared" si="19"/>
        <v>Gemini - Air</v>
      </c>
    </row>
    <row r="149" spans="79:83">
      <c r="CA149" s="446">
        <v>43978</v>
      </c>
      <c r="CB149" s="205" t="str">
        <f t="shared" si="20"/>
        <v>27-May</v>
      </c>
      <c r="CC149" s="205" t="s">
        <v>118</v>
      </c>
      <c r="CD149" s="447" t="s">
        <v>132</v>
      </c>
      <c r="CE149" s="447" t="str">
        <f t="shared" si="19"/>
        <v>Gemini - Air</v>
      </c>
    </row>
    <row r="150" spans="79:83">
      <c r="CA150" s="446">
        <v>43979</v>
      </c>
      <c r="CB150" s="205" t="str">
        <f t="shared" si="20"/>
        <v>28-May</v>
      </c>
      <c r="CC150" s="205" t="s">
        <v>118</v>
      </c>
      <c r="CD150" s="447" t="s">
        <v>132</v>
      </c>
      <c r="CE150" s="447" t="str">
        <f t="shared" si="19"/>
        <v>Gemini - Air</v>
      </c>
    </row>
    <row r="151" spans="79:83">
      <c r="CA151" s="446">
        <v>43980</v>
      </c>
      <c r="CB151" s="205" t="str">
        <f t="shared" si="20"/>
        <v>29-May</v>
      </c>
      <c r="CC151" s="205" t="s">
        <v>118</v>
      </c>
      <c r="CD151" s="447" t="s">
        <v>132</v>
      </c>
      <c r="CE151" s="447" t="str">
        <f t="shared" si="19"/>
        <v>Gemini - Air</v>
      </c>
    </row>
    <row r="152" spans="79:83">
      <c r="CA152" s="446">
        <v>43981</v>
      </c>
      <c r="CB152" s="205" t="str">
        <f t="shared" si="20"/>
        <v>30-May</v>
      </c>
      <c r="CC152" s="205" t="s">
        <v>118</v>
      </c>
      <c r="CD152" s="447" t="s">
        <v>132</v>
      </c>
      <c r="CE152" s="447" t="str">
        <f t="shared" si="19"/>
        <v>Gemini - Air</v>
      </c>
    </row>
    <row r="153" spans="79:83">
      <c r="CA153" s="446">
        <v>43982</v>
      </c>
      <c r="CB153" s="205" t="str">
        <f t="shared" si="20"/>
        <v>31-May</v>
      </c>
      <c r="CC153" s="205" t="s">
        <v>118</v>
      </c>
      <c r="CD153" s="447" t="s">
        <v>132</v>
      </c>
      <c r="CE153" s="447" t="str">
        <f t="shared" si="19"/>
        <v>Gemini - Air</v>
      </c>
    </row>
    <row r="154" spans="79:83">
      <c r="CA154" s="446">
        <v>43983</v>
      </c>
      <c r="CB154" s="205" t="str">
        <f t="shared" si="20"/>
        <v>01-Jun</v>
      </c>
      <c r="CC154" s="205" t="s">
        <v>118</v>
      </c>
      <c r="CD154" s="447" t="s">
        <v>132</v>
      </c>
      <c r="CE154" s="447" t="str">
        <f t="shared" si="19"/>
        <v>Gemini - Air</v>
      </c>
    </row>
    <row r="155" spans="79:83">
      <c r="CA155" s="446">
        <v>43984</v>
      </c>
      <c r="CB155" s="205" t="str">
        <f t="shared" si="20"/>
        <v>02-Jun</v>
      </c>
      <c r="CC155" s="205" t="s">
        <v>118</v>
      </c>
      <c r="CD155" s="447" t="s">
        <v>132</v>
      </c>
      <c r="CE155" s="447" t="str">
        <f t="shared" si="19"/>
        <v>Gemini - Air</v>
      </c>
    </row>
    <row r="156" spans="79:83">
      <c r="CA156" s="446">
        <v>43985</v>
      </c>
      <c r="CB156" s="205" t="str">
        <f t="shared" si="20"/>
        <v>03-Jun</v>
      </c>
      <c r="CC156" s="205" t="s">
        <v>118</v>
      </c>
      <c r="CD156" s="447" t="s">
        <v>132</v>
      </c>
      <c r="CE156" s="447" t="str">
        <f t="shared" si="19"/>
        <v>Gemini - Air</v>
      </c>
    </row>
    <row r="157" spans="79:83">
      <c r="CA157" s="446">
        <v>43986</v>
      </c>
      <c r="CB157" s="205" t="str">
        <f t="shared" si="20"/>
        <v>04-Jun</v>
      </c>
      <c r="CC157" s="205" t="s">
        <v>118</v>
      </c>
      <c r="CD157" s="447" t="s">
        <v>132</v>
      </c>
      <c r="CE157" s="447" t="str">
        <f t="shared" si="19"/>
        <v>Gemini - Air</v>
      </c>
    </row>
    <row r="158" spans="79:83">
      <c r="CA158" s="446">
        <v>43987</v>
      </c>
      <c r="CB158" s="205" t="str">
        <f t="shared" si="20"/>
        <v>05-Jun</v>
      </c>
      <c r="CC158" s="205" t="s">
        <v>118</v>
      </c>
      <c r="CD158" s="447" t="s">
        <v>132</v>
      </c>
      <c r="CE158" s="447" t="str">
        <f t="shared" si="19"/>
        <v>Gemini - Air</v>
      </c>
    </row>
    <row r="159" spans="79:83">
      <c r="CA159" s="446">
        <v>43988</v>
      </c>
      <c r="CB159" s="205" t="str">
        <f t="shared" si="20"/>
        <v>06-Jun</v>
      </c>
      <c r="CC159" s="205" t="s">
        <v>118</v>
      </c>
      <c r="CD159" s="447" t="s">
        <v>132</v>
      </c>
      <c r="CE159" s="447" t="str">
        <f t="shared" si="19"/>
        <v>Gemini - Air</v>
      </c>
    </row>
    <row r="160" spans="79:83">
      <c r="CA160" s="446">
        <v>43989</v>
      </c>
      <c r="CB160" s="205" t="str">
        <f t="shared" si="20"/>
        <v>07-Jun</v>
      </c>
      <c r="CC160" s="205" t="s">
        <v>118</v>
      </c>
      <c r="CD160" s="447" t="s">
        <v>132</v>
      </c>
      <c r="CE160" s="447" t="str">
        <f t="shared" si="19"/>
        <v>Gemini - Air</v>
      </c>
    </row>
    <row r="161" spans="79:83">
      <c r="CA161" s="446">
        <v>43990</v>
      </c>
      <c r="CB161" s="205" t="str">
        <f t="shared" si="20"/>
        <v>08-Jun</v>
      </c>
      <c r="CC161" s="205" t="s">
        <v>118</v>
      </c>
      <c r="CD161" s="447" t="s">
        <v>132</v>
      </c>
      <c r="CE161" s="447" t="str">
        <f t="shared" si="19"/>
        <v>Gemini - Air</v>
      </c>
    </row>
    <row r="162" spans="79:83">
      <c r="CA162" s="446">
        <v>43991</v>
      </c>
      <c r="CB162" s="205" t="str">
        <f t="shared" si="20"/>
        <v>09-Jun</v>
      </c>
      <c r="CC162" s="205" t="s">
        <v>118</v>
      </c>
      <c r="CD162" s="447" t="s">
        <v>132</v>
      </c>
      <c r="CE162" s="447" t="str">
        <f t="shared" si="19"/>
        <v>Gemini - Air</v>
      </c>
    </row>
    <row r="163" spans="79:83">
      <c r="CA163" s="446">
        <v>43992</v>
      </c>
      <c r="CB163" s="205" t="str">
        <f t="shared" si="20"/>
        <v>10-Jun</v>
      </c>
      <c r="CC163" s="205" t="s">
        <v>118</v>
      </c>
      <c r="CD163" s="447" t="s">
        <v>132</v>
      </c>
      <c r="CE163" s="447" t="str">
        <f t="shared" si="19"/>
        <v>Gemini - Air</v>
      </c>
    </row>
    <row r="164" spans="79:83">
      <c r="CA164" s="446">
        <v>43993</v>
      </c>
      <c r="CB164" s="205" t="str">
        <f t="shared" si="20"/>
        <v>11-Jun</v>
      </c>
      <c r="CC164" s="205" t="s">
        <v>118</v>
      </c>
      <c r="CD164" s="447" t="s">
        <v>132</v>
      </c>
      <c r="CE164" s="447" t="str">
        <f t="shared" si="19"/>
        <v>Gemini - Air</v>
      </c>
    </row>
    <row r="165" spans="79:83">
      <c r="CA165" s="446">
        <v>43994</v>
      </c>
      <c r="CB165" s="205" t="str">
        <f t="shared" si="20"/>
        <v>12-Jun</v>
      </c>
      <c r="CC165" s="205" t="s">
        <v>118</v>
      </c>
      <c r="CD165" s="447" t="s">
        <v>132</v>
      </c>
      <c r="CE165" s="447" t="str">
        <f t="shared" si="19"/>
        <v>Gemini - Air</v>
      </c>
    </row>
    <row r="166" spans="79:83">
      <c r="CA166" s="446">
        <v>43995</v>
      </c>
      <c r="CB166" s="205" t="str">
        <f t="shared" si="20"/>
        <v>13-Jun</v>
      </c>
      <c r="CC166" s="205" t="s">
        <v>118</v>
      </c>
      <c r="CD166" s="447" t="s">
        <v>132</v>
      </c>
      <c r="CE166" s="447" t="str">
        <f t="shared" si="19"/>
        <v>Gemini - Air</v>
      </c>
    </row>
    <row r="167" spans="79:83">
      <c r="CA167" s="446">
        <v>43996</v>
      </c>
      <c r="CB167" s="205" t="str">
        <f t="shared" si="20"/>
        <v>14-Jun</v>
      </c>
      <c r="CC167" s="205" t="s">
        <v>118</v>
      </c>
      <c r="CD167" s="447" t="s">
        <v>132</v>
      </c>
      <c r="CE167" s="447" t="str">
        <f t="shared" si="19"/>
        <v>Gemini - Air</v>
      </c>
    </row>
    <row r="168" spans="79:83">
      <c r="CA168" s="446">
        <v>43997</v>
      </c>
      <c r="CB168" s="205" t="str">
        <f t="shared" si="20"/>
        <v>15-Jun</v>
      </c>
      <c r="CC168" s="205" t="s">
        <v>118</v>
      </c>
      <c r="CD168" s="447" t="s">
        <v>132</v>
      </c>
      <c r="CE168" s="447" t="str">
        <f t="shared" si="19"/>
        <v>Gemini - Air</v>
      </c>
    </row>
    <row r="169" spans="79:83">
      <c r="CA169" s="446">
        <v>43998</v>
      </c>
      <c r="CB169" s="205" t="str">
        <f t="shared" si="20"/>
        <v>16-Jun</v>
      </c>
      <c r="CC169" s="205" t="s">
        <v>118</v>
      </c>
      <c r="CD169" s="447" t="s">
        <v>132</v>
      </c>
      <c r="CE169" s="447" t="str">
        <f t="shared" si="19"/>
        <v>Gemini - Air</v>
      </c>
    </row>
    <row r="170" spans="79:83">
      <c r="CA170" s="446">
        <v>43999</v>
      </c>
      <c r="CB170" s="205" t="str">
        <f t="shared" si="20"/>
        <v>17-Jun</v>
      </c>
      <c r="CC170" s="205" t="s">
        <v>118</v>
      </c>
      <c r="CD170" s="447" t="s">
        <v>132</v>
      </c>
      <c r="CE170" s="447" t="str">
        <f t="shared" si="19"/>
        <v>Gemini - Air</v>
      </c>
    </row>
    <row r="171" spans="79:83">
      <c r="CA171" s="446">
        <v>44000</v>
      </c>
      <c r="CB171" s="205" t="str">
        <f t="shared" si="20"/>
        <v>18-Jun</v>
      </c>
      <c r="CC171" s="205" t="s">
        <v>118</v>
      </c>
      <c r="CD171" s="447" t="s">
        <v>132</v>
      </c>
      <c r="CE171" s="447" t="str">
        <f t="shared" si="19"/>
        <v>Gemini - Air</v>
      </c>
    </row>
    <row r="172" spans="79:83">
      <c r="CA172" s="446">
        <v>44001</v>
      </c>
      <c r="CB172" s="205" t="str">
        <f t="shared" si="20"/>
        <v>19-Jun</v>
      </c>
      <c r="CC172" s="205" t="s">
        <v>118</v>
      </c>
      <c r="CD172" s="447" t="s">
        <v>132</v>
      </c>
      <c r="CE172" s="447" t="str">
        <f t="shared" si="19"/>
        <v>Gemini - Air</v>
      </c>
    </row>
    <row r="173" spans="79:83">
      <c r="CA173" s="446">
        <v>44002</v>
      </c>
      <c r="CB173" s="205" t="str">
        <f t="shared" si="20"/>
        <v>20-Jun</v>
      </c>
      <c r="CC173" s="205" t="s">
        <v>118</v>
      </c>
      <c r="CD173" s="447" t="s">
        <v>132</v>
      </c>
      <c r="CE173" s="447" t="str">
        <f t="shared" si="19"/>
        <v>Gemini - Air</v>
      </c>
    </row>
    <row r="174" spans="79:83">
      <c r="CA174" s="446">
        <v>44003</v>
      </c>
      <c r="CB174" s="205" t="str">
        <f t="shared" si="20"/>
        <v>21-Jun</v>
      </c>
      <c r="CC174" s="205" t="s">
        <v>119</v>
      </c>
      <c r="CD174" s="447" t="s">
        <v>131</v>
      </c>
      <c r="CE174" s="447" t="str">
        <f t="shared" si="19"/>
        <v>Cancer - Water</v>
      </c>
    </row>
    <row r="175" spans="79:83">
      <c r="CA175" s="446">
        <v>44004</v>
      </c>
      <c r="CB175" s="205" t="str">
        <f t="shared" si="20"/>
        <v>22-Jun</v>
      </c>
      <c r="CC175" s="205" t="s">
        <v>119</v>
      </c>
      <c r="CD175" s="447" t="s">
        <v>131</v>
      </c>
      <c r="CE175" s="447" t="str">
        <f t="shared" si="19"/>
        <v>Cancer - Water</v>
      </c>
    </row>
    <row r="176" spans="79:83">
      <c r="CA176" s="446">
        <v>44005</v>
      </c>
      <c r="CB176" s="205" t="str">
        <f t="shared" si="20"/>
        <v>23-Jun</v>
      </c>
      <c r="CC176" s="205" t="s">
        <v>119</v>
      </c>
      <c r="CD176" s="447" t="s">
        <v>131</v>
      </c>
      <c r="CE176" s="447" t="str">
        <f t="shared" si="19"/>
        <v>Cancer - Water</v>
      </c>
    </row>
    <row r="177" spans="79:83">
      <c r="CA177" s="446">
        <v>44006</v>
      </c>
      <c r="CB177" s="205" t="str">
        <f t="shared" si="20"/>
        <v>24-Jun</v>
      </c>
      <c r="CC177" s="205" t="s">
        <v>119</v>
      </c>
      <c r="CD177" s="447" t="s">
        <v>131</v>
      </c>
      <c r="CE177" s="447" t="str">
        <f t="shared" si="19"/>
        <v>Cancer - Water</v>
      </c>
    </row>
    <row r="178" spans="79:83">
      <c r="CA178" s="446">
        <v>44007</v>
      </c>
      <c r="CB178" s="205" t="str">
        <f t="shared" si="20"/>
        <v>25-Jun</v>
      </c>
      <c r="CC178" s="205" t="s">
        <v>119</v>
      </c>
      <c r="CD178" s="447" t="s">
        <v>131</v>
      </c>
      <c r="CE178" s="447" t="str">
        <f t="shared" si="19"/>
        <v>Cancer - Water</v>
      </c>
    </row>
    <row r="179" spans="79:83">
      <c r="CA179" s="446">
        <v>44008</v>
      </c>
      <c r="CB179" s="205" t="str">
        <f t="shared" si="20"/>
        <v>26-Jun</v>
      </c>
      <c r="CC179" s="205" t="s">
        <v>119</v>
      </c>
      <c r="CD179" s="447" t="s">
        <v>131</v>
      </c>
      <c r="CE179" s="447" t="str">
        <f t="shared" si="19"/>
        <v>Cancer - Water</v>
      </c>
    </row>
    <row r="180" spans="79:83">
      <c r="CA180" s="446">
        <v>44009</v>
      </c>
      <c r="CB180" s="205" t="str">
        <f t="shared" si="20"/>
        <v>27-Jun</v>
      </c>
      <c r="CC180" s="205" t="s">
        <v>119</v>
      </c>
      <c r="CD180" s="447" t="s">
        <v>131</v>
      </c>
      <c r="CE180" s="447" t="str">
        <f t="shared" si="19"/>
        <v>Cancer - Water</v>
      </c>
    </row>
    <row r="181" spans="79:83">
      <c r="CA181" s="446">
        <v>44010</v>
      </c>
      <c r="CB181" s="205" t="str">
        <f t="shared" si="20"/>
        <v>28-Jun</v>
      </c>
      <c r="CC181" s="205" t="s">
        <v>119</v>
      </c>
      <c r="CD181" s="447" t="s">
        <v>131</v>
      </c>
      <c r="CE181" s="447" t="str">
        <f t="shared" si="19"/>
        <v>Cancer - Water</v>
      </c>
    </row>
    <row r="182" spans="79:83">
      <c r="CA182" s="446">
        <v>44011</v>
      </c>
      <c r="CB182" s="205" t="str">
        <f t="shared" si="20"/>
        <v>29-Jun</v>
      </c>
      <c r="CC182" s="205" t="s">
        <v>119</v>
      </c>
      <c r="CD182" s="447" t="s">
        <v>131</v>
      </c>
      <c r="CE182" s="447" t="str">
        <f t="shared" si="19"/>
        <v>Cancer - Water</v>
      </c>
    </row>
    <row r="183" spans="79:83">
      <c r="CA183" s="446">
        <v>44012</v>
      </c>
      <c r="CB183" s="205" t="str">
        <f t="shared" si="20"/>
        <v>30-Jun</v>
      </c>
      <c r="CC183" s="205" t="s">
        <v>119</v>
      </c>
      <c r="CD183" s="447" t="s">
        <v>131</v>
      </c>
      <c r="CE183" s="447" t="str">
        <f t="shared" si="19"/>
        <v>Cancer - Water</v>
      </c>
    </row>
    <row r="184" spans="79:83">
      <c r="CA184" s="446">
        <v>44013</v>
      </c>
      <c r="CB184" s="205" t="str">
        <f t="shared" si="20"/>
        <v>01-Jul</v>
      </c>
      <c r="CC184" s="205" t="s">
        <v>119</v>
      </c>
      <c r="CD184" s="447" t="s">
        <v>131</v>
      </c>
      <c r="CE184" s="447" t="str">
        <f t="shared" si="19"/>
        <v>Cancer - Water</v>
      </c>
    </row>
    <row r="185" spans="79:83">
      <c r="CA185" s="446">
        <v>44014</v>
      </c>
      <c r="CB185" s="205" t="str">
        <f t="shared" si="20"/>
        <v>02-Jul</v>
      </c>
      <c r="CC185" s="205" t="s">
        <v>119</v>
      </c>
      <c r="CD185" s="447" t="s">
        <v>131</v>
      </c>
      <c r="CE185" s="447" t="str">
        <f t="shared" si="19"/>
        <v>Cancer - Water</v>
      </c>
    </row>
    <row r="186" spans="79:83">
      <c r="CA186" s="446">
        <v>44015</v>
      </c>
      <c r="CB186" s="205" t="str">
        <f t="shared" si="20"/>
        <v>03-Jul</v>
      </c>
      <c r="CC186" s="205" t="s">
        <v>119</v>
      </c>
      <c r="CD186" s="447" t="s">
        <v>131</v>
      </c>
      <c r="CE186" s="447" t="str">
        <f t="shared" si="19"/>
        <v>Cancer - Water</v>
      </c>
    </row>
    <row r="187" spans="79:83">
      <c r="CA187" s="446">
        <v>44016</v>
      </c>
      <c r="CB187" s="205" t="str">
        <f t="shared" si="20"/>
        <v>04-Jul</v>
      </c>
      <c r="CC187" s="205" t="s">
        <v>119</v>
      </c>
      <c r="CD187" s="447" t="s">
        <v>131</v>
      </c>
      <c r="CE187" s="447" t="str">
        <f t="shared" si="19"/>
        <v>Cancer - Water</v>
      </c>
    </row>
    <row r="188" spans="79:83">
      <c r="CA188" s="446">
        <v>44017</v>
      </c>
      <c r="CB188" s="205" t="str">
        <f t="shared" si="20"/>
        <v>05-Jul</v>
      </c>
      <c r="CC188" s="205" t="s">
        <v>119</v>
      </c>
      <c r="CD188" s="447" t="s">
        <v>131</v>
      </c>
      <c r="CE188" s="447" t="str">
        <f t="shared" si="19"/>
        <v>Cancer - Water</v>
      </c>
    </row>
    <row r="189" spans="79:83">
      <c r="CA189" s="446">
        <v>44018</v>
      </c>
      <c r="CB189" s="205" t="str">
        <f t="shared" si="20"/>
        <v>06-Jul</v>
      </c>
      <c r="CC189" s="205" t="s">
        <v>119</v>
      </c>
      <c r="CD189" s="447" t="s">
        <v>131</v>
      </c>
      <c r="CE189" s="447" t="str">
        <f t="shared" si="19"/>
        <v>Cancer - Water</v>
      </c>
    </row>
    <row r="190" spans="79:83">
      <c r="CA190" s="446">
        <v>44019</v>
      </c>
      <c r="CB190" s="205" t="str">
        <f t="shared" si="20"/>
        <v>07-Jul</v>
      </c>
      <c r="CC190" s="205" t="s">
        <v>119</v>
      </c>
      <c r="CD190" s="447" t="s">
        <v>131</v>
      </c>
      <c r="CE190" s="447" t="str">
        <f t="shared" si="19"/>
        <v>Cancer - Water</v>
      </c>
    </row>
    <row r="191" spans="79:83">
      <c r="CA191" s="446">
        <v>44020</v>
      </c>
      <c r="CB191" s="205" t="str">
        <f t="shared" si="20"/>
        <v>08-Jul</v>
      </c>
      <c r="CC191" s="205" t="s">
        <v>119</v>
      </c>
      <c r="CD191" s="447" t="s">
        <v>131</v>
      </c>
      <c r="CE191" s="447" t="str">
        <f t="shared" si="19"/>
        <v>Cancer - Water</v>
      </c>
    </row>
    <row r="192" spans="79:83">
      <c r="CA192" s="446">
        <v>44021</v>
      </c>
      <c r="CB192" s="205" t="str">
        <f t="shared" si="20"/>
        <v>09-Jul</v>
      </c>
      <c r="CC192" s="205" t="s">
        <v>119</v>
      </c>
      <c r="CD192" s="447" t="s">
        <v>131</v>
      </c>
      <c r="CE192" s="447" t="str">
        <f t="shared" si="19"/>
        <v>Cancer - Water</v>
      </c>
    </row>
    <row r="193" spans="79:83">
      <c r="CA193" s="446">
        <v>44022</v>
      </c>
      <c r="CB193" s="205" t="str">
        <f t="shared" si="20"/>
        <v>10-Jul</v>
      </c>
      <c r="CC193" s="205" t="s">
        <v>119</v>
      </c>
      <c r="CD193" s="447" t="s">
        <v>131</v>
      </c>
      <c r="CE193" s="447" t="str">
        <f t="shared" ref="CE193:CE256" si="21">CC193&amp;" - "&amp;CD193</f>
        <v>Cancer - Water</v>
      </c>
    </row>
    <row r="194" spans="79:83">
      <c r="CA194" s="446">
        <v>44023</v>
      </c>
      <c r="CB194" s="205" t="str">
        <f t="shared" si="20"/>
        <v>11-Jul</v>
      </c>
      <c r="CC194" s="205" t="s">
        <v>119</v>
      </c>
      <c r="CD194" s="447" t="s">
        <v>131</v>
      </c>
      <c r="CE194" s="447" t="str">
        <f t="shared" si="21"/>
        <v>Cancer - Water</v>
      </c>
    </row>
    <row r="195" spans="79:83">
      <c r="CA195" s="446">
        <v>44024</v>
      </c>
      <c r="CB195" s="205" t="str">
        <f t="shared" ref="CB195:CB258" si="22">TEXT(CA195,"DD-MMM")</f>
        <v>12-Jul</v>
      </c>
      <c r="CC195" s="205" t="s">
        <v>119</v>
      </c>
      <c r="CD195" s="447" t="s">
        <v>131</v>
      </c>
      <c r="CE195" s="447" t="str">
        <f t="shared" si="21"/>
        <v>Cancer - Water</v>
      </c>
    </row>
    <row r="196" spans="79:83">
      <c r="CA196" s="446">
        <v>44025</v>
      </c>
      <c r="CB196" s="205" t="str">
        <f t="shared" si="22"/>
        <v>13-Jul</v>
      </c>
      <c r="CC196" s="205" t="s">
        <v>119</v>
      </c>
      <c r="CD196" s="447" t="s">
        <v>131</v>
      </c>
      <c r="CE196" s="447" t="str">
        <f t="shared" si="21"/>
        <v>Cancer - Water</v>
      </c>
    </row>
    <row r="197" spans="79:83">
      <c r="CA197" s="446">
        <v>44026</v>
      </c>
      <c r="CB197" s="205" t="str">
        <f t="shared" si="22"/>
        <v>14-Jul</v>
      </c>
      <c r="CC197" s="205" t="s">
        <v>119</v>
      </c>
      <c r="CD197" s="447" t="s">
        <v>131</v>
      </c>
      <c r="CE197" s="447" t="str">
        <f t="shared" si="21"/>
        <v>Cancer - Water</v>
      </c>
    </row>
    <row r="198" spans="79:83">
      <c r="CA198" s="446">
        <v>44027</v>
      </c>
      <c r="CB198" s="205" t="str">
        <f t="shared" si="22"/>
        <v>15-Jul</v>
      </c>
      <c r="CC198" s="205" t="s">
        <v>119</v>
      </c>
      <c r="CD198" s="447" t="s">
        <v>131</v>
      </c>
      <c r="CE198" s="447" t="str">
        <f t="shared" si="21"/>
        <v>Cancer - Water</v>
      </c>
    </row>
    <row r="199" spans="79:83">
      <c r="CA199" s="446">
        <v>44028</v>
      </c>
      <c r="CB199" s="205" t="str">
        <f t="shared" si="22"/>
        <v>16-Jul</v>
      </c>
      <c r="CC199" s="205" t="s">
        <v>119</v>
      </c>
      <c r="CD199" s="447" t="s">
        <v>131</v>
      </c>
      <c r="CE199" s="447" t="str">
        <f t="shared" si="21"/>
        <v>Cancer - Water</v>
      </c>
    </row>
    <row r="200" spans="79:83">
      <c r="CA200" s="446">
        <v>44029</v>
      </c>
      <c r="CB200" s="205" t="str">
        <f t="shared" si="22"/>
        <v>17-Jul</v>
      </c>
      <c r="CC200" s="205" t="s">
        <v>119</v>
      </c>
      <c r="CD200" s="447" t="s">
        <v>131</v>
      </c>
      <c r="CE200" s="447" t="str">
        <f t="shared" si="21"/>
        <v>Cancer - Water</v>
      </c>
    </row>
    <row r="201" spans="79:83">
      <c r="CA201" s="446">
        <v>44030</v>
      </c>
      <c r="CB201" s="205" t="str">
        <f t="shared" si="22"/>
        <v>18-Jul</v>
      </c>
      <c r="CC201" s="205" t="s">
        <v>119</v>
      </c>
      <c r="CD201" s="447" t="s">
        <v>131</v>
      </c>
      <c r="CE201" s="447" t="str">
        <f t="shared" si="21"/>
        <v>Cancer - Water</v>
      </c>
    </row>
    <row r="202" spans="79:83">
      <c r="CA202" s="446">
        <v>44031</v>
      </c>
      <c r="CB202" s="205" t="str">
        <f t="shared" si="22"/>
        <v>19-Jul</v>
      </c>
      <c r="CC202" s="205" t="s">
        <v>119</v>
      </c>
      <c r="CD202" s="447" t="s">
        <v>131</v>
      </c>
      <c r="CE202" s="447" t="str">
        <f t="shared" si="21"/>
        <v>Cancer - Water</v>
      </c>
    </row>
    <row r="203" spans="79:83">
      <c r="CA203" s="446">
        <v>44032</v>
      </c>
      <c r="CB203" s="205" t="str">
        <f t="shared" si="22"/>
        <v>20-Jul</v>
      </c>
      <c r="CC203" s="205" t="s">
        <v>119</v>
      </c>
      <c r="CD203" s="447" t="s">
        <v>131</v>
      </c>
      <c r="CE203" s="447" t="str">
        <f t="shared" si="21"/>
        <v>Cancer - Water</v>
      </c>
    </row>
    <row r="204" spans="79:83">
      <c r="CA204" s="446">
        <v>44033</v>
      </c>
      <c r="CB204" s="205" t="str">
        <f t="shared" si="22"/>
        <v>21-Jul</v>
      </c>
      <c r="CC204" s="205" t="s">
        <v>119</v>
      </c>
      <c r="CD204" s="447" t="s">
        <v>131</v>
      </c>
      <c r="CE204" s="447" t="str">
        <f t="shared" si="21"/>
        <v>Cancer - Water</v>
      </c>
    </row>
    <row r="205" spans="79:83">
      <c r="CA205" s="446">
        <v>44034</v>
      </c>
      <c r="CB205" s="205" t="str">
        <f t="shared" si="22"/>
        <v>22-Jul</v>
      </c>
      <c r="CC205" s="205" t="s">
        <v>119</v>
      </c>
      <c r="CD205" s="447" t="s">
        <v>131</v>
      </c>
      <c r="CE205" s="447" t="str">
        <f t="shared" si="21"/>
        <v>Cancer - Water</v>
      </c>
    </row>
    <row r="206" spans="79:83">
      <c r="CA206" s="446">
        <v>44035</v>
      </c>
      <c r="CB206" s="205" t="str">
        <f t="shared" si="22"/>
        <v>23-Jul</v>
      </c>
      <c r="CC206" s="205" t="s">
        <v>120</v>
      </c>
      <c r="CD206" s="447" t="s">
        <v>129</v>
      </c>
      <c r="CE206" s="447" t="str">
        <f t="shared" si="21"/>
        <v>Leo - Fire</v>
      </c>
    </row>
    <row r="207" spans="79:83">
      <c r="CA207" s="446">
        <v>44036</v>
      </c>
      <c r="CB207" s="205" t="str">
        <f t="shared" si="22"/>
        <v>24-Jul</v>
      </c>
      <c r="CC207" s="205" t="s">
        <v>120</v>
      </c>
      <c r="CD207" s="447" t="s">
        <v>129</v>
      </c>
      <c r="CE207" s="447" t="str">
        <f t="shared" si="21"/>
        <v>Leo - Fire</v>
      </c>
    </row>
    <row r="208" spans="79:83">
      <c r="CA208" s="446">
        <v>44037</v>
      </c>
      <c r="CB208" s="205" t="str">
        <f t="shared" si="22"/>
        <v>25-Jul</v>
      </c>
      <c r="CC208" s="205" t="s">
        <v>120</v>
      </c>
      <c r="CD208" s="447" t="s">
        <v>129</v>
      </c>
      <c r="CE208" s="447" t="str">
        <f t="shared" si="21"/>
        <v>Leo - Fire</v>
      </c>
    </row>
    <row r="209" spans="79:83">
      <c r="CA209" s="446">
        <v>44038</v>
      </c>
      <c r="CB209" s="205" t="str">
        <f t="shared" si="22"/>
        <v>26-Jul</v>
      </c>
      <c r="CC209" s="205" t="s">
        <v>120</v>
      </c>
      <c r="CD209" s="447" t="s">
        <v>129</v>
      </c>
      <c r="CE209" s="447" t="str">
        <f t="shared" si="21"/>
        <v>Leo - Fire</v>
      </c>
    </row>
    <row r="210" spans="79:83">
      <c r="CA210" s="446">
        <v>44039</v>
      </c>
      <c r="CB210" s="205" t="str">
        <f t="shared" si="22"/>
        <v>27-Jul</v>
      </c>
      <c r="CC210" s="205" t="s">
        <v>120</v>
      </c>
      <c r="CD210" s="447" t="s">
        <v>129</v>
      </c>
      <c r="CE210" s="447" t="str">
        <f t="shared" si="21"/>
        <v>Leo - Fire</v>
      </c>
    </row>
    <row r="211" spans="79:83">
      <c r="CA211" s="446">
        <v>44040</v>
      </c>
      <c r="CB211" s="205" t="str">
        <f t="shared" si="22"/>
        <v>28-Jul</v>
      </c>
      <c r="CC211" s="205" t="s">
        <v>120</v>
      </c>
      <c r="CD211" s="447" t="s">
        <v>129</v>
      </c>
      <c r="CE211" s="447" t="str">
        <f t="shared" si="21"/>
        <v>Leo - Fire</v>
      </c>
    </row>
    <row r="212" spans="79:83">
      <c r="CA212" s="446">
        <v>44041</v>
      </c>
      <c r="CB212" s="205" t="str">
        <f t="shared" si="22"/>
        <v>29-Jul</v>
      </c>
      <c r="CC212" s="205" t="s">
        <v>120</v>
      </c>
      <c r="CD212" s="447" t="s">
        <v>129</v>
      </c>
      <c r="CE212" s="447" t="str">
        <f t="shared" si="21"/>
        <v>Leo - Fire</v>
      </c>
    </row>
    <row r="213" spans="79:83">
      <c r="CA213" s="446">
        <v>44042</v>
      </c>
      <c r="CB213" s="205" t="str">
        <f t="shared" si="22"/>
        <v>30-Jul</v>
      </c>
      <c r="CC213" s="205" t="s">
        <v>120</v>
      </c>
      <c r="CD213" s="447" t="s">
        <v>129</v>
      </c>
      <c r="CE213" s="447" t="str">
        <f t="shared" si="21"/>
        <v>Leo - Fire</v>
      </c>
    </row>
    <row r="214" spans="79:83">
      <c r="CA214" s="446">
        <v>44043</v>
      </c>
      <c r="CB214" s="205" t="str">
        <f t="shared" si="22"/>
        <v>31-Jul</v>
      </c>
      <c r="CC214" s="205" t="s">
        <v>120</v>
      </c>
      <c r="CD214" s="447" t="s">
        <v>129</v>
      </c>
      <c r="CE214" s="447" t="str">
        <f t="shared" si="21"/>
        <v>Leo - Fire</v>
      </c>
    </row>
    <row r="215" spans="79:83">
      <c r="CA215" s="446">
        <v>44044</v>
      </c>
      <c r="CB215" s="205" t="str">
        <f t="shared" si="22"/>
        <v>01-Aug</v>
      </c>
      <c r="CC215" s="205" t="s">
        <v>120</v>
      </c>
      <c r="CD215" s="447" t="s">
        <v>129</v>
      </c>
      <c r="CE215" s="447" t="str">
        <f t="shared" si="21"/>
        <v>Leo - Fire</v>
      </c>
    </row>
    <row r="216" spans="79:83">
      <c r="CA216" s="446">
        <v>44045</v>
      </c>
      <c r="CB216" s="205" t="str">
        <f t="shared" si="22"/>
        <v>02-Aug</v>
      </c>
      <c r="CC216" s="205" t="s">
        <v>120</v>
      </c>
      <c r="CD216" s="447" t="s">
        <v>129</v>
      </c>
      <c r="CE216" s="447" t="str">
        <f t="shared" si="21"/>
        <v>Leo - Fire</v>
      </c>
    </row>
    <row r="217" spans="79:83">
      <c r="CA217" s="446">
        <v>44046</v>
      </c>
      <c r="CB217" s="205" t="str">
        <f t="shared" si="22"/>
        <v>03-Aug</v>
      </c>
      <c r="CC217" s="205" t="s">
        <v>120</v>
      </c>
      <c r="CD217" s="447" t="s">
        <v>129</v>
      </c>
      <c r="CE217" s="447" t="str">
        <f t="shared" si="21"/>
        <v>Leo - Fire</v>
      </c>
    </row>
    <row r="218" spans="79:83">
      <c r="CA218" s="446">
        <v>44047</v>
      </c>
      <c r="CB218" s="205" t="str">
        <f t="shared" si="22"/>
        <v>04-Aug</v>
      </c>
      <c r="CC218" s="205" t="s">
        <v>120</v>
      </c>
      <c r="CD218" s="447" t="s">
        <v>129</v>
      </c>
      <c r="CE218" s="447" t="str">
        <f t="shared" si="21"/>
        <v>Leo - Fire</v>
      </c>
    </row>
    <row r="219" spans="79:83">
      <c r="CA219" s="446">
        <v>44048</v>
      </c>
      <c r="CB219" s="205" t="str">
        <f t="shared" si="22"/>
        <v>05-Aug</v>
      </c>
      <c r="CC219" s="205" t="s">
        <v>120</v>
      </c>
      <c r="CD219" s="447" t="s">
        <v>129</v>
      </c>
      <c r="CE219" s="447" t="str">
        <f t="shared" si="21"/>
        <v>Leo - Fire</v>
      </c>
    </row>
    <row r="220" spans="79:83">
      <c r="CA220" s="446">
        <v>44049</v>
      </c>
      <c r="CB220" s="205" t="str">
        <f t="shared" si="22"/>
        <v>06-Aug</v>
      </c>
      <c r="CC220" s="205" t="s">
        <v>120</v>
      </c>
      <c r="CD220" s="447" t="s">
        <v>129</v>
      </c>
      <c r="CE220" s="447" t="str">
        <f t="shared" si="21"/>
        <v>Leo - Fire</v>
      </c>
    </row>
    <row r="221" spans="79:83">
      <c r="CA221" s="446">
        <v>44050</v>
      </c>
      <c r="CB221" s="205" t="str">
        <f t="shared" si="22"/>
        <v>07-Aug</v>
      </c>
      <c r="CC221" s="205" t="s">
        <v>120</v>
      </c>
      <c r="CD221" s="447" t="s">
        <v>129</v>
      </c>
      <c r="CE221" s="447" t="str">
        <f t="shared" si="21"/>
        <v>Leo - Fire</v>
      </c>
    </row>
    <row r="222" spans="79:83">
      <c r="CA222" s="446">
        <v>44051</v>
      </c>
      <c r="CB222" s="205" t="str">
        <f t="shared" si="22"/>
        <v>08-Aug</v>
      </c>
      <c r="CC222" s="205" t="s">
        <v>120</v>
      </c>
      <c r="CD222" s="447" t="s">
        <v>129</v>
      </c>
      <c r="CE222" s="447" t="str">
        <f t="shared" si="21"/>
        <v>Leo - Fire</v>
      </c>
    </row>
    <row r="223" spans="79:83">
      <c r="CA223" s="446">
        <v>44052</v>
      </c>
      <c r="CB223" s="205" t="str">
        <f t="shared" si="22"/>
        <v>09-Aug</v>
      </c>
      <c r="CC223" s="205" t="s">
        <v>120</v>
      </c>
      <c r="CD223" s="447" t="s">
        <v>129</v>
      </c>
      <c r="CE223" s="447" t="str">
        <f t="shared" si="21"/>
        <v>Leo - Fire</v>
      </c>
    </row>
    <row r="224" spans="79:83">
      <c r="CA224" s="446">
        <v>44053</v>
      </c>
      <c r="CB224" s="205" t="str">
        <f t="shared" si="22"/>
        <v>10-Aug</v>
      </c>
      <c r="CC224" s="205" t="s">
        <v>120</v>
      </c>
      <c r="CD224" s="447" t="s">
        <v>129</v>
      </c>
      <c r="CE224" s="447" t="str">
        <f t="shared" si="21"/>
        <v>Leo - Fire</v>
      </c>
    </row>
    <row r="225" spans="79:83">
      <c r="CA225" s="446">
        <v>44054</v>
      </c>
      <c r="CB225" s="205" t="str">
        <f t="shared" si="22"/>
        <v>11-Aug</v>
      </c>
      <c r="CC225" s="205" t="s">
        <v>120</v>
      </c>
      <c r="CD225" s="447" t="s">
        <v>129</v>
      </c>
      <c r="CE225" s="447" t="str">
        <f t="shared" si="21"/>
        <v>Leo - Fire</v>
      </c>
    </row>
    <row r="226" spans="79:83">
      <c r="CA226" s="446">
        <v>44055</v>
      </c>
      <c r="CB226" s="205" t="str">
        <f t="shared" si="22"/>
        <v>12-Aug</v>
      </c>
      <c r="CC226" s="205" t="s">
        <v>120</v>
      </c>
      <c r="CD226" s="447" t="s">
        <v>129</v>
      </c>
      <c r="CE226" s="447" t="str">
        <f t="shared" si="21"/>
        <v>Leo - Fire</v>
      </c>
    </row>
    <row r="227" spans="79:83">
      <c r="CA227" s="446">
        <v>44056</v>
      </c>
      <c r="CB227" s="205" t="str">
        <f t="shared" si="22"/>
        <v>13-Aug</v>
      </c>
      <c r="CC227" s="205" t="s">
        <v>120</v>
      </c>
      <c r="CD227" s="447" t="s">
        <v>129</v>
      </c>
      <c r="CE227" s="447" t="str">
        <f t="shared" si="21"/>
        <v>Leo - Fire</v>
      </c>
    </row>
    <row r="228" spans="79:83">
      <c r="CA228" s="446">
        <v>44057</v>
      </c>
      <c r="CB228" s="205" t="str">
        <f t="shared" si="22"/>
        <v>14-Aug</v>
      </c>
      <c r="CC228" s="205" t="s">
        <v>120</v>
      </c>
      <c r="CD228" s="447" t="s">
        <v>129</v>
      </c>
      <c r="CE228" s="447" t="str">
        <f t="shared" si="21"/>
        <v>Leo - Fire</v>
      </c>
    </row>
    <row r="229" spans="79:83">
      <c r="CA229" s="446">
        <v>44058</v>
      </c>
      <c r="CB229" s="205" t="str">
        <f t="shared" si="22"/>
        <v>15-Aug</v>
      </c>
      <c r="CC229" s="205" t="s">
        <v>120</v>
      </c>
      <c r="CD229" s="447" t="s">
        <v>129</v>
      </c>
      <c r="CE229" s="447" t="str">
        <f t="shared" si="21"/>
        <v>Leo - Fire</v>
      </c>
    </row>
    <row r="230" spans="79:83">
      <c r="CA230" s="446">
        <v>44059</v>
      </c>
      <c r="CB230" s="205" t="str">
        <f t="shared" si="22"/>
        <v>16-Aug</v>
      </c>
      <c r="CC230" s="205" t="s">
        <v>120</v>
      </c>
      <c r="CD230" s="447" t="s">
        <v>129</v>
      </c>
      <c r="CE230" s="447" t="str">
        <f t="shared" si="21"/>
        <v>Leo - Fire</v>
      </c>
    </row>
    <row r="231" spans="79:83">
      <c r="CA231" s="446">
        <v>44060</v>
      </c>
      <c r="CB231" s="205" t="str">
        <f t="shared" si="22"/>
        <v>17-Aug</v>
      </c>
      <c r="CC231" s="205" t="s">
        <v>120</v>
      </c>
      <c r="CD231" s="447" t="s">
        <v>129</v>
      </c>
      <c r="CE231" s="447" t="str">
        <f t="shared" si="21"/>
        <v>Leo - Fire</v>
      </c>
    </row>
    <row r="232" spans="79:83">
      <c r="CA232" s="446">
        <v>44061</v>
      </c>
      <c r="CB232" s="205" t="str">
        <f t="shared" si="22"/>
        <v>18-Aug</v>
      </c>
      <c r="CC232" s="205" t="s">
        <v>120</v>
      </c>
      <c r="CD232" s="447" t="s">
        <v>129</v>
      </c>
      <c r="CE232" s="447" t="str">
        <f t="shared" si="21"/>
        <v>Leo - Fire</v>
      </c>
    </row>
    <row r="233" spans="79:83">
      <c r="CA233" s="446">
        <v>44062</v>
      </c>
      <c r="CB233" s="205" t="str">
        <f t="shared" si="22"/>
        <v>19-Aug</v>
      </c>
      <c r="CC233" s="205" t="s">
        <v>120</v>
      </c>
      <c r="CD233" s="447" t="s">
        <v>129</v>
      </c>
      <c r="CE233" s="447" t="str">
        <f t="shared" si="21"/>
        <v>Leo - Fire</v>
      </c>
    </row>
    <row r="234" spans="79:83">
      <c r="CA234" s="446">
        <v>44063</v>
      </c>
      <c r="CB234" s="205" t="str">
        <f t="shared" si="22"/>
        <v>20-Aug</v>
      </c>
      <c r="CC234" s="205" t="s">
        <v>120</v>
      </c>
      <c r="CD234" s="447" t="s">
        <v>129</v>
      </c>
      <c r="CE234" s="447" t="str">
        <f t="shared" si="21"/>
        <v>Leo - Fire</v>
      </c>
    </row>
    <row r="235" spans="79:83">
      <c r="CA235" s="446">
        <v>44064</v>
      </c>
      <c r="CB235" s="205" t="str">
        <f t="shared" si="22"/>
        <v>21-Aug</v>
      </c>
      <c r="CC235" s="205" t="s">
        <v>120</v>
      </c>
      <c r="CD235" s="447" t="s">
        <v>129</v>
      </c>
      <c r="CE235" s="447" t="str">
        <f t="shared" si="21"/>
        <v>Leo - Fire</v>
      </c>
    </row>
    <row r="236" spans="79:83">
      <c r="CA236" s="446">
        <v>44065</v>
      </c>
      <c r="CB236" s="205" t="str">
        <f t="shared" si="22"/>
        <v>22-Aug</v>
      </c>
      <c r="CC236" s="205" t="s">
        <v>120</v>
      </c>
      <c r="CD236" s="447" t="s">
        <v>129</v>
      </c>
      <c r="CE236" s="447" t="str">
        <f t="shared" si="21"/>
        <v>Leo - Fire</v>
      </c>
    </row>
    <row r="237" spans="79:83">
      <c r="CA237" s="446">
        <v>44066</v>
      </c>
      <c r="CB237" s="205" t="str">
        <f t="shared" si="22"/>
        <v>23-Aug</v>
      </c>
      <c r="CC237" s="205" t="s">
        <v>121</v>
      </c>
      <c r="CD237" s="447" t="s">
        <v>130</v>
      </c>
      <c r="CE237" s="447" t="str">
        <f t="shared" si="21"/>
        <v>Virgo - Earth</v>
      </c>
    </row>
    <row r="238" spans="79:83">
      <c r="CA238" s="446">
        <v>44067</v>
      </c>
      <c r="CB238" s="205" t="str">
        <f t="shared" si="22"/>
        <v>24-Aug</v>
      </c>
      <c r="CC238" s="205" t="s">
        <v>121</v>
      </c>
      <c r="CD238" s="447" t="s">
        <v>130</v>
      </c>
      <c r="CE238" s="447" t="str">
        <f t="shared" si="21"/>
        <v>Virgo - Earth</v>
      </c>
    </row>
    <row r="239" spans="79:83">
      <c r="CA239" s="446">
        <v>44068</v>
      </c>
      <c r="CB239" s="205" t="str">
        <f t="shared" si="22"/>
        <v>25-Aug</v>
      </c>
      <c r="CC239" s="205" t="s">
        <v>121</v>
      </c>
      <c r="CD239" s="447" t="s">
        <v>130</v>
      </c>
      <c r="CE239" s="447" t="str">
        <f t="shared" si="21"/>
        <v>Virgo - Earth</v>
      </c>
    </row>
    <row r="240" spans="79:83">
      <c r="CA240" s="446">
        <v>44069</v>
      </c>
      <c r="CB240" s="205" t="str">
        <f t="shared" si="22"/>
        <v>26-Aug</v>
      </c>
      <c r="CC240" s="205" t="s">
        <v>121</v>
      </c>
      <c r="CD240" s="447" t="s">
        <v>130</v>
      </c>
      <c r="CE240" s="447" t="str">
        <f t="shared" si="21"/>
        <v>Virgo - Earth</v>
      </c>
    </row>
    <row r="241" spans="79:83">
      <c r="CA241" s="446">
        <v>44070</v>
      </c>
      <c r="CB241" s="205" t="str">
        <f t="shared" si="22"/>
        <v>27-Aug</v>
      </c>
      <c r="CC241" s="205" t="s">
        <v>121</v>
      </c>
      <c r="CD241" s="447" t="s">
        <v>130</v>
      </c>
      <c r="CE241" s="447" t="str">
        <f t="shared" si="21"/>
        <v>Virgo - Earth</v>
      </c>
    </row>
    <row r="242" spans="79:83">
      <c r="CA242" s="446">
        <v>44071</v>
      </c>
      <c r="CB242" s="205" t="str">
        <f t="shared" si="22"/>
        <v>28-Aug</v>
      </c>
      <c r="CC242" s="205" t="s">
        <v>121</v>
      </c>
      <c r="CD242" s="447" t="s">
        <v>130</v>
      </c>
      <c r="CE242" s="447" t="str">
        <f t="shared" si="21"/>
        <v>Virgo - Earth</v>
      </c>
    </row>
    <row r="243" spans="79:83">
      <c r="CA243" s="446">
        <v>44072</v>
      </c>
      <c r="CB243" s="205" t="str">
        <f t="shared" si="22"/>
        <v>29-Aug</v>
      </c>
      <c r="CC243" s="205" t="s">
        <v>121</v>
      </c>
      <c r="CD243" s="447" t="s">
        <v>130</v>
      </c>
      <c r="CE243" s="447" t="str">
        <f t="shared" si="21"/>
        <v>Virgo - Earth</v>
      </c>
    </row>
    <row r="244" spans="79:83">
      <c r="CA244" s="446">
        <v>44073</v>
      </c>
      <c r="CB244" s="205" t="str">
        <f t="shared" si="22"/>
        <v>30-Aug</v>
      </c>
      <c r="CC244" s="205" t="s">
        <v>121</v>
      </c>
      <c r="CD244" s="447" t="s">
        <v>130</v>
      </c>
      <c r="CE244" s="447" t="str">
        <f t="shared" si="21"/>
        <v>Virgo - Earth</v>
      </c>
    </row>
    <row r="245" spans="79:83">
      <c r="CA245" s="446">
        <v>44074</v>
      </c>
      <c r="CB245" s="205" t="str">
        <f t="shared" si="22"/>
        <v>31-Aug</v>
      </c>
      <c r="CC245" s="205" t="s">
        <v>121</v>
      </c>
      <c r="CD245" s="447" t="s">
        <v>130</v>
      </c>
      <c r="CE245" s="447" t="str">
        <f t="shared" si="21"/>
        <v>Virgo - Earth</v>
      </c>
    </row>
    <row r="246" spans="79:83">
      <c r="CA246" s="446">
        <v>44075</v>
      </c>
      <c r="CB246" s="205" t="str">
        <f t="shared" si="22"/>
        <v>01-Sep</v>
      </c>
      <c r="CC246" s="205" t="s">
        <v>121</v>
      </c>
      <c r="CD246" s="447" t="s">
        <v>130</v>
      </c>
      <c r="CE246" s="447" t="str">
        <f t="shared" si="21"/>
        <v>Virgo - Earth</v>
      </c>
    </row>
    <row r="247" spans="79:83">
      <c r="CA247" s="446">
        <v>44076</v>
      </c>
      <c r="CB247" s="205" t="str">
        <f t="shared" si="22"/>
        <v>02-Sep</v>
      </c>
      <c r="CC247" s="205" t="s">
        <v>121</v>
      </c>
      <c r="CD247" s="447" t="s">
        <v>130</v>
      </c>
      <c r="CE247" s="447" t="str">
        <f t="shared" si="21"/>
        <v>Virgo - Earth</v>
      </c>
    </row>
    <row r="248" spans="79:83">
      <c r="CA248" s="446">
        <v>44077</v>
      </c>
      <c r="CB248" s="205" t="str">
        <f t="shared" si="22"/>
        <v>03-Sep</v>
      </c>
      <c r="CC248" s="205" t="s">
        <v>121</v>
      </c>
      <c r="CD248" s="447" t="s">
        <v>130</v>
      </c>
      <c r="CE248" s="447" t="str">
        <f t="shared" si="21"/>
        <v>Virgo - Earth</v>
      </c>
    </row>
    <row r="249" spans="79:83">
      <c r="CA249" s="446">
        <v>44078</v>
      </c>
      <c r="CB249" s="205" t="str">
        <f t="shared" si="22"/>
        <v>04-Sep</v>
      </c>
      <c r="CC249" s="205" t="s">
        <v>121</v>
      </c>
      <c r="CD249" s="447" t="s">
        <v>130</v>
      </c>
      <c r="CE249" s="447" t="str">
        <f t="shared" si="21"/>
        <v>Virgo - Earth</v>
      </c>
    </row>
    <row r="250" spans="79:83">
      <c r="CA250" s="446">
        <v>44079</v>
      </c>
      <c r="CB250" s="205" t="str">
        <f t="shared" si="22"/>
        <v>05-Sep</v>
      </c>
      <c r="CC250" s="205" t="s">
        <v>121</v>
      </c>
      <c r="CD250" s="447" t="s">
        <v>130</v>
      </c>
      <c r="CE250" s="447" t="str">
        <f t="shared" si="21"/>
        <v>Virgo - Earth</v>
      </c>
    </row>
    <row r="251" spans="79:83">
      <c r="CA251" s="446">
        <v>44080</v>
      </c>
      <c r="CB251" s="205" t="str">
        <f t="shared" si="22"/>
        <v>06-Sep</v>
      </c>
      <c r="CC251" s="205" t="s">
        <v>121</v>
      </c>
      <c r="CD251" s="447" t="s">
        <v>130</v>
      </c>
      <c r="CE251" s="447" t="str">
        <f t="shared" si="21"/>
        <v>Virgo - Earth</v>
      </c>
    </row>
    <row r="252" spans="79:83">
      <c r="CA252" s="446">
        <v>44081</v>
      </c>
      <c r="CB252" s="205" t="str">
        <f t="shared" si="22"/>
        <v>07-Sep</v>
      </c>
      <c r="CC252" s="205" t="s">
        <v>121</v>
      </c>
      <c r="CD252" s="447" t="s">
        <v>130</v>
      </c>
      <c r="CE252" s="447" t="str">
        <f t="shared" si="21"/>
        <v>Virgo - Earth</v>
      </c>
    </row>
    <row r="253" spans="79:83">
      <c r="CA253" s="446">
        <v>44082</v>
      </c>
      <c r="CB253" s="205" t="str">
        <f t="shared" si="22"/>
        <v>08-Sep</v>
      </c>
      <c r="CC253" s="205" t="s">
        <v>121</v>
      </c>
      <c r="CD253" s="447" t="s">
        <v>130</v>
      </c>
      <c r="CE253" s="447" t="str">
        <f t="shared" si="21"/>
        <v>Virgo - Earth</v>
      </c>
    </row>
    <row r="254" spans="79:83">
      <c r="CA254" s="446">
        <v>44083</v>
      </c>
      <c r="CB254" s="205" t="str">
        <f t="shared" si="22"/>
        <v>09-Sep</v>
      </c>
      <c r="CC254" s="205" t="s">
        <v>121</v>
      </c>
      <c r="CD254" s="447" t="s">
        <v>130</v>
      </c>
      <c r="CE254" s="447" t="str">
        <f t="shared" si="21"/>
        <v>Virgo - Earth</v>
      </c>
    </row>
    <row r="255" spans="79:83">
      <c r="CA255" s="446">
        <v>44084</v>
      </c>
      <c r="CB255" s="205" t="str">
        <f t="shared" si="22"/>
        <v>10-Sep</v>
      </c>
      <c r="CC255" s="205" t="s">
        <v>121</v>
      </c>
      <c r="CD255" s="447" t="s">
        <v>130</v>
      </c>
      <c r="CE255" s="447" t="str">
        <f t="shared" si="21"/>
        <v>Virgo - Earth</v>
      </c>
    </row>
    <row r="256" spans="79:83">
      <c r="CA256" s="446">
        <v>44085</v>
      </c>
      <c r="CB256" s="205" t="str">
        <f t="shared" si="22"/>
        <v>11-Sep</v>
      </c>
      <c r="CC256" s="205" t="s">
        <v>121</v>
      </c>
      <c r="CD256" s="447" t="s">
        <v>130</v>
      </c>
      <c r="CE256" s="447" t="str">
        <f t="shared" si="21"/>
        <v>Virgo - Earth</v>
      </c>
    </row>
    <row r="257" spans="79:83">
      <c r="CA257" s="446">
        <v>44086</v>
      </c>
      <c r="CB257" s="205" t="str">
        <f t="shared" si="22"/>
        <v>12-Sep</v>
      </c>
      <c r="CC257" s="205" t="s">
        <v>121</v>
      </c>
      <c r="CD257" s="447" t="s">
        <v>130</v>
      </c>
      <c r="CE257" s="447" t="str">
        <f t="shared" ref="CE257:CE320" si="23">CC257&amp;" - "&amp;CD257</f>
        <v>Virgo - Earth</v>
      </c>
    </row>
    <row r="258" spans="79:83">
      <c r="CA258" s="446">
        <v>44087</v>
      </c>
      <c r="CB258" s="205" t="str">
        <f t="shared" si="22"/>
        <v>13-Sep</v>
      </c>
      <c r="CC258" s="205" t="s">
        <v>121</v>
      </c>
      <c r="CD258" s="447" t="s">
        <v>130</v>
      </c>
      <c r="CE258" s="447" t="str">
        <f t="shared" si="23"/>
        <v>Virgo - Earth</v>
      </c>
    </row>
    <row r="259" spans="79:83">
      <c r="CA259" s="446">
        <v>44088</v>
      </c>
      <c r="CB259" s="205" t="str">
        <f t="shared" ref="CB259:CB322" si="24">TEXT(CA259,"DD-MMM")</f>
        <v>14-Sep</v>
      </c>
      <c r="CC259" s="205" t="s">
        <v>121</v>
      </c>
      <c r="CD259" s="447" t="s">
        <v>130</v>
      </c>
      <c r="CE259" s="447" t="str">
        <f t="shared" si="23"/>
        <v>Virgo - Earth</v>
      </c>
    </row>
    <row r="260" spans="79:83">
      <c r="CA260" s="446">
        <v>44089</v>
      </c>
      <c r="CB260" s="205" t="str">
        <f t="shared" si="24"/>
        <v>15-Sep</v>
      </c>
      <c r="CC260" s="205" t="s">
        <v>121</v>
      </c>
      <c r="CD260" s="447" t="s">
        <v>130</v>
      </c>
      <c r="CE260" s="447" t="str">
        <f t="shared" si="23"/>
        <v>Virgo - Earth</v>
      </c>
    </row>
    <row r="261" spans="79:83">
      <c r="CA261" s="446">
        <v>44090</v>
      </c>
      <c r="CB261" s="205" t="str">
        <f t="shared" si="24"/>
        <v>16-Sep</v>
      </c>
      <c r="CC261" s="205" t="s">
        <v>121</v>
      </c>
      <c r="CD261" s="447" t="s">
        <v>130</v>
      </c>
      <c r="CE261" s="447" t="str">
        <f t="shared" si="23"/>
        <v>Virgo - Earth</v>
      </c>
    </row>
    <row r="262" spans="79:83">
      <c r="CA262" s="446">
        <v>44091</v>
      </c>
      <c r="CB262" s="205" t="str">
        <f t="shared" si="24"/>
        <v>17-Sep</v>
      </c>
      <c r="CC262" s="205" t="s">
        <v>121</v>
      </c>
      <c r="CD262" s="447" t="s">
        <v>130</v>
      </c>
      <c r="CE262" s="447" t="str">
        <f t="shared" si="23"/>
        <v>Virgo - Earth</v>
      </c>
    </row>
    <row r="263" spans="79:83">
      <c r="CA263" s="446">
        <v>44092</v>
      </c>
      <c r="CB263" s="205" t="str">
        <f t="shared" si="24"/>
        <v>18-Sep</v>
      </c>
      <c r="CC263" s="205" t="s">
        <v>121</v>
      </c>
      <c r="CD263" s="447" t="s">
        <v>130</v>
      </c>
      <c r="CE263" s="447" t="str">
        <f t="shared" si="23"/>
        <v>Virgo - Earth</v>
      </c>
    </row>
    <row r="264" spans="79:83">
      <c r="CA264" s="446">
        <v>44093</v>
      </c>
      <c r="CB264" s="205" t="str">
        <f t="shared" si="24"/>
        <v>19-Sep</v>
      </c>
      <c r="CC264" s="205" t="s">
        <v>121</v>
      </c>
      <c r="CD264" s="447" t="s">
        <v>130</v>
      </c>
      <c r="CE264" s="447" t="str">
        <f t="shared" si="23"/>
        <v>Virgo - Earth</v>
      </c>
    </row>
    <row r="265" spans="79:83">
      <c r="CA265" s="446">
        <v>44094</v>
      </c>
      <c r="CB265" s="205" t="str">
        <f t="shared" si="24"/>
        <v>20-Sep</v>
      </c>
      <c r="CC265" s="205" t="s">
        <v>121</v>
      </c>
      <c r="CD265" s="447" t="s">
        <v>130</v>
      </c>
      <c r="CE265" s="447" t="str">
        <f t="shared" si="23"/>
        <v>Virgo - Earth</v>
      </c>
    </row>
    <row r="266" spans="79:83">
      <c r="CA266" s="446">
        <v>44095</v>
      </c>
      <c r="CB266" s="205" t="str">
        <f t="shared" si="24"/>
        <v>21-Sep</v>
      </c>
      <c r="CC266" s="205" t="s">
        <v>121</v>
      </c>
      <c r="CD266" s="447" t="s">
        <v>130</v>
      </c>
      <c r="CE266" s="447" t="str">
        <f t="shared" si="23"/>
        <v>Virgo - Earth</v>
      </c>
    </row>
    <row r="267" spans="79:83">
      <c r="CA267" s="446">
        <v>44096</v>
      </c>
      <c r="CB267" s="205" t="str">
        <f t="shared" si="24"/>
        <v>22-Sep</v>
      </c>
      <c r="CC267" s="205" t="s">
        <v>121</v>
      </c>
      <c r="CD267" s="447" t="s">
        <v>130</v>
      </c>
      <c r="CE267" s="447" t="str">
        <f t="shared" si="23"/>
        <v>Virgo - Earth</v>
      </c>
    </row>
    <row r="268" spans="79:83">
      <c r="CA268" s="446">
        <v>44097</v>
      </c>
      <c r="CB268" s="205" t="str">
        <f t="shared" si="24"/>
        <v>23-Sep</v>
      </c>
      <c r="CC268" s="205" t="s">
        <v>122</v>
      </c>
      <c r="CD268" s="447" t="s">
        <v>132</v>
      </c>
      <c r="CE268" s="447" t="str">
        <f t="shared" si="23"/>
        <v>Libra - Air</v>
      </c>
    </row>
    <row r="269" spans="79:83">
      <c r="CA269" s="446">
        <v>44098</v>
      </c>
      <c r="CB269" s="205" t="str">
        <f t="shared" si="24"/>
        <v>24-Sep</v>
      </c>
      <c r="CC269" s="205" t="s">
        <v>122</v>
      </c>
      <c r="CD269" s="447" t="s">
        <v>132</v>
      </c>
      <c r="CE269" s="447" t="str">
        <f t="shared" si="23"/>
        <v>Libra - Air</v>
      </c>
    </row>
    <row r="270" spans="79:83">
      <c r="CA270" s="446">
        <v>44099</v>
      </c>
      <c r="CB270" s="205" t="str">
        <f t="shared" si="24"/>
        <v>25-Sep</v>
      </c>
      <c r="CC270" s="205" t="s">
        <v>122</v>
      </c>
      <c r="CD270" s="447" t="s">
        <v>132</v>
      </c>
      <c r="CE270" s="447" t="str">
        <f t="shared" si="23"/>
        <v>Libra - Air</v>
      </c>
    </row>
    <row r="271" spans="79:83">
      <c r="CA271" s="446">
        <v>44100</v>
      </c>
      <c r="CB271" s="205" t="str">
        <f t="shared" si="24"/>
        <v>26-Sep</v>
      </c>
      <c r="CC271" s="205" t="s">
        <v>122</v>
      </c>
      <c r="CD271" s="447" t="s">
        <v>132</v>
      </c>
      <c r="CE271" s="447" t="str">
        <f t="shared" si="23"/>
        <v>Libra - Air</v>
      </c>
    </row>
    <row r="272" spans="79:83">
      <c r="CA272" s="446">
        <v>44101</v>
      </c>
      <c r="CB272" s="205" t="str">
        <f t="shared" si="24"/>
        <v>27-Sep</v>
      </c>
      <c r="CC272" s="205" t="s">
        <v>122</v>
      </c>
      <c r="CD272" s="447" t="s">
        <v>132</v>
      </c>
      <c r="CE272" s="447" t="str">
        <f t="shared" si="23"/>
        <v>Libra - Air</v>
      </c>
    </row>
    <row r="273" spans="79:83">
      <c r="CA273" s="446">
        <v>44102</v>
      </c>
      <c r="CB273" s="205" t="str">
        <f t="shared" si="24"/>
        <v>28-Sep</v>
      </c>
      <c r="CC273" s="205" t="s">
        <v>122</v>
      </c>
      <c r="CD273" s="447" t="s">
        <v>132</v>
      </c>
      <c r="CE273" s="447" t="str">
        <f t="shared" si="23"/>
        <v>Libra - Air</v>
      </c>
    </row>
    <row r="274" spans="79:83">
      <c r="CA274" s="446">
        <v>44103</v>
      </c>
      <c r="CB274" s="205" t="str">
        <f t="shared" si="24"/>
        <v>29-Sep</v>
      </c>
      <c r="CC274" s="205" t="s">
        <v>122</v>
      </c>
      <c r="CD274" s="447" t="s">
        <v>132</v>
      </c>
      <c r="CE274" s="447" t="str">
        <f t="shared" si="23"/>
        <v>Libra - Air</v>
      </c>
    </row>
    <row r="275" spans="79:83">
      <c r="CA275" s="446">
        <v>44104</v>
      </c>
      <c r="CB275" s="205" t="str">
        <f t="shared" si="24"/>
        <v>30-Sep</v>
      </c>
      <c r="CC275" s="205" t="s">
        <v>122</v>
      </c>
      <c r="CD275" s="447" t="s">
        <v>132</v>
      </c>
      <c r="CE275" s="447" t="str">
        <f t="shared" si="23"/>
        <v>Libra - Air</v>
      </c>
    </row>
    <row r="276" spans="79:83">
      <c r="CA276" s="446">
        <v>44105</v>
      </c>
      <c r="CB276" s="205" t="str">
        <f t="shared" si="24"/>
        <v>01-Oct</v>
      </c>
      <c r="CC276" s="205" t="s">
        <v>122</v>
      </c>
      <c r="CD276" s="447" t="s">
        <v>132</v>
      </c>
      <c r="CE276" s="447" t="str">
        <f t="shared" si="23"/>
        <v>Libra - Air</v>
      </c>
    </row>
    <row r="277" spans="79:83">
      <c r="CA277" s="446">
        <v>44106</v>
      </c>
      <c r="CB277" s="205" t="str">
        <f t="shared" si="24"/>
        <v>02-Oct</v>
      </c>
      <c r="CC277" s="205" t="s">
        <v>122</v>
      </c>
      <c r="CD277" s="447" t="s">
        <v>132</v>
      </c>
      <c r="CE277" s="447" t="str">
        <f t="shared" si="23"/>
        <v>Libra - Air</v>
      </c>
    </row>
    <row r="278" spans="79:83">
      <c r="CA278" s="446">
        <v>44107</v>
      </c>
      <c r="CB278" s="205" t="str">
        <f t="shared" si="24"/>
        <v>03-Oct</v>
      </c>
      <c r="CC278" s="205" t="s">
        <v>122</v>
      </c>
      <c r="CD278" s="447" t="s">
        <v>132</v>
      </c>
      <c r="CE278" s="447" t="str">
        <f t="shared" si="23"/>
        <v>Libra - Air</v>
      </c>
    </row>
    <row r="279" spans="79:83">
      <c r="CA279" s="446">
        <v>44108</v>
      </c>
      <c r="CB279" s="205" t="str">
        <f t="shared" si="24"/>
        <v>04-Oct</v>
      </c>
      <c r="CC279" s="205" t="s">
        <v>122</v>
      </c>
      <c r="CD279" s="447" t="s">
        <v>132</v>
      </c>
      <c r="CE279" s="447" t="str">
        <f t="shared" si="23"/>
        <v>Libra - Air</v>
      </c>
    </row>
    <row r="280" spans="79:83">
      <c r="CA280" s="446">
        <v>44109</v>
      </c>
      <c r="CB280" s="205" t="str">
        <f t="shared" si="24"/>
        <v>05-Oct</v>
      </c>
      <c r="CC280" s="205" t="s">
        <v>122</v>
      </c>
      <c r="CD280" s="447" t="s">
        <v>132</v>
      </c>
      <c r="CE280" s="447" t="str">
        <f t="shared" si="23"/>
        <v>Libra - Air</v>
      </c>
    </row>
    <row r="281" spans="79:83">
      <c r="CA281" s="446">
        <v>44110</v>
      </c>
      <c r="CB281" s="205" t="str">
        <f t="shared" si="24"/>
        <v>06-Oct</v>
      </c>
      <c r="CC281" s="205" t="s">
        <v>122</v>
      </c>
      <c r="CD281" s="447" t="s">
        <v>132</v>
      </c>
      <c r="CE281" s="447" t="str">
        <f t="shared" si="23"/>
        <v>Libra - Air</v>
      </c>
    </row>
    <row r="282" spans="79:83">
      <c r="CA282" s="446">
        <v>44111</v>
      </c>
      <c r="CB282" s="205" t="str">
        <f t="shared" si="24"/>
        <v>07-Oct</v>
      </c>
      <c r="CC282" s="205" t="s">
        <v>122</v>
      </c>
      <c r="CD282" s="447" t="s">
        <v>132</v>
      </c>
      <c r="CE282" s="447" t="str">
        <f t="shared" si="23"/>
        <v>Libra - Air</v>
      </c>
    </row>
    <row r="283" spans="79:83">
      <c r="CA283" s="446">
        <v>44112</v>
      </c>
      <c r="CB283" s="205" t="str">
        <f t="shared" si="24"/>
        <v>08-Oct</v>
      </c>
      <c r="CC283" s="205" t="s">
        <v>122</v>
      </c>
      <c r="CD283" s="447" t="s">
        <v>132</v>
      </c>
      <c r="CE283" s="447" t="str">
        <f t="shared" si="23"/>
        <v>Libra - Air</v>
      </c>
    </row>
    <row r="284" spans="79:83">
      <c r="CA284" s="446">
        <v>44113</v>
      </c>
      <c r="CB284" s="205" t="str">
        <f t="shared" si="24"/>
        <v>09-Oct</v>
      </c>
      <c r="CC284" s="205" t="s">
        <v>122</v>
      </c>
      <c r="CD284" s="447" t="s">
        <v>132</v>
      </c>
      <c r="CE284" s="447" t="str">
        <f t="shared" si="23"/>
        <v>Libra - Air</v>
      </c>
    </row>
    <row r="285" spans="79:83">
      <c r="CA285" s="446">
        <v>44114</v>
      </c>
      <c r="CB285" s="205" t="str">
        <f t="shared" si="24"/>
        <v>10-Oct</v>
      </c>
      <c r="CC285" s="205" t="s">
        <v>122</v>
      </c>
      <c r="CD285" s="447" t="s">
        <v>132</v>
      </c>
      <c r="CE285" s="447" t="str">
        <f t="shared" si="23"/>
        <v>Libra - Air</v>
      </c>
    </row>
    <row r="286" spans="79:83">
      <c r="CA286" s="446">
        <v>44115</v>
      </c>
      <c r="CB286" s="205" t="str">
        <f t="shared" si="24"/>
        <v>11-Oct</v>
      </c>
      <c r="CC286" s="205" t="s">
        <v>122</v>
      </c>
      <c r="CD286" s="447" t="s">
        <v>132</v>
      </c>
      <c r="CE286" s="447" t="str">
        <f t="shared" si="23"/>
        <v>Libra - Air</v>
      </c>
    </row>
    <row r="287" spans="79:83">
      <c r="CA287" s="446">
        <v>44116</v>
      </c>
      <c r="CB287" s="205" t="str">
        <f t="shared" si="24"/>
        <v>12-Oct</v>
      </c>
      <c r="CC287" s="205" t="s">
        <v>122</v>
      </c>
      <c r="CD287" s="447" t="s">
        <v>132</v>
      </c>
      <c r="CE287" s="447" t="str">
        <f t="shared" si="23"/>
        <v>Libra - Air</v>
      </c>
    </row>
    <row r="288" spans="79:83">
      <c r="CA288" s="446">
        <v>44117</v>
      </c>
      <c r="CB288" s="205" t="str">
        <f t="shared" si="24"/>
        <v>13-Oct</v>
      </c>
      <c r="CC288" s="205" t="s">
        <v>122</v>
      </c>
      <c r="CD288" s="447" t="s">
        <v>132</v>
      </c>
      <c r="CE288" s="447" t="str">
        <f t="shared" si="23"/>
        <v>Libra - Air</v>
      </c>
    </row>
    <row r="289" spans="79:83">
      <c r="CA289" s="446">
        <v>44118</v>
      </c>
      <c r="CB289" s="205" t="str">
        <f t="shared" si="24"/>
        <v>14-Oct</v>
      </c>
      <c r="CC289" s="205" t="s">
        <v>122</v>
      </c>
      <c r="CD289" s="447" t="s">
        <v>132</v>
      </c>
      <c r="CE289" s="447" t="str">
        <f t="shared" si="23"/>
        <v>Libra - Air</v>
      </c>
    </row>
    <row r="290" spans="79:83">
      <c r="CA290" s="446">
        <v>44119</v>
      </c>
      <c r="CB290" s="205" t="str">
        <f t="shared" si="24"/>
        <v>15-Oct</v>
      </c>
      <c r="CC290" s="205" t="s">
        <v>122</v>
      </c>
      <c r="CD290" s="447" t="s">
        <v>132</v>
      </c>
      <c r="CE290" s="447" t="str">
        <f t="shared" si="23"/>
        <v>Libra - Air</v>
      </c>
    </row>
    <row r="291" spans="79:83">
      <c r="CA291" s="446">
        <v>44120</v>
      </c>
      <c r="CB291" s="205" t="str">
        <f t="shared" si="24"/>
        <v>16-Oct</v>
      </c>
      <c r="CC291" s="205" t="s">
        <v>122</v>
      </c>
      <c r="CD291" s="447" t="s">
        <v>132</v>
      </c>
      <c r="CE291" s="447" t="str">
        <f t="shared" si="23"/>
        <v>Libra - Air</v>
      </c>
    </row>
    <row r="292" spans="79:83">
      <c r="CA292" s="446">
        <v>44121</v>
      </c>
      <c r="CB292" s="205" t="str">
        <f t="shared" si="24"/>
        <v>17-Oct</v>
      </c>
      <c r="CC292" s="205" t="s">
        <v>122</v>
      </c>
      <c r="CD292" s="447" t="s">
        <v>132</v>
      </c>
      <c r="CE292" s="447" t="str">
        <f t="shared" si="23"/>
        <v>Libra - Air</v>
      </c>
    </row>
    <row r="293" spans="79:83">
      <c r="CA293" s="446">
        <v>44122</v>
      </c>
      <c r="CB293" s="205" t="str">
        <f t="shared" si="24"/>
        <v>18-Oct</v>
      </c>
      <c r="CC293" s="205" t="s">
        <v>122</v>
      </c>
      <c r="CD293" s="447" t="s">
        <v>132</v>
      </c>
      <c r="CE293" s="447" t="str">
        <f t="shared" si="23"/>
        <v>Libra - Air</v>
      </c>
    </row>
    <row r="294" spans="79:83">
      <c r="CA294" s="446">
        <v>44123</v>
      </c>
      <c r="CB294" s="205" t="str">
        <f t="shared" si="24"/>
        <v>19-Oct</v>
      </c>
      <c r="CC294" s="205" t="s">
        <v>122</v>
      </c>
      <c r="CD294" s="447" t="s">
        <v>132</v>
      </c>
      <c r="CE294" s="447" t="str">
        <f t="shared" si="23"/>
        <v>Libra - Air</v>
      </c>
    </row>
    <row r="295" spans="79:83">
      <c r="CA295" s="446">
        <v>44124</v>
      </c>
      <c r="CB295" s="205" t="str">
        <f t="shared" si="24"/>
        <v>20-Oct</v>
      </c>
      <c r="CC295" s="205" t="s">
        <v>122</v>
      </c>
      <c r="CD295" s="447" t="s">
        <v>132</v>
      </c>
      <c r="CE295" s="447" t="str">
        <f t="shared" si="23"/>
        <v>Libra - Air</v>
      </c>
    </row>
    <row r="296" spans="79:83">
      <c r="CA296" s="446">
        <v>44125</v>
      </c>
      <c r="CB296" s="205" t="str">
        <f t="shared" si="24"/>
        <v>21-Oct</v>
      </c>
      <c r="CC296" s="205" t="s">
        <v>122</v>
      </c>
      <c r="CD296" s="447" t="s">
        <v>132</v>
      </c>
      <c r="CE296" s="447" t="str">
        <f t="shared" si="23"/>
        <v>Libra - Air</v>
      </c>
    </row>
    <row r="297" spans="79:83">
      <c r="CA297" s="446">
        <v>44126</v>
      </c>
      <c r="CB297" s="205" t="str">
        <f t="shared" si="24"/>
        <v>22-Oct</v>
      </c>
      <c r="CC297" s="205" t="s">
        <v>122</v>
      </c>
      <c r="CD297" s="447" t="s">
        <v>132</v>
      </c>
      <c r="CE297" s="447" t="str">
        <f t="shared" si="23"/>
        <v>Libra - Air</v>
      </c>
    </row>
    <row r="298" spans="79:83">
      <c r="CA298" s="446">
        <v>44127</v>
      </c>
      <c r="CB298" s="205" t="str">
        <f t="shared" si="24"/>
        <v>23-Oct</v>
      </c>
      <c r="CC298" s="205" t="s">
        <v>123</v>
      </c>
      <c r="CD298" s="447" t="s">
        <v>131</v>
      </c>
      <c r="CE298" s="447" t="str">
        <f t="shared" si="23"/>
        <v>Scorpio - Water</v>
      </c>
    </row>
    <row r="299" spans="79:83">
      <c r="CA299" s="446">
        <v>44128</v>
      </c>
      <c r="CB299" s="205" t="str">
        <f t="shared" si="24"/>
        <v>24-Oct</v>
      </c>
      <c r="CC299" s="205" t="s">
        <v>123</v>
      </c>
      <c r="CD299" s="447" t="s">
        <v>131</v>
      </c>
      <c r="CE299" s="447" t="str">
        <f t="shared" si="23"/>
        <v>Scorpio - Water</v>
      </c>
    </row>
    <row r="300" spans="79:83">
      <c r="CA300" s="446">
        <v>44129</v>
      </c>
      <c r="CB300" s="205" t="str">
        <f t="shared" si="24"/>
        <v>25-Oct</v>
      </c>
      <c r="CC300" s="205" t="s">
        <v>123</v>
      </c>
      <c r="CD300" s="447" t="s">
        <v>131</v>
      </c>
      <c r="CE300" s="447" t="str">
        <f t="shared" si="23"/>
        <v>Scorpio - Water</v>
      </c>
    </row>
    <row r="301" spans="79:83">
      <c r="CA301" s="446">
        <v>44130</v>
      </c>
      <c r="CB301" s="205" t="str">
        <f t="shared" si="24"/>
        <v>26-Oct</v>
      </c>
      <c r="CC301" s="205" t="s">
        <v>123</v>
      </c>
      <c r="CD301" s="447" t="s">
        <v>131</v>
      </c>
      <c r="CE301" s="447" t="str">
        <f t="shared" si="23"/>
        <v>Scorpio - Water</v>
      </c>
    </row>
    <row r="302" spans="79:83">
      <c r="CA302" s="446">
        <v>44131</v>
      </c>
      <c r="CB302" s="205" t="str">
        <f t="shared" si="24"/>
        <v>27-Oct</v>
      </c>
      <c r="CC302" s="205" t="s">
        <v>123</v>
      </c>
      <c r="CD302" s="447" t="s">
        <v>131</v>
      </c>
      <c r="CE302" s="447" t="str">
        <f t="shared" si="23"/>
        <v>Scorpio - Water</v>
      </c>
    </row>
    <row r="303" spans="79:83">
      <c r="CA303" s="446">
        <v>44132</v>
      </c>
      <c r="CB303" s="205" t="str">
        <f t="shared" si="24"/>
        <v>28-Oct</v>
      </c>
      <c r="CC303" s="205" t="s">
        <v>123</v>
      </c>
      <c r="CD303" s="447" t="s">
        <v>131</v>
      </c>
      <c r="CE303" s="447" t="str">
        <f t="shared" si="23"/>
        <v>Scorpio - Water</v>
      </c>
    </row>
    <row r="304" spans="79:83">
      <c r="CA304" s="446">
        <v>44133</v>
      </c>
      <c r="CB304" s="205" t="str">
        <f t="shared" si="24"/>
        <v>29-Oct</v>
      </c>
      <c r="CC304" s="205" t="s">
        <v>123</v>
      </c>
      <c r="CD304" s="447" t="s">
        <v>131</v>
      </c>
      <c r="CE304" s="447" t="str">
        <f t="shared" si="23"/>
        <v>Scorpio - Water</v>
      </c>
    </row>
    <row r="305" spans="79:83">
      <c r="CA305" s="446">
        <v>44134</v>
      </c>
      <c r="CB305" s="205" t="str">
        <f t="shared" si="24"/>
        <v>30-Oct</v>
      </c>
      <c r="CC305" s="205" t="s">
        <v>123</v>
      </c>
      <c r="CD305" s="447" t="s">
        <v>131</v>
      </c>
      <c r="CE305" s="447" t="str">
        <f t="shared" si="23"/>
        <v>Scorpio - Water</v>
      </c>
    </row>
    <row r="306" spans="79:83">
      <c r="CA306" s="446">
        <v>44135</v>
      </c>
      <c r="CB306" s="205" t="str">
        <f t="shared" si="24"/>
        <v>31-Oct</v>
      </c>
      <c r="CC306" s="205" t="s">
        <v>123</v>
      </c>
      <c r="CD306" s="447" t="s">
        <v>131</v>
      </c>
      <c r="CE306" s="447" t="str">
        <f t="shared" si="23"/>
        <v>Scorpio - Water</v>
      </c>
    </row>
    <row r="307" spans="79:83">
      <c r="CA307" s="446">
        <v>44136</v>
      </c>
      <c r="CB307" s="205" t="str">
        <f t="shared" si="24"/>
        <v>01-Nov</v>
      </c>
      <c r="CC307" s="205" t="s">
        <v>123</v>
      </c>
      <c r="CD307" s="447" t="s">
        <v>131</v>
      </c>
      <c r="CE307" s="447" t="str">
        <f t="shared" si="23"/>
        <v>Scorpio - Water</v>
      </c>
    </row>
    <row r="308" spans="79:83">
      <c r="CA308" s="446">
        <v>44137</v>
      </c>
      <c r="CB308" s="205" t="str">
        <f t="shared" si="24"/>
        <v>02-Nov</v>
      </c>
      <c r="CC308" s="205" t="s">
        <v>123</v>
      </c>
      <c r="CD308" s="447" t="s">
        <v>131</v>
      </c>
      <c r="CE308" s="447" t="str">
        <f t="shared" si="23"/>
        <v>Scorpio - Water</v>
      </c>
    </row>
    <row r="309" spans="79:83">
      <c r="CA309" s="446">
        <v>44138</v>
      </c>
      <c r="CB309" s="205" t="str">
        <f t="shared" si="24"/>
        <v>03-Nov</v>
      </c>
      <c r="CC309" s="205" t="s">
        <v>123</v>
      </c>
      <c r="CD309" s="447" t="s">
        <v>131</v>
      </c>
      <c r="CE309" s="447" t="str">
        <f t="shared" si="23"/>
        <v>Scorpio - Water</v>
      </c>
    </row>
    <row r="310" spans="79:83">
      <c r="CA310" s="446">
        <v>44139</v>
      </c>
      <c r="CB310" s="205" t="str">
        <f t="shared" si="24"/>
        <v>04-Nov</v>
      </c>
      <c r="CC310" s="205" t="s">
        <v>123</v>
      </c>
      <c r="CD310" s="447" t="s">
        <v>131</v>
      </c>
      <c r="CE310" s="447" t="str">
        <f t="shared" si="23"/>
        <v>Scorpio - Water</v>
      </c>
    </row>
    <row r="311" spans="79:83">
      <c r="CA311" s="446">
        <v>44140</v>
      </c>
      <c r="CB311" s="205" t="str">
        <f t="shared" si="24"/>
        <v>05-Nov</v>
      </c>
      <c r="CC311" s="205" t="s">
        <v>123</v>
      </c>
      <c r="CD311" s="447" t="s">
        <v>131</v>
      </c>
      <c r="CE311" s="447" t="str">
        <f t="shared" si="23"/>
        <v>Scorpio - Water</v>
      </c>
    </row>
    <row r="312" spans="79:83">
      <c r="CA312" s="446">
        <v>44141</v>
      </c>
      <c r="CB312" s="205" t="str">
        <f t="shared" si="24"/>
        <v>06-Nov</v>
      </c>
      <c r="CC312" s="205" t="s">
        <v>123</v>
      </c>
      <c r="CD312" s="447" t="s">
        <v>131</v>
      </c>
      <c r="CE312" s="447" t="str">
        <f t="shared" si="23"/>
        <v>Scorpio - Water</v>
      </c>
    </row>
    <row r="313" spans="79:83">
      <c r="CA313" s="446">
        <v>44142</v>
      </c>
      <c r="CB313" s="205" t="str">
        <f t="shared" si="24"/>
        <v>07-Nov</v>
      </c>
      <c r="CC313" s="205" t="s">
        <v>123</v>
      </c>
      <c r="CD313" s="447" t="s">
        <v>131</v>
      </c>
      <c r="CE313" s="447" t="str">
        <f t="shared" si="23"/>
        <v>Scorpio - Water</v>
      </c>
    </row>
    <row r="314" spans="79:83">
      <c r="CA314" s="446">
        <v>44143</v>
      </c>
      <c r="CB314" s="205" t="str">
        <f t="shared" si="24"/>
        <v>08-Nov</v>
      </c>
      <c r="CC314" s="205" t="s">
        <v>123</v>
      </c>
      <c r="CD314" s="447" t="s">
        <v>131</v>
      </c>
      <c r="CE314" s="447" t="str">
        <f t="shared" si="23"/>
        <v>Scorpio - Water</v>
      </c>
    </row>
    <row r="315" spans="79:83">
      <c r="CA315" s="446">
        <v>44144</v>
      </c>
      <c r="CB315" s="205" t="str">
        <f t="shared" si="24"/>
        <v>09-Nov</v>
      </c>
      <c r="CC315" s="205" t="s">
        <v>123</v>
      </c>
      <c r="CD315" s="447" t="s">
        <v>131</v>
      </c>
      <c r="CE315" s="447" t="str">
        <f t="shared" si="23"/>
        <v>Scorpio - Water</v>
      </c>
    </row>
    <row r="316" spans="79:83">
      <c r="CA316" s="446">
        <v>44145</v>
      </c>
      <c r="CB316" s="205" t="str">
        <f t="shared" si="24"/>
        <v>10-Nov</v>
      </c>
      <c r="CC316" s="205" t="s">
        <v>123</v>
      </c>
      <c r="CD316" s="447" t="s">
        <v>131</v>
      </c>
      <c r="CE316" s="447" t="str">
        <f t="shared" si="23"/>
        <v>Scorpio - Water</v>
      </c>
    </row>
    <row r="317" spans="79:83">
      <c r="CA317" s="446">
        <v>44146</v>
      </c>
      <c r="CB317" s="205" t="str">
        <f t="shared" si="24"/>
        <v>11-Nov</v>
      </c>
      <c r="CC317" s="205" t="s">
        <v>123</v>
      </c>
      <c r="CD317" s="447" t="s">
        <v>131</v>
      </c>
      <c r="CE317" s="447" t="str">
        <f t="shared" si="23"/>
        <v>Scorpio - Water</v>
      </c>
    </row>
    <row r="318" spans="79:83">
      <c r="CA318" s="446">
        <v>44147</v>
      </c>
      <c r="CB318" s="205" t="str">
        <f t="shared" si="24"/>
        <v>12-Nov</v>
      </c>
      <c r="CC318" s="205" t="s">
        <v>123</v>
      </c>
      <c r="CD318" s="447" t="s">
        <v>131</v>
      </c>
      <c r="CE318" s="447" t="str">
        <f t="shared" si="23"/>
        <v>Scorpio - Water</v>
      </c>
    </row>
    <row r="319" spans="79:83">
      <c r="CA319" s="446">
        <v>44148</v>
      </c>
      <c r="CB319" s="205" t="str">
        <f t="shared" si="24"/>
        <v>13-Nov</v>
      </c>
      <c r="CC319" s="205" t="s">
        <v>123</v>
      </c>
      <c r="CD319" s="447" t="s">
        <v>131</v>
      </c>
      <c r="CE319" s="447" t="str">
        <f t="shared" si="23"/>
        <v>Scorpio - Water</v>
      </c>
    </row>
    <row r="320" spans="79:83">
      <c r="CA320" s="446">
        <v>44149</v>
      </c>
      <c r="CB320" s="205" t="str">
        <f t="shared" si="24"/>
        <v>14-Nov</v>
      </c>
      <c r="CC320" s="205" t="s">
        <v>123</v>
      </c>
      <c r="CD320" s="447" t="s">
        <v>131</v>
      </c>
      <c r="CE320" s="447" t="str">
        <f t="shared" si="23"/>
        <v>Scorpio - Water</v>
      </c>
    </row>
    <row r="321" spans="79:83">
      <c r="CA321" s="446">
        <v>44150</v>
      </c>
      <c r="CB321" s="205" t="str">
        <f t="shared" si="24"/>
        <v>15-Nov</v>
      </c>
      <c r="CC321" s="205" t="s">
        <v>123</v>
      </c>
      <c r="CD321" s="447" t="s">
        <v>131</v>
      </c>
      <c r="CE321" s="447" t="str">
        <f t="shared" ref="CE321:CE367" si="25">CC321&amp;" - "&amp;CD321</f>
        <v>Scorpio - Water</v>
      </c>
    </row>
    <row r="322" spans="79:83">
      <c r="CA322" s="446">
        <v>44151</v>
      </c>
      <c r="CB322" s="205" t="str">
        <f t="shared" si="24"/>
        <v>16-Nov</v>
      </c>
      <c r="CC322" s="205" t="s">
        <v>123</v>
      </c>
      <c r="CD322" s="447" t="s">
        <v>131</v>
      </c>
      <c r="CE322" s="447" t="str">
        <f t="shared" si="25"/>
        <v>Scorpio - Water</v>
      </c>
    </row>
    <row r="323" spans="79:83">
      <c r="CA323" s="446">
        <v>44152</v>
      </c>
      <c r="CB323" s="205" t="str">
        <f t="shared" ref="CB323:CB367" si="26">TEXT(CA323,"DD-MMM")</f>
        <v>17-Nov</v>
      </c>
      <c r="CC323" s="205" t="s">
        <v>123</v>
      </c>
      <c r="CD323" s="447" t="s">
        <v>131</v>
      </c>
      <c r="CE323" s="447" t="str">
        <f t="shared" si="25"/>
        <v>Scorpio - Water</v>
      </c>
    </row>
    <row r="324" spans="79:83">
      <c r="CA324" s="446">
        <v>44153</v>
      </c>
      <c r="CB324" s="205" t="str">
        <f t="shared" si="26"/>
        <v>18-Nov</v>
      </c>
      <c r="CC324" s="205" t="s">
        <v>123</v>
      </c>
      <c r="CD324" s="447" t="s">
        <v>131</v>
      </c>
      <c r="CE324" s="447" t="str">
        <f t="shared" si="25"/>
        <v>Scorpio - Water</v>
      </c>
    </row>
    <row r="325" spans="79:83">
      <c r="CA325" s="446">
        <v>44154</v>
      </c>
      <c r="CB325" s="205" t="str">
        <f t="shared" si="26"/>
        <v>19-Nov</v>
      </c>
      <c r="CC325" s="205" t="s">
        <v>123</v>
      </c>
      <c r="CD325" s="447" t="s">
        <v>131</v>
      </c>
      <c r="CE325" s="447" t="str">
        <f t="shared" si="25"/>
        <v>Scorpio - Water</v>
      </c>
    </row>
    <row r="326" spans="79:83">
      <c r="CA326" s="446">
        <v>44155</v>
      </c>
      <c r="CB326" s="205" t="str">
        <f t="shared" si="26"/>
        <v>20-Nov</v>
      </c>
      <c r="CC326" s="205" t="s">
        <v>123</v>
      </c>
      <c r="CD326" s="447" t="s">
        <v>131</v>
      </c>
      <c r="CE326" s="447" t="str">
        <f t="shared" si="25"/>
        <v>Scorpio - Water</v>
      </c>
    </row>
    <row r="327" spans="79:83">
      <c r="CA327" s="446">
        <v>44156</v>
      </c>
      <c r="CB327" s="205" t="str">
        <f t="shared" si="26"/>
        <v>21-Nov</v>
      </c>
      <c r="CC327" s="205" t="s">
        <v>123</v>
      </c>
      <c r="CD327" s="447" t="s">
        <v>131</v>
      </c>
      <c r="CE327" s="447" t="str">
        <f t="shared" si="25"/>
        <v>Scorpio - Water</v>
      </c>
    </row>
    <row r="328" spans="79:83">
      <c r="CA328" s="446">
        <v>44157</v>
      </c>
      <c r="CB328" s="205" t="str">
        <f t="shared" si="26"/>
        <v>22-Nov</v>
      </c>
      <c r="CC328" s="205" t="s">
        <v>124</v>
      </c>
      <c r="CD328" s="447" t="s">
        <v>129</v>
      </c>
      <c r="CE328" s="447" t="str">
        <f t="shared" si="25"/>
        <v>Sagittarius - Fire</v>
      </c>
    </row>
    <row r="329" spans="79:83">
      <c r="CA329" s="446">
        <v>44158</v>
      </c>
      <c r="CB329" s="205" t="str">
        <f t="shared" si="26"/>
        <v>23-Nov</v>
      </c>
      <c r="CC329" s="205" t="s">
        <v>124</v>
      </c>
      <c r="CD329" s="447" t="s">
        <v>129</v>
      </c>
      <c r="CE329" s="447" t="str">
        <f t="shared" si="25"/>
        <v>Sagittarius - Fire</v>
      </c>
    </row>
    <row r="330" spans="79:83">
      <c r="CA330" s="446">
        <v>44159</v>
      </c>
      <c r="CB330" s="205" t="str">
        <f t="shared" si="26"/>
        <v>24-Nov</v>
      </c>
      <c r="CC330" s="205" t="s">
        <v>124</v>
      </c>
      <c r="CD330" s="447" t="s">
        <v>129</v>
      </c>
      <c r="CE330" s="447" t="str">
        <f t="shared" si="25"/>
        <v>Sagittarius - Fire</v>
      </c>
    </row>
    <row r="331" spans="79:83">
      <c r="CA331" s="446">
        <v>44160</v>
      </c>
      <c r="CB331" s="205" t="str">
        <f t="shared" si="26"/>
        <v>25-Nov</v>
      </c>
      <c r="CC331" s="205" t="s">
        <v>124</v>
      </c>
      <c r="CD331" s="447" t="s">
        <v>129</v>
      </c>
      <c r="CE331" s="447" t="str">
        <f t="shared" si="25"/>
        <v>Sagittarius - Fire</v>
      </c>
    </row>
    <row r="332" spans="79:83">
      <c r="CA332" s="446">
        <v>44161</v>
      </c>
      <c r="CB332" s="205" t="str">
        <f t="shared" si="26"/>
        <v>26-Nov</v>
      </c>
      <c r="CC332" s="205" t="s">
        <v>124</v>
      </c>
      <c r="CD332" s="447" t="s">
        <v>129</v>
      </c>
      <c r="CE332" s="447" t="str">
        <f t="shared" si="25"/>
        <v>Sagittarius - Fire</v>
      </c>
    </row>
    <row r="333" spans="79:83">
      <c r="CA333" s="446">
        <v>44162</v>
      </c>
      <c r="CB333" s="205" t="str">
        <f t="shared" si="26"/>
        <v>27-Nov</v>
      </c>
      <c r="CC333" s="205" t="s">
        <v>124</v>
      </c>
      <c r="CD333" s="447" t="s">
        <v>129</v>
      </c>
      <c r="CE333" s="447" t="str">
        <f t="shared" si="25"/>
        <v>Sagittarius - Fire</v>
      </c>
    </row>
    <row r="334" spans="79:83">
      <c r="CA334" s="446">
        <v>44163</v>
      </c>
      <c r="CB334" s="205" t="str">
        <f t="shared" si="26"/>
        <v>28-Nov</v>
      </c>
      <c r="CC334" s="205" t="s">
        <v>124</v>
      </c>
      <c r="CD334" s="447" t="s">
        <v>129</v>
      </c>
      <c r="CE334" s="447" t="str">
        <f t="shared" si="25"/>
        <v>Sagittarius - Fire</v>
      </c>
    </row>
    <row r="335" spans="79:83">
      <c r="CA335" s="446">
        <v>44164</v>
      </c>
      <c r="CB335" s="205" t="str">
        <f t="shared" si="26"/>
        <v>29-Nov</v>
      </c>
      <c r="CC335" s="205" t="s">
        <v>124</v>
      </c>
      <c r="CD335" s="447" t="s">
        <v>129</v>
      </c>
      <c r="CE335" s="447" t="str">
        <f t="shared" si="25"/>
        <v>Sagittarius - Fire</v>
      </c>
    </row>
    <row r="336" spans="79:83">
      <c r="CA336" s="446">
        <v>44165</v>
      </c>
      <c r="CB336" s="205" t="str">
        <f t="shared" si="26"/>
        <v>30-Nov</v>
      </c>
      <c r="CC336" s="205" t="s">
        <v>124</v>
      </c>
      <c r="CD336" s="447" t="s">
        <v>129</v>
      </c>
      <c r="CE336" s="447" t="str">
        <f t="shared" si="25"/>
        <v>Sagittarius - Fire</v>
      </c>
    </row>
    <row r="337" spans="79:83">
      <c r="CA337" s="446">
        <v>44166</v>
      </c>
      <c r="CB337" s="205" t="str">
        <f t="shared" si="26"/>
        <v>01-Dec</v>
      </c>
      <c r="CC337" s="205" t="s">
        <v>124</v>
      </c>
      <c r="CD337" s="447" t="s">
        <v>129</v>
      </c>
      <c r="CE337" s="447" t="str">
        <f t="shared" si="25"/>
        <v>Sagittarius - Fire</v>
      </c>
    </row>
    <row r="338" spans="79:83">
      <c r="CA338" s="446">
        <v>44167</v>
      </c>
      <c r="CB338" s="205" t="str">
        <f t="shared" si="26"/>
        <v>02-Dec</v>
      </c>
      <c r="CC338" s="205" t="s">
        <v>124</v>
      </c>
      <c r="CD338" s="447" t="s">
        <v>129</v>
      </c>
      <c r="CE338" s="447" t="str">
        <f t="shared" si="25"/>
        <v>Sagittarius - Fire</v>
      </c>
    </row>
    <row r="339" spans="79:83">
      <c r="CA339" s="446">
        <v>44168</v>
      </c>
      <c r="CB339" s="205" t="str">
        <f t="shared" si="26"/>
        <v>03-Dec</v>
      </c>
      <c r="CC339" s="205" t="s">
        <v>124</v>
      </c>
      <c r="CD339" s="447" t="s">
        <v>129</v>
      </c>
      <c r="CE339" s="447" t="str">
        <f t="shared" si="25"/>
        <v>Sagittarius - Fire</v>
      </c>
    </row>
    <row r="340" spans="79:83">
      <c r="CA340" s="446">
        <v>44169</v>
      </c>
      <c r="CB340" s="205" t="str">
        <f t="shared" si="26"/>
        <v>04-Dec</v>
      </c>
      <c r="CC340" s="205" t="s">
        <v>124</v>
      </c>
      <c r="CD340" s="447" t="s">
        <v>129</v>
      </c>
      <c r="CE340" s="447" t="str">
        <f t="shared" si="25"/>
        <v>Sagittarius - Fire</v>
      </c>
    </row>
    <row r="341" spans="79:83">
      <c r="CA341" s="446">
        <v>44170</v>
      </c>
      <c r="CB341" s="205" t="str">
        <f t="shared" si="26"/>
        <v>05-Dec</v>
      </c>
      <c r="CC341" s="205" t="s">
        <v>124</v>
      </c>
      <c r="CD341" s="447" t="s">
        <v>129</v>
      </c>
      <c r="CE341" s="447" t="str">
        <f t="shared" si="25"/>
        <v>Sagittarius - Fire</v>
      </c>
    </row>
    <row r="342" spans="79:83">
      <c r="CA342" s="446">
        <v>44171</v>
      </c>
      <c r="CB342" s="205" t="str">
        <f t="shared" si="26"/>
        <v>06-Dec</v>
      </c>
      <c r="CC342" s="205" t="s">
        <v>124</v>
      </c>
      <c r="CD342" s="447" t="s">
        <v>129</v>
      </c>
      <c r="CE342" s="447" t="str">
        <f t="shared" si="25"/>
        <v>Sagittarius - Fire</v>
      </c>
    </row>
    <row r="343" spans="79:83">
      <c r="CA343" s="446">
        <v>44172</v>
      </c>
      <c r="CB343" s="205" t="str">
        <f t="shared" si="26"/>
        <v>07-Dec</v>
      </c>
      <c r="CC343" s="205" t="s">
        <v>124</v>
      </c>
      <c r="CD343" s="447" t="s">
        <v>129</v>
      </c>
      <c r="CE343" s="447" t="str">
        <f t="shared" si="25"/>
        <v>Sagittarius - Fire</v>
      </c>
    </row>
    <row r="344" spans="79:83">
      <c r="CA344" s="446">
        <v>44173</v>
      </c>
      <c r="CB344" s="205" t="str">
        <f t="shared" si="26"/>
        <v>08-Dec</v>
      </c>
      <c r="CC344" s="205" t="s">
        <v>124</v>
      </c>
      <c r="CD344" s="447" t="s">
        <v>129</v>
      </c>
      <c r="CE344" s="447" t="str">
        <f t="shared" si="25"/>
        <v>Sagittarius - Fire</v>
      </c>
    </row>
    <row r="345" spans="79:83">
      <c r="CA345" s="446">
        <v>44174</v>
      </c>
      <c r="CB345" s="205" t="str">
        <f t="shared" si="26"/>
        <v>09-Dec</v>
      </c>
      <c r="CC345" s="205" t="s">
        <v>124</v>
      </c>
      <c r="CD345" s="447" t="s">
        <v>129</v>
      </c>
      <c r="CE345" s="447" t="str">
        <f t="shared" si="25"/>
        <v>Sagittarius - Fire</v>
      </c>
    </row>
    <row r="346" spans="79:83">
      <c r="CA346" s="446">
        <v>44175</v>
      </c>
      <c r="CB346" s="205" t="str">
        <f t="shared" si="26"/>
        <v>10-Dec</v>
      </c>
      <c r="CC346" s="205" t="s">
        <v>124</v>
      </c>
      <c r="CD346" s="447" t="s">
        <v>129</v>
      </c>
      <c r="CE346" s="447" t="str">
        <f t="shared" si="25"/>
        <v>Sagittarius - Fire</v>
      </c>
    </row>
    <row r="347" spans="79:83">
      <c r="CA347" s="446">
        <v>44176</v>
      </c>
      <c r="CB347" s="205" t="str">
        <f t="shared" si="26"/>
        <v>11-Dec</v>
      </c>
      <c r="CC347" s="205" t="s">
        <v>124</v>
      </c>
      <c r="CD347" s="447" t="s">
        <v>129</v>
      </c>
      <c r="CE347" s="447" t="str">
        <f t="shared" si="25"/>
        <v>Sagittarius - Fire</v>
      </c>
    </row>
    <row r="348" spans="79:83">
      <c r="CA348" s="446">
        <v>44177</v>
      </c>
      <c r="CB348" s="205" t="str">
        <f t="shared" si="26"/>
        <v>12-Dec</v>
      </c>
      <c r="CC348" s="205" t="s">
        <v>124</v>
      </c>
      <c r="CD348" s="447" t="s">
        <v>129</v>
      </c>
      <c r="CE348" s="447" t="str">
        <f t="shared" si="25"/>
        <v>Sagittarius - Fire</v>
      </c>
    </row>
    <row r="349" spans="79:83">
      <c r="CA349" s="446">
        <v>44178</v>
      </c>
      <c r="CB349" s="205" t="str">
        <f t="shared" si="26"/>
        <v>13-Dec</v>
      </c>
      <c r="CC349" s="205" t="s">
        <v>124</v>
      </c>
      <c r="CD349" s="447" t="s">
        <v>129</v>
      </c>
      <c r="CE349" s="447" t="str">
        <f t="shared" si="25"/>
        <v>Sagittarius - Fire</v>
      </c>
    </row>
    <row r="350" spans="79:83">
      <c r="CA350" s="446">
        <v>44179</v>
      </c>
      <c r="CB350" s="205" t="str">
        <f t="shared" si="26"/>
        <v>14-Dec</v>
      </c>
      <c r="CC350" s="205" t="s">
        <v>124</v>
      </c>
      <c r="CD350" s="447" t="s">
        <v>129</v>
      </c>
      <c r="CE350" s="447" t="str">
        <f t="shared" si="25"/>
        <v>Sagittarius - Fire</v>
      </c>
    </row>
    <row r="351" spans="79:83">
      <c r="CA351" s="446">
        <v>44180</v>
      </c>
      <c r="CB351" s="205" t="str">
        <f t="shared" si="26"/>
        <v>15-Dec</v>
      </c>
      <c r="CC351" s="205" t="s">
        <v>124</v>
      </c>
      <c r="CD351" s="447" t="s">
        <v>129</v>
      </c>
      <c r="CE351" s="447" t="str">
        <f t="shared" si="25"/>
        <v>Sagittarius - Fire</v>
      </c>
    </row>
    <row r="352" spans="79:83">
      <c r="CA352" s="446">
        <v>44181</v>
      </c>
      <c r="CB352" s="205" t="str">
        <f t="shared" si="26"/>
        <v>16-Dec</v>
      </c>
      <c r="CC352" s="205" t="s">
        <v>124</v>
      </c>
      <c r="CD352" s="447" t="s">
        <v>129</v>
      </c>
      <c r="CE352" s="447" t="str">
        <f t="shared" si="25"/>
        <v>Sagittarius - Fire</v>
      </c>
    </row>
    <row r="353" spans="79:83">
      <c r="CA353" s="446">
        <v>44182</v>
      </c>
      <c r="CB353" s="205" t="str">
        <f t="shared" si="26"/>
        <v>17-Dec</v>
      </c>
      <c r="CC353" s="205" t="s">
        <v>124</v>
      </c>
      <c r="CD353" s="447" t="s">
        <v>129</v>
      </c>
      <c r="CE353" s="447" t="str">
        <f t="shared" si="25"/>
        <v>Sagittarius - Fire</v>
      </c>
    </row>
    <row r="354" spans="79:83">
      <c r="CA354" s="446">
        <v>44183</v>
      </c>
      <c r="CB354" s="205" t="str">
        <f t="shared" si="26"/>
        <v>18-Dec</v>
      </c>
      <c r="CC354" s="205" t="s">
        <v>124</v>
      </c>
      <c r="CD354" s="447" t="s">
        <v>129</v>
      </c>
      <c r="CE354" s="447" t="str">
        <f t="shared" si="25"/>
        <v>Sagittarius - Fire</v>
      </c>
    </row>
    <row r="355" spans="79:83">
      <c r="CA355" s="446">
        <v>44184</v>
      </c>
      <c r="CB355" s="205" t="str">
        <f t="shared" si="26"/>
        <v>19-Dec</v>
      </c>
      <c r="CC355" s="205" t="s">
        <v>124</v>
      </c>
      <c r="CD355" s="447" t="s">
        <v>129</v>
      </c>
      <c r="CE355" s="447" t="str">
        <f t="shared" si="25"/>
        <v>Sagittarius - Fire</v>
      </c>
    </row>
    <row r="356" spans="79:83">
      <c r="CA356" s="446">
        <v>44185</v>
      </c>
      <c r="CB356" s="205" t="str">
        <f t="shared" si="26"/>
        <v>20-Dec</v>
      </c>
      <c r="CC356" s="205" t="s">
        <v>124</v>
      </c>
      <c r="CD356" s="447" t="s">
        <v>129</v>
      </c>
      <c r="CE356" s="447" t="str">
        <f t="shared" si="25"/>
        <v>Sagittarius - Fire</v>
      </c>
    </row>
    <row r="357" spans="79:83">
      <c r="CA357" s="446">
        <v>44186</v>
      </c>
      <c r="CB357" s="205" t="str">
        <f t="shared" si="26"/>
        <v>21-Dec</v>
      </c>
      <c r="CC357" s="205" t="s">
        <v>124</v>
      </c>
      <c r="CD357" s="447" t="s">
        <v>129</v>
      </c>
      <c r="CE357" s="447" t="str">
        <f>CC357&amp;" - "&amp;CD357</f>
        <v>Sagittarius - Fire</v>
      </c>
    </row>
    <row r="358" spans="79:83">
      <c r="CA358" s="446">
        <v>44187</v>
      </c>
      <c r="CB358" s="205" t="str">
        <f t="shared" si="26"/>
        <v>22-Dec</v>
      </c>
      <c r="CC358" s="205" t="s">
        <v>113</v>
      </c>
      <c r="CD358" s="447" t="s">
        <v>130</v>
      </c>
      <c r="CE358" s="447" t="str">
        <f t="shared" si="25"/>
        <v>Capricorn - Earth</v>
      </c>
    </row>
    <row r="359" spans="79:83">
      <c r="CA359" s="446">
        <v>44188</v>
      </c>
      <c r="CB359" s="205" t="str">
        <f t="shared" si="26"/>
        <v>23-Dec</v>
      </c>
      <c r="CC359" s="205" t="s">
        <v>113</v>
      </c>
      <c r="CD359" s="447" t="s">
        <v>130</v>
      </c>
      <c r="CE359" s="447" t="str">
        <f t="shared" si="25"/>
        <v>Capricorn - Earth</v>
      </c>
    </row>
    <row r="360" spans="79:83">
      <c r="CA360" s="446">
        <v>44189</v>
      </c>
      <c r="CB360" s="205" t="str">
        <f t="shared" si="26"/>
        <v>24-Dec</v>
      </c>
      <c r="CC360" s="205" t="s">
        <v>113</v>
      </c>
      <c r="CD360" s="447" t="s">
        <v>130</v>
      </c>
      <c r="CE360" s="447" t="str">
        <f t="shared" si="25"/>
        <v>Capricorn - Earth</v>
      </c>
    </row>
    <row r="361" spans="79:83">
      <c r="CA361" s="446">
        <v>44190</v>
      </c>
      <c r="CB361" s="205" t="str">
        <f t="shared" si="26"/>
        <v>25-Dec</v>
      </c>
      <c r="CC361" s="205" t="s">
        <v>113</v>
      </c>
      <c r="CD361" s="447" t="s">
        <v>130</v>
      </c>
      <c r="CE361" s="447" t="str">
        <f t="shared" si="25"/>
        <v>Capricorn - Earth</v>
      </c>
    </row>
    <row r="362" spans="79:83">
      <c r="CA362" s="446">
        <v>44191</v>
      </c>
      <c r="CB362" s="205" t="str">
        <f t="shared" si="26"/>
        <v>26-Dec</v>
      </c>
      <c r="CC362" s="205" t="s">
        <v>113</v>
      </c>
      <c r="CD362" s="447" t="s">
        <v>130</v>
      </c>
      <c r="CE362" s="447" t="str">
        <f t="shared" si="25"/>
        <v>Capricorn - Earth</v>
      </c>
    </row>
    <row r="363" spans="79:83">
      <c r="CA363" s="446">
        <v>44192</v>
      </c>
      <c r="CB363" s="205" t="str">
        <f t="shared" si="26"/>
        <v>27-Dec</v>
      </c>
      <c r="CC363" s="205" t="s">
        <v>113</v>
      </c>
      <c r="CD363" s="447" t="s">
        <v>130</v>
      </c>
      <c r="CE363" s="447" t="str">
        <f t="shared" si="25"/>
        <v>Capricorn - Earth</v>
      </c>
    </row>
    <row r="364" spans="79:83">
      <c r="CA364" s="446">
        <v>44193</v>
      </c>
      <c r="CB364" s="205" t="str">
        <f t="shared" si="26"/>
        <v>28-Dec</v>
      </c>
      <c r="CC364" s="205" t="s">
        <v>113</v>
      </c>
      <c r="CD364" s="447" t="s">
        <v>130</v>
      </c>
      <c r="CE364" s="447" t="str">
        <f t="shared" si="25"/>
        <v>Capricorn - Earth</v>
      </c>
    </row>
    <row r="365" spans="79:83">
      <c r="CA365" s="446">
        <v>44194</v>
      </c>
      <c r="CB365" s="205" t="str">
        <f t="shared" si="26"/>
        <v>29-Dec</v>
      </c>
      <c r="CC365" s="205" t="s">
        <v>113</v>
      </c>
      <c r="CD365" s="447" t="s">
        <v>130</v>
      </c>
      <c r="CE365" s="447" t="str">
        <f t="shared" si="25"/>
        <v>Capricorn - Earth</v>
      </c>
    </row>
    <row r="366" spans="79:83">
      <c r="CA366" s="446">
        <v>44195</v>
      </c>
      <c r="CB366" s="205" t="str">
        <f t="shared" si="26"/>
        <v>30-Dec</v>
      </c>
      <c r="CC366" s="205" t="s">
        <v>113</v>
      </c>
      <c r="CD366" s="447" t="s">
        <v>130</v>
      </c>
      <c r="CE366" s="447" t="str">
        <f t="shared" si="25"/>
        <v>Capricorn - Earth</v>
      </c>
    </row>
    <row r="367" spans="79:83">
      <c r="CA367" s="446">
        <v>44196</v>
      </c>
      <c r="CB367" s="205" t="str">
        <f t="shared" si="26"/>
        <v>31-Dec</v>
      </c>
      <c r="CC367" s="205" t="s">
        <v>113</v>
      </c>
      <c r="CD367" s="447" t="s">
        <v>130</v>
      </c>
      <c r="CE367" s="447" t="str">
        <f t="shared" si="25"/>
        <v>Capricorn - Earth</v>
      </c>
    </row>
  </sheetData>
  <mergeCells count="18">
    <mergeCell ref="AY1:AZ1"/>
    <mergeCell ref="R1:S1"/>
    <mergeCell ref="U1:V1"/>
    <mergeCell ref="X1:Y1"/>
    <mergeCell ref="AA1:AB1"/>
    <mergeCell ref="AD1:AE1"/>
    <mergeCell ref="AG1:AH1"/>
    <mergeCell ref="AJ1:AK1"/>
    <mergeCell ref="AM1:AN1"/>
    <mergeCell ref="AP1:AQ1"/>
    <mergeCell ref="AS1:AT1"/>
    <mergeCell ref="AV1:AW1"/>
    <mergeCell ref="D5:E5"/>
    <mergeCell ref="G5:H5"/>
    <mergeCell ref="J5:M5"/>
    <mergeCell ref="D6:E6"/>
    <mergeCell ref="G6:H6"/>
    <mergeCell ref="J6:M6"/>
  </mergeCells>
  <conditionalFormatting sqref="S3:S33 Y3:Y33 AB3:AB32 AE3:AE33 AH3:AH32 AK3:AK33 AN3:AN33 AQ3:AQ32 AT3:AT33 AW3:AW32 AZ3:AZ33 V3:V31">
    <cfRule type="cellIs" dxfId="100" priority="7" operator="equal">
      <formula>$D$8</formula>
    </cfRule>
    <cfRule type="cellIs" dxfId="99" priority="8" operator="equal">
      <formula>$D$7</formula>
    </cfRule>
  </conditionalFormatting>
  <conditionalFormatting sqref="S3:S33">
    <cfRule type="cellIs" dxfId="98" priority="6" operator="equal">
      <formula>$F$16</formula>
    </cfRule>
  </conditionalFormatting>
  <conditionalFormatting sqref="V3:V31">
    <cfRule type="cellIs" dxfId="97" priority="5" operator="equal">
      <formula>$F$16</formula>
    </cfRule>
  </conditionalFormatting>
  <conditionalFormatting sqref="Y3:Y33 AB3:AB32 AE3:AE33 AH3:AH32 AK3:AK33 AN3:AN33 AQ3:AQ32 AT3:AT33 AW3:AW32 AZ3:AZ33">
    <cfRule type="cellIs" dxfId="96" priority="4" operator="equal">
      <formula>$F$16</formula>
    </cfRule>
  </conditionalFormatting>
  <conditionalFormatting sqref="D23">
    <cfRule type="cellIs" dxfId="95" priority="2" operator="equal">
      <formula>$D$7</formula>
    </cfRule>
    <cfRule type="cellIs" dxfId="94" priority="3" operator="equal">
      <formula>$D$8</formula>
    </cfRule>
  </conditionalFormatting>
  <conditionalFormatting sqref="D23">
    <cfRule type="cellIs" dxfId="93" priority="1" operator="equal">
      <formula>$F$16</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sheetPr codeName="Sheet8"/>
  <dimension ref="A1:CG102"/>
  <sheetViews>
    <sheetView zoomScale="85" zoomScaleNormal="85" workbookViewId="0">
      <selection activeCell="AQ15" sqref="AQ15"/>
    </sheetView>
  </sheetViews>
  <sheetFormatPr defaultColWidth="9.1796875" defaultRowHeight="14.5"/>
  <cols>
    <col min="1" max="1" width="13.1796875" style="564" bestFit="1" customWidth="1"/>
    <col min="2" max="2" width="10.1796875" style="564" bestFit="1" customWidth="1"/>
    <col min="3" max="3" width="2.7265625" style="564" bestFit="1" customWidth="1"/>
    <col min="4" max="4" width="2" style="564" bestFit="1" customWidth="1"/>
    <col min="5" max="8" width="2.1796875" style="564" bestFit="1" customWidth="1"/>
    <col min="9" max="38" width="2" style="564" bestFit="1" customWidth="1"/>
    <col min="39" max="40" width="3.453125" style="564" bestFit="1" customWidth="1"/>
    <col min="41" max="41" width="4.26953125" style="564" bestFit="1" customWidth="1"/>
    <col min="42" max="42" width="5.54296875" style="564" bestFit="1" customWidth="1"/>
    <col min="43" max="43" width="9.1796875" style="564"/>
    <col min="44" max="50" width="5.1796875" style="564" customWidth="1"/>
    <col min="51" max="51" width="8.453125" style="564" bestFit="1" customWidth="1"/>
    <col min="52" max="52" width="2.7265625" style="564" customWidth="1"/>
    <col min="53" max="53" width="7.54296875" style="564" customWidth="1"/>
    <col min="54" max="54" width="2.453125" style="564" customWidth="1"/>
    <col min="55" max="55" width="3.54296875" style="564" customWidth="1"/>
    <col min="56" max="56" width="2.26953125" style="564" customWidth="1"/>
    <col min="57" max="57" width="2.7265625" style="564" customWidth="1"/>
    <col min="58" max="58" width="3.54296875" style="564" customWidth="1"/>
    <col min="59" max="59" width="2.81640625" style="564" customWidth="1"/>
    <col min="60" max="61" width="3.54296875" style="564" customWidth="1"/>
    <col min="62" max="62" width="5.54296875" style="564" customWidth="1"/>
    <col min="63" max="63" width="3.7265625" style="564" customWidth="1"/>
    <col min="64" max="64" width="9.1796875" style="566" customWidth="1"/>
    <col min="65" max="65" width="8.26953125" style="566" customWidth="1"/>
    <col min="66" max="66" width="2" style="564" customWidth="1"/>
    <col min="67" max="67" width="9.1796875" style="564" customWidth="1"/>
    <col min="68" max="68" width="10.54296875" style="567" customWidth="1"/>
    <col min="69" max="69" width="2.54296875" style="564" customWidth="1"/>
    <col min="70" max="70" width="9.54296875" style="564" bestFit="1" customWidth="1"/>
    <col min="71" max="71" width="7.54296875" style="564" customWidth="1"/>
    <col min="72" max="72" width="13.7265625" style="564" bestFit="1" customWidth="1"/>
    <col min="73" max="73" width="5.81640625" style="564" bestFit="1" customWidth="1"/>
    <col min="74" max="74" width="3.7265625" style="564" customWidth="1"/>
    <col min="75" max="75" width="15.1796875" style="564" bestFit="1" customWidth="1"/>
    <col min="76" max="76" width="10" style="564" bestFit="1" customWidth="1"/>
    <col min="77" max="77" width="5.7265625" style="564" bestFit="1" customWidth="1"/>
    <col min="78" max="78" width="6.1796875" style="564" bestFit="1" customWidth="1"/>
    <col min="79" max="79" width="6" style="564" customWidth="1"/>
    <col min="80" max="80" width="3.81640625" style="564" bestFit="1" customWidth="1"/>
    <col min="81" max="81" width="5.81640625" style="564" bestFit="1" customWidth="1"/>
    <col min="82" max="84" width="5.1796875" style="564" customWidth="1"/>
    <col min="85" max="85" width="6.26953125" style="564" bestFit="1" customWidth="1"/>
    <col min="86" max="16384" width="9.1796875" style="564"/>
  </cols>
  <sheetData>
    <row r="1" spans="1:85" ht="15" thickBot="1">
      <c r="A1" s="560" t="s">
        <v>17</v>
      </c>
      <c r="B1" s="561" t="str">
        <f>'Master Calculator'!B16</f>
        <v>ACHARYA</v>
      </c>
      <c r="C1" s="561" t="str">
        <f>MID($B1,COLUMNS($B$13:B$13),1)</f>
        <v>A</v>
      </c>
      <c r="D1" s="561" t="str">
        <f>MID($B1,COLUMNS($B$13:C$13),1)</f>
        <v>C</v>
      </c>
      <c r="E1" s="561" t="str">
        <f>MID($B1,COLUMNS($B$13:D$13),1)</f>
        <v>H</v>
      </c>
      <c r="F1" s="561" t="str">
        <f>MID($B1,COLUMNS($B$13:E$13),1)</f>
        <v>A</v>
      </c>
      <c r="G1" s="561" t="str">
        <f>MID($B1,COLUMNS($B$13:F$13),1)</f>
        <v>R</v>
      </c>
      <c r="H1" s="561" t="str">
        <f>MID($B1,COLUMNS($B$13:G$13),1)</f>
        <v>Y</v>
      </c>
      <c r="I1" s="561" t="str">
        <f>MID($B1,COLUMNS($B$13:H$13),1)</f>
        <v>A</v>
      </c>
      <c r="J1" s="561" t="str">
        <f>MID($B1,COLUMNS($B$13:I$13),1)</f>
        <v/>
      </c>
      <c r="K1" s="561" t="str">
        <f>MID($B1,COLUMNS($B$13:J$13),1)</f>
        <v/>
      </c>
      <c r="L1" s="561" t="str">
        <f>MID($B1,COLUMNS($B$13:K$13),1)</f>
        <v/>
      </c>
      <c r="M1" s="561" t="str">
        <f>MID($B1,COLUMNS($B$13:L$13),1)</f>
        <v/>
      </c>
      <c r="N1" s="561" t="str">
        <f>MID($B1,COLUMNS($B$13:M$13),1)</f>
        <v/>
      </c>
      <c r="O1" s="561" t="str">
        <f>MID($B1,COLUMNS($B$13:N$13),1)</f>
        <v/>
      </c>
      <c r="P1" s="561" t="str">
        <f>MID($B1,COLUMNS($B$13:O$13),1)</f>
        <v/>
      </c>
      <c r="Q1" s="561" t="str">
        <f>MID($B1,COLUMNS($B$13:P$13),1)</f>
        <v/>
      </c>
      <c r="R1" s="561" t="str">
        <f>MID($B1,COLUMNS($B$13:Q$13),1)</f>
        <v/>
      </c>
      <c r="S1" s="561" t="str">
        <f>MID($B1,COLUMNS($B$13:R$13),1)</f>
        <v/>
      </c>
      <c r="T1" s="561" t="str">
        <f>MID($B1,COLUMNS($B$13:S$13),1)</f>
        <v/>
      </c>
      <c r="U1" s="561" t="str">
        <f>MID($B1,COLUMNS($B$13:T$13),1)</f>
        <v/>
      </c>
      <c r="V1" s="561" t="str">
        <f>MID($B1,COLUMNS($B$13:U$13),1)</f>
        <v/>
      </c>
      <c r="W1" s="561" t="str">
        <f>MID($B1,COLUMNS($B$13:V$13),1)</f>
        <v/>
      </c>
      <c r="X1" s="561" t="str">
        <f>MID($B1,COLUMNS($B$13:W$13),1)</f>
        <v/>
      </c>
      <c r="Y1" s="561" t="str">
        <f>MID($B1,COLUMNS($B$13:X$13),1)</f>
        <v/>
      </c>
      <c r="Z1" s="561" t="str">
        <f>MID($B1,COLUMNS($B$13:Y$13),1)</f>
        <v/>
      </c>
      <c r="AA1" s="561" t="str">
        <f>MID($B1,COLUMNS($B$13:Z$13),1)</f>
        <v/>
      </c>
      <c r="AB1" s="561" t="str">
        <f>MID($B1,COLUMNS($B$13:AA$13),1)</f>
        <v/>
      </c>
      <c r="AC1" s="561" t="str">
        <f>MID($B1,COLUMNS($B$13:AB$13),1)</f>
        <v/>
      </c>
      <c r="AD1" s="561" t="str">
        <f>MID($B1,COLUMNS($B$13:AC$13),1)</f>
        <v/>
      </c>
      <c r="AE1" s="561" t="str">
        <f>MID($B1,COLUMNS($B$13:AD$13),1)</f>
        <v/>
      </c>
      <c r="AF1" s="561" t="str">
        <f>MID($B1,COLUMNS($B$13:AE$13),1)</f>
        <v/>
      </c>
      <c r="AG1" s="561" t="str">
        <f>MID($B1,COLUMNS($B$13:AF$13),1)</f>
        <v/>
      </c>
      <c r="AH1" s="561" t="str">
        <f>MID($B1,COLUMNS($B$13:AG$13),1)</f>
        <v/>
      </c>
      <c r="AI1" s="561" t="str">
        <f>MID($B1,COLUMNS($B$13:AH$13),1)</f>
        <v/>
      </c>
      <c r="AJ1" s="561" t="str">
        <f>MID($B1,COLUMNS($B$13:AI$13),1)</f>
        <v/>
      </c>
      <c r="AK1" s="561" t="str">
        <f>MID($B1,COLUMNS($B$13:AJ$13),1)</f>
        <v/>
      </c>
      <c r="AL1" s="561" t="str">
        <f>MID($B1,COLUMNS($B$13:AK$13),1)</f>
        <v/>
      </c>
      <c r="AM1" s="561"/>
      <c r="AN1" s="561"/>
      <c r="AO1" s="562"/>
      <c r="AP1" s="563"/>
      <c r="AQ1" s="564" t="s">
        <v>4</v>
      </c>
      <c r="BA1" s="627" t="s">
        <v>4</v>
      </c>
      <c r="BB1" s="565" t="s">
        <v>5</v>
      </c>
      <c r="BC1" s="565" t="s">
        <v>6</v>
      </c>
      <c r="BD1" s="565" t="s">
        <v>7</v>
      </c>
      <c r="BE1" s="565" t="s">
        <v>8</v>
      </c>
      <c r="BF1" s="565" t="s">
        <v>9</v>
      </c>
      <c r="CG1" s="568">
        <v>1</v>
      </c>
    </row>
    <row r="2" spans="1:85">
      <c r="A2" s="560"/>
      <c r="B2" s="562"/>
      <c r="C2" s="561">
        <f t="shared" ref="C2:AL2" si="0">IFERROR(VLOOKUP(C1,$BL:$BM,2,0),0)</f>
        <v>1</v>
      </c>
      <c r="D2" s="561">
        <f t="shared" si="0"/>
        <v>3</v>
      </c>
      <c r="E2" s="561">
        <f t="shared" si="0"/>
        <v>5</v>
      </c>
      <c r="F2" s="561">
        <f t="shared" si="0"/>
        <v>1</v>
      </c>
      <c r="G2" s="561">
        <f t="shared" si="0"/>
        <v>2</v>
      </c>
      <c r="H2" s="561">
        <f t="shared" si="0"/>
        <v>1</v>
      </c>
      <c r="I2" s="561">
        <f t="shared" si="0"/>
        <v>1</v>
      </c>
      <c r="J2" s="561" t="str">
        <f t="shared" si="0"/>
        <v/>
      </c>
      <c r="K2" s="561" t="str">
        <f t="shared" si="0"/>
        <v/>
      </c>
      <c r="L2" s="561" t="str">
        <f t="shared" si="0"/>
        <v/>
      </c>
      <c r="M2" s="561" t="str">
        <f t="shared" si="0"/>
        <v/>
      </c>
      <c r="N2" s="561" t="str">
        <f t="shared" si="0"/>
        <v/>
      </c>
      <c r="O2" s="561" t="str">
        <f t="shared" si="0"/>
        <v/>
      </c>
      <c r="P2" s="561" t="str">
        <f t="shared" si="0"/>
        <v/>
      </c>
      <c r="Q2" s="561" t="str">
        <f t="shared" si="0"/>
        <v/>
      </c>
      <c r="R2" s="561" t="str">
        <f t="shared" si="0"/>
        <v/>
      </c>
      <c r="S2" s="561" t="str">
        <f t="shared" si="0"/>
        <v/>
      </c>
      <c r="T2" s="561" t="str">
        <f t="shared" si="0"/>
        <v/>
      </c>
      <c r="U2" s="561" t="str">
        <f t="shared" si="0"/>
        <v/>
      </c>
      <c r="V2" s="561" t="str">
        <f t="shared" si="0"/>
        <v/>
      </c>
      <c r="W2" s="561" t="str">
        <f t="shared" si="0"/>
        <v/>
      </c>
      <c r="X2" s="561" t="str">
        <f t="shared" si="0"/>
        <v/>
      </c>
      <c r="Y2" s="561" t="str">
        <f t="shared" si="0"/>
        <v/>
      </c>
      <c r="Z2" s="561" t="str">
        <f t="shared" si="0"/>
        <v/>
      </c>
      <c r="AA2" s="561" t="str">
        <f t="shared" si="0"/>
        <v/>
      </c>
      <c r="AB2" s="561" t="str">
        <f t="shared" si="0"/>
        <v/>
      </c>
      <c r="AC2" s="561" t="str">
        <f t="shared" si="0"/>
        <v/>
      </c>
      <c r="AD2" s="561" t="str">
        <f t="shared" si="0"/>
        <v/>
      </c>
      <c r="AE2" s="561" t="str">
        <f t="shared" si="0"/>
        <v/>
      </c>
      <c r="AF2" s="561" t="str">
        <f t="shared" si="0"/>
        <v/>
      </c>
      <c r="AG2" s="561" t="str">
        <f t="shared" si="0"/>
        <v/>
      </c>
      <c r="AH2" s="561" t="str">
        <f t="shared" si="0"/>
        <v/>
      </c>
      <c r="AI2" s="561" t="str">
        <f t="shared" si="0"/>
        <v/>
      </c>
      <c r="AJ2" s="561" t="str">
        <f t="shared" si="0"/>
        <v/>
      </c>
      <c r="AK2" s="561" t="str">
        <f t="shared" si="0"/>
        <v/>
      </c>
      <c r="AL2" s="561" t="str">
        <f t="shared" si="0"/>
        <v/>
      </c>
      <c r="AM2" s="561">
        <f>SUM(C2:AL2)</f>
        <v>14</v>
      </c>
      <c r="AN2" s="561">
        <f>IF(AM2&lt;10,AM2,((LEFT(AM2,1))+(RIGHT(AM2,1))))</f>
        <v>5</v>
      </c>
      <c r="AO2" s="562" t="s">
        <v>24</v>
      </c>
      <c r="AP2" s="563" t="str">
        <f>IF(AM2&gt;52,VLOOKUP(AN2,BO:BP,2,0),VLOOKUP(AM2,BO:BP,2,0))</f>
        <v>√</v>
      </c>
      <c r="AQ2" s="564">
        <f>AT2</f>
        <v>3</v>
      </c>
      <c r="AT2" s="566">
        <f>(AU2*AU3)+(AV2*AV3)+(AW2*AW3)+(AX2*AX3)+(AY2*AY3)</f>
        <v>3</v>
      </c>
      <c r="AU2" s="569">
        <f>IFERROR((HLOOKUP(BB1,$C$1:$AL$2,2,0)),0)</f>
        <v>1</v>
      </c>
      <c r="AV2" s="569">
        <f>IFERROR((HLOOKUP(BC1,$C$1:$AL$2,2,0)),0)</f>
        <v>0</v>
      </c>
      <c r="AW2" s="569">
        <f>IFERROR((HLOOKUP(BD1,$C$1:$AL$2,2,0)),0)</f>
        <v>0</v>
      </c>
      <c r="AX2" s="569">
        <f>IFERROR((HLOOKUP(BE1,$C$1:$AL$2,2,0)),0)</f>
        <v>0</v>
      </c>
      <c r="AY2" s="569">
        <f>IFERROR((HLOOKUP(BF1,$C$1:$AL$2,2,0)),0)</f>
        <v>0</v>
      </c>
      <c r="BA2" s="566"/>
      <c r="BB2" s="570">
        <v>1</v>
      </c>
      <c r="BC2" s="570">
        <v>5</v>
      </c>
      <c r="BD2" s="570">
        <v>1</v>
      </c>
      <c r="BE2" s="570">
        <v>7</v>
      </c>
      <c r="BF2" s="570">
        <v>6</v>
      </c>
      <c r="CG2" s="571" t="s">
        <v>14</v>
      </c>
    </row>
    <row r="3" spans="1:85">
      <c r="A3" s="560" t="s">
        <v>30</v>
      </c>
      <c r="B3" s="561" t="str">
        <f>'Master Calculator'!B17</f>
        <v>KAMLESH</v>
      </c>
      <c r="C3" s="561" t="str">
        <f>MID($B3,COLUMNS($B$15:B$15),1)</f>
        <v>K</v>
      </c>
      <c r="D3" s="561" t="str">
        <f>MID($B3,COLUMNS($B$15:C$15),1)</f>
        <v>A</v>
      </c>
      <c r="E3" s="561" t="str">
        <f>MID($B3,COLUMNS($B$15:D$15),1)</f>
        <v>M</v>
      </c>
      <c r="F3" s="561" t="str">
        <f>MID($B3,COLUMNS($B$15:E$15),1)</f>
        <v>L</v>
      </c>
      <c r="G3" s="561" t="str">
        <f>MID($B3,COLUMNS($B$15:F$15),1)</f>
        <v>E</v>
      </c>
      <c r="H3" s="561" t="str">
        <f>MID($B3,COLUMNS($B$15:G$15),1)</f>
        <v>S</v>
      </c>
      <c r="I3" s="561" t="str">
        <f>MID($B3,COLUMNS($B$15:H$15),1)</f>
        <v>H</v>
      </c>
      <c r="J3" s="561" t="str">
        <f>MID($B3,COLUMNS($B$15:I$15),1)</f>
        <v/>
      </c>
      <c r="K3" s="561" t="str">
        <f>MID($B3,COLUMNS($B$15:J$15),1)</f>
        <v/>
      </c>
      <c r="L3" s="561" t="str">
        <f>MID($B3,COLUMNS($B$15:K$15),1)</f>
        <v/>
      </c>
      <c r="M3" s="561" t="str">
        <f>MID($B3,COLUMNS($B$15:L$15),1)</f>
        <v/>
      </c>
      <c r="N3" s="561" t="str">
        <f>MID($B3,COLUMNS($B$15:M$15),1)</f>
        <v/>
      </c>
      <c r="O3" s="561" t="str">
        <f>MID($B3,COLUMNS($B$15:N$15),1)</f>
        <v/>
      </c>
      <c r="P3" s="561" t="str">
        <f>MID($B3,COLUMNS($B$15:O$15),1)</f>
        <v/>
      </c>
      <c r="Q3" s="561" t="str">
        <f>MID($B3,COLUMNS($B$15:P$15),1)</f>
        <v/>
      </c>
      <c r="R3" s="561" t="str">
        <f>MID($B3,COLUMNS($B$15:Q$15),1)</f>
        <v/>
      </c>
      <c r="S3" s="561" t="str">
        <f>MID($B3,COLUMNS($B$15:R$15),1)</f>
        <v/>
      </c>
      <c r="T3" s="561" t="str">
        <f>MID($B3,COLUMNS($B$15:S$15),1)</f>
        <v/>
      </c>
      <c r="U3" s="561" t="str">
        <f>MID($B3,COLUMNS($B$15:T$15),1)</f>
        <v/>
      </c>
      <c r="V3" s="561" t="str">
        <f>MID($B3,COLUMNS($B$15:U$15),1)</f>
        <v/>
      </c>
      <c r="W3" s="561" t="str">
        <f>MID($B3,COLUMNS($B$15:V$15),1)</f>
        <v/>
      </c>
      <c r="X3" s="561" t="str">
        <f>MID($B3,COLUMNS($B$15:W$15),1)</f>
        <v/>
      </c>
      <c r="Y3" s="561" t="str">
        <f>MID($B3,COLUMNS($B$15:X$15),1)</f>
        <v/>
      </c>
      <c r="Z3" s="561" t="str">
        <f>MID($B3,COLUMNS($B$15:Y$15),1)</f>
        <v/>
      </c>
      <c r="AA3" s="561" t="str">
        <f>MID($B3,COLUMNS($B$15:Z$15),1)</f>
        <v/>
      </c>
      <c r="AB3" s="561" t="str">
        <f>MID($B3,COLUMNS($B$15:AA$15),1)</f>
        <v/>
      </c>
      <c r="AC3" s="561" t="str">
        <f>MID($B3,COLUMNS($B$15:AB$15),1)</f>
        <v/>
      </c>
      <c r="AD3" s="561" t="str">
        <f>MID($B3,COLUMNS($B$15:AC$15),1)</f>
        <v/>
      </c>
      <c r="AE3" s="561" t="str">
        <f>MID($B3,COLUMNS($B$15:AD$15),1)</f>
        <v/>
      </c>
      <c r="AF3" s="561" t="str">
        <f>MID($B3,COLUMNS($B$15:AE$15),1)</f>
        <v/>
      </c>
      <c r="AG3" s="561" t="str">
        <f>MID($B3,COLUMNS($B$15:AF$15),1)</f>
        <v/>
      </c>
      <c r="AH3" s="561" t="str">
        <f>MID($B3,COLUMNS($B$15:AG$15),1)</f>
        <v/>
      </c>
      <c r="AI3" s="561" t="str">
        <f>MID($B3,COLUMNS($B$15:AH$15),1)</f>
        <v/>
      </c>
      <c r="AJ3" s="561" t="str">
        <f>MID($B3,COLUMNS($B$15:AI$15),1)</f>
        <v/>
      </c>
      <c r="AK3" s="561" t="str">
        <f>MID($B3,COLUMNS($B$15:AJ$15),1)</f>
        <v/>
      </c>
      <c r="AL3" s="561" t="str">
        <f>MID($B3,COLUMNS($B$15:AK$15),1)</f>
        <v/>
      </c>
      <c r="AM3" s="561"/>
      <c r="AN3" s="561"/>
      <c r="AO3" s="562"/>
      <c r="AP3" s="563"/>
      <c r="AT3" s="566"/>
      <c r="AU3" s="570">
        <f>COUNTIFS($C$1:$AL$1,BB1)</f>
        <v>3</v>
      </c>
      <c r="AV3" s="570">
        <f t="shared" ref="AV3:AY3" si="1">COUNTIFS($C$1:$AL$1,BC1)</f>
        <v>0</v>
      </c>
      <c r="AW3" s="570">
        <f t="shared" si="1"/>
        <v>0</v>
      </c>
      <c r="AX3" s="570">
        <f t="shared" si="1"/>
        <v>0</v>
      </c>
      <c r="AY3" s="570">
        <f t="shared" si="1"/>
        <v>0</v>
      </c>
      <c r="CG3" s="571" t="s">
        <v>43</v>
      </c>
    </row>
    <row r="4" spans="1:85">
      <c r="A4" s="560"/>
      <c r="B4" s="562"/>
      <c r="C4" s="561">
        <f t="shared" ref="C4:AL4" si="2">IFERROR(VLOOKUP(C3,$BL:$BM,2,0),0)</f>
        <v>2</v>
      </c>
      <c r="D4" s="561">
        <f t="shared" si="2"/>
        <v>1</v>
      </c>
      <c r="E4" s="561">
        <f t="shared" si="2"/>
        <v>4</v>
      </c>
      <c r="F4" s="561">
        <f t="shared" si="2"/>
        <v>3</v>
      </c>
      <c r="G4" s="561">
        <f t="shared" si="2"/>
        <v>5</v>
      </c>
      <c r="H4" s="561">
        <f t="shared" si="2"/>
        <v>3</v>
      </c>
      <c r="I4" s="561">
        <f t="shared" si="2"/>
        <v>5</v>
      </c>
      <c r="J4" s="561" t="str">
        <f t="shared" si="2"/>
        <v/>
      </c>
      <c r="K4" s="561" t="str">
        <f t="shared" si="2"/>
        <v/>
      </c>
      <c r="L4" s="561" t="str">
        <f t="shared" si="2"/>
        <v/>
      </c>
      <c r="M4" s="561" t="str">
        <f t="shared" si="2"/>
        <v/>
      </c>
      <c r="N4" s="561" t="str">
        <f t="shared" si="2"/>
        <v/>
      </c>
      <c r="O4" s="561" t="str">
        <f t="shared" si="2"/>
        <v/>
      </c>
      <c r="P4" s="561" t="str">
        <f t="shared" si="2"/>
        <v/>
      </c>
      <c r="Q4" s="561" t="str">
        <f t="shared" si="2"/>
        <v/>
      </c>
      <c r="R4" s="561" t="str">
        <f t="shared" si="2"/>
        <v/>
      </c>
      <c r="S4" s="561" t="str">
        <f t="shared" si="2"/>
        <v/>
      </c>
      <c r="T4" s="561" t="str">
        <f t="shared" si="2"/>
        <v/>
      </c>
      <c r="U4" s="561" t="str">
        <f t="shared" si="2"/>
        <v/>
      </c>
      <c r="V4" s="561" t="str">
        <f t="shared" si="2"/>
        <v/>
      </c>
      <c r="W4" s="561" t="str">
        <f t="shared" si="2"/>
        <v/>
      </c>
      <c r="X4" s="561" t="str">
        <f t="shared" si="2"/>
        <v/>
      </c>
      <c r="Y4" s="561" t="str">
        <f t="shared" si="2"/>
        <v/>
      </c>
      <c r="Z4" s="561" t="str">
        <f t="shared" si="2"/>
        <v/>
      </c>
      <c r="AA4" s="561" t="str">
        <f t="shared" si="2"/>
        <v/>
      </c>
      <c r="AB4" s="561" t="str">
        <f t="shared" si="2"/>
        <v/>
      </c>
      <c r="AC4" s="561" t="str">
        <f t="shared" si="2"/>
        <v/>
      </c>
      <c r="AD4" s="561" t="str">
        <f t="shared" si="2"/>
        <v/>
      </c>
      <c r="AE4" s="561" t="str">
        <f t="shared" si="2"/>
        <v/>
      </c>
      <c r="AF4" s="561" t="str">
        <f t="shared" si="2"/>
        <v/>
      </c>
      <c r="AG4" s="561" t="str">
        <f t="shared" si="2"/>
        <v/>
      </c>
      <c r="AH4" s="561" t="str">
        <f t="shared" si="2"/>
        <v/>
      </c>
      <c r="AI4" s="561" t="str">
        <f t="shared" si="2"/>
        <v/>
      </c>
      <c r="AJ4" s="561" t="str">
        <f t="shared" si="2"/>
        <v/>
      </c>
      <c r="AK4" s="561" t="str">
        <f t="shared" si="2"/>
        <v/>
      </c>
      <c r="AL4" s="561" t="str">
        <f t="shared" si="2"/>
        <v/>
      </c>
      <c r="AM4" s="561">
        <f>SUM(C4:AL4)</f>
        <v>23</v>
      </c>
      <c r="AN4" s="561">
        <f>IF(AM4&lt;10,AM4,((LEFT(AM4,1))+(RIGHT(AM4,1))))</f>
        <v>5</v>
      </c>
      <c r="AO4" s="562"/>
      <c r="AP4" s="563"/>
      <c r="AQ4" s="564">
        <f>AT5</f>
        <v>6</v>
      </c>
      <c r="AT4" s="566"/>
      <c r="AU4" s="570"/>
      <c r="AV4" s="570"/>
      <c r="AW4" s="570"/>
      <c r="AX4" s="570"/>
      <c r="AY4" s="570"/>
      <c r="CG4" s="571" t="s">
        <v>46</v>
      </c>
    </row>
    <row r="5" spans="1:85">
      <c r="A5" s="560" t="s">
        <v>37</v>
      </c>
      <c r="B5" s="561" t="str">
        <f>'Master Calculator'!B18</f>
        <v>MEENA</v>
      </c>
      <c r="C5" s="561" t="str">
        <f>MID($B5,COLUMNS($B$15:B$15),1)</f>
        <v>M</v>
      </c>
      <c r="D5" s="561" t="str">
        <f>MID($B5,COLUMNS($B$15:C$15),1)</f>
        <v>E</v>
      </c>
      <c r="E5" s="561" t="str">
        <f>MID($B5,COLUMNS($B$15:D$15),1)</f>
        <v>E</v>
      </c>
      <c r="F5" s="561" t="str">
        <f>MID($B5,COLUMNS($B$15:E$15),1)</f>
        <v>N</v>
      </c>
      <c r="G5" s="561" t="str">
        <f>MID($B5,COLUMNS($B$15:F$15),1)</f>
        <v>A</v>
      </c>
      <c r="H5" s="561" t="str">
        <f>MID($B5,COLUMNS($B$15:G$15),1)</f>
        <v/>
      </c>
      <c r="I5" s="561" t="str">
        <f>MID($B5,COLUMNS($B$15:H$15),1)</f>
        <v/>
      </c>
      <c r="J5" s="561" t="str">
        <f>MID($B5,COLUMNS($B$15:I$15),1)</f>
        <v/>
      </c>
      <c r="K5" s="561" t="str">
        <f>MID($B5,COLUMNS($B$15:J$15),1)</f>
        <v/>
      </c>
      <c r="L5" s="561" t="str">
        <f>MID($B5,COLUMNS($B$15:K$15),1)</f>
        <v/>
      </c>
      <c r="M5" s="561" t="str">
        <f>MID($B5,COLUMNS($B$15:L$15),1)</f>
        <v/>
      </c>
      <c r="N5" s="561" t="str">
        <f>MID($B5,COLUMNS($B$15:M$15),1)</f>
        <v/>
      </c>
      <c r="O5" s="561" t="str">
        <f>MID($B5,COLUMNS($B$15:N$15),1)</f>
        <v/>
      </c>
      <c r="P5" s="561" t="str">
        <f>MID($B5,COLUMNS($B$15:O$15),1)</f>
        <v/>
      </c>
      <c r="Q5" s="561" t="str">
        <f>MID($B5,COLUMNS($B$15:P$15),1)</f>
        <v/>
      </c>
      <c r="R5" s="561" t="str">
        <f>MID($B5,COLUMNS($B$15:Q$15),1)</f>
        <v/>
      </c>
      <c r="S5" s="561" t="str">
        <f>MID($B5,COLUMNS($B$15:R$15),1)</f>
        <v/>
      </c>
      <c r="T5" s="561" t="str">
        <f>MID($B5,COLUMNS($B$15:S$15),1)</f>
        <v/>
      </c>
      <c r="U5" s="561" t="str">
        <f>MID($B5,COLUMNS($B$15:T$15),1)</f>
        <v/>
      </c>
      <c r="V5" s="561" t="str">
        <f>MID($B5,COLUMNS($B$15:U$15),1)</f>
        <v/>
      </c>
      <c r="W5" s="561" t="str">
        <f>MID($B5,COLUMNS($B$15:V$15),1)</f>
        <v/>
      </c>
      <c r="X5" s="561" t="str">
        <f>MID($B5,COLUMNS($B$15:W$15),1)</f>
        <v/>
      </c>
      <c r="Y5" s="561" t="str">
        <f>MID($B5,COLUMNS($B$15:X$15),1)</f>
        <v/>
      </c>
      <c r="Z5" s="561" t="str">
        <f>MID($B5,COLUMNS($B$15:Y$15),1)</f>
        <v/>
      </c>
      <c r="AA5" s="561" t="str">
        <f>MID($B5,COLUMNS($B$15:Z$15),1)</f>
        <v/>
      </c>
      <c r="AB5" s="561" t="str">
        <f>MID($B5,COLUMNS($B$15:AA$15),1)</f>
        <v/>
      </c>
      <c r="AC5" s="561" t="str">
        <f>MID($B5,COLUMNS($B$15:AB$15),1)</f>
        <v/>
      </c>
      <c r="AD5" s="561" t="str">
        <f>MID($B5,COLUMNS($B$15:AC$15),1)</f>
        <v/>
      </c>
      <c r="AE5" s="561" t="str">
        <f>MID($B5,COLUMNS($B$15:AD$15),1)</f>
        <v/>
      </c>
      <c r="AF5" s="561" t="str">
        <f>MID($B5,COLUMNS($B$15:AE$15),1)</f>
        <v/>
      </c>
      <c r="AG5" s="561" t="str">
        <f>MID($B5,COLUMNS($B$15:AF$15),1)</f>
        <v/>
      </c>
      <c r="AH5" s="561" t="str">
        <f>MID($B5,COLUMNS($B$15:AG$15),1)</f>
        <v/>
      </c>
      <c r="AI5" s="561" t="str">
        <f>MID($B5,COLUMNS($B$15:AH$15),1)</f>
        <v/>
      </c>
      <c r="AJ5" s="561" t="str">
        <f>MID($B5,COLUMNS($B$15:AI$15),1)</f>
        <v/>
      </c>
      <c r="AK5" s="561" t="str">
        <f>MID($B5,COLUMNS($B$15:AJ$15),1)</f>
        <v/>
      </c>
      <c r="AL5" s="561" t="str">
        <f>MID($B5,COLUMNS($B$15:AK$15),1)</f>
        <v/>
      </c>
      <c r="AM5" s="561"/>
      <c r="AN5" s="561"/>
      <c r="AO5" s="562"/>
      <c r="AP5" s="563"/>
      <c r="AT5" s="566">
        <f>(AU5*AU6)+(AV5*AV6)+(AW5*AW6)+(AX5*AX6)+(AY5*AY6)</f>
        <v>6</v>
      </c>
      <c r="AU5" s="569">
        <f>IFERROR((HLOOKUP(BB1,$C$3:$AL$4,2,0)),0)</f>
        <v>1</v>
      </c>
      <c r="AV5" s="569">
        <f t="shared" ref="AV5:AY5" si="3">IFERROR((HLOOKUP(BC1,$C$3:$AL$4,2,0)),0)</f>
        <v>5</v>
      </c>
      <c r="AW5" s="569">
        <f t="shared" si="3"/>
        <v>0</v>
      </c>
      <c r="AX5" s="569">
        <f t="shared" si="3"/>
        <v>0</v>
      </c>
      <c r="AY5" s="569">
        <f t="shared" si="3"/>
        <v>0</v>
      </c>
      <c r="CG5" s="571" t="s">
        <v>63</v>
      </c>
    </row>
    <row r="6" spans="1:85" ht="15" thickBot="1">
      <c r="A6" s="560"/>
      <c r="B6" s="562"/>
      <c r="C6" s="561">
        <f t="shared" ref="C6:AL6" si="4">IFERROR(VLOOKUP(C5,$BL:$BM,2,0),0)</f>
        <v>4</v>
      </c>
      <c r="D6" s="561">
        <f t="shared" si="4"/>
        <v>5</v>
      </c>
      <c r="E6" s="561">
        <f t="shared" si="4"/>
        <v>5</v>
      </c>
      <c r="F6" s="561">
        <f t="shared" si="4"/>
        <v>5</v>
      </c>
      <c r="G6" s="561">
        <f t="shared" si="4"/>
        <v>1</v>
      </c>
      <c r="H6" s="561" t="str">
        <f t="shared" si="4"/>
        <v/>
      </c>
      <c r="I6" s="561" t="str">
        <f t="shared" si="4"/>
        <v/>
      </c>
      <c r="J6" s="561" t="str">
        <f t="shared" si="4"/>
        <v/>
      </c>
      <c r="K6" s="561" t="str">
        <f t="shared" si="4"/>
        <v/>
      </c>
      <c r="L6" s="561" t="str">
        <f t="shared" si="4"/>
        <v/>
      </c>
      <c r="M6" s="561" t="str">
        <f t="shared" si="4"/>
        <v/>
      </c>
      <c r="N6" s="561" t="str">
        <f t="shared" si="4"/>
        <v/>
      </c>
      <c r="O6" s="561" t="str">
        <f t="shared" si="4"/>
        <v/>
      </c>
      <c r="P6" s="561" t="str">
        <f t="shared" si="4"/>
        <v/>
      </c>
      <c r="Q6" s="561" t="str">
        <f t="shared" si="4"/>
        <v/>
      </c>
      <c r="R6" s="561" t="str">
        <f t="shared" si="4"/>
        <v/>
      </c>
      <c r="S6" s="561" t="str">
        <f t="shared" si="4"/>
        <v/>
      </c>
      <c r="T6" s="561" t="str">
        <f t="shared" si="4"/>
        <v/>
      </c>
      <c r="U6" s="561" t="str">
        <f t="shared" si="4"/>
        <v/>
      </c>
      <c r="V6" s="561" t="str">
        <f t="shared" si="4"/>
        <v/>
      </c>
      <c r="W6" s="561" t="str">
        <f t="shared" si="4"/>
        <v/>
      </c>
      <c r="X6" s="561" t="str">
        <f t="shared" si="4"/>
        <v/>
      </c>
      <c r="Y6" s="561" t="str">
        <f t="shared" si="4"/>
        <v/>
      </c>
      <c r="Z6" s="561" t="str">
        <f t="shared" si="4"/>
        <v/>
      </c>
      <c r="AA6" s="561" t="str">
        <f t="shared" si="4"/>
        <v/>
      </c>
      <c r="AB6" s="561" t="str">
        <f t="shared" si="4"/>
        <v/>
      </c>
      <c r="AC6" s="561" t="str">
        <f t="shared" si="4"/>
        <v/>
      </c>
      <c r="AD6" s="561" t="str">
        <f t="shared" si="4"/>
        <v/>
      </c>
      <c r="AE6" s="561" t="str">
        <f t="shared" si="4"/>
        <v/>
      </c>
      <c r="AF6" s="561" t="str">
        <f t="shared" si="4"/>
        <v/>
      </c>
      <c r="AG6" s="561" t="str">
        <f t="shared" si="4"/>
        <v/>
      </c>
      <c r="AH6" s="561" t="str">
        <f t="shared" si="4"/>
        <v/>
      </c>
      <c r="AI6" s="561" t="str">
        <f t="shared" si="4"/>
        <v/>
      </c>
      <c r="AJ6" s="561" t="str">
        <f t="shared" si="4"/>
        <v/>
      </c>
      <c r="AK6" s="561" t="str">
        <f t="shared" si="4"/>
        <v/>
      </c>
      <c r="AL6" s="561" t="str">
        <f t="shared" si="4"/>
        <v/>
      </c>
      <c r="AM6" s="561">
        <f>SUM(C6:AL6)</f>
        <v>20</v>
      </c>
      <c r="AN6" s="561">
        <f>IF(AM6&lt;10,AM6,((LEFT(AM6,1))+(RIGHT(AM6,1))))</f>
        <v>2</v>
      </c>
      <c r="AO6" s="562"/>
      <c r="AP6" s="563"/>
      <c r="AU6" s="570">
        <f>COUNTIFS($C$3:$AL$3,BB1)</f>
        <v>1</v>
      </c>
      <c r="AV6" s="570">
        <f t="shared" ref="AV6:AY6" si="5">COUNTIFS($C$3:$AL$3,BC1)</f>
        <v>1</v>
      </c>
      <c r="AW6" s="570">
        <f t="shared" si="5"/>
        <v>0</v>
      </c>
      <c r="AX6" s="570">
        <f t="shared" si="5"/>
        <v>0</v>
      </c>
      <c r="AY6" s="570">
        <f t="shared" si="5"/>
        <v>0</v>
      </c>
      <c r="CG6" s="572" t="s">
        <v>48</v>
      </c>
    </row>
    <row r="7" spans="1:85">
      <c r="J7" s="573"/>
      <c r="K7" s="574"/>
      <c r="L7" s="573"/>
      <c r="M7" s="574"/>
      <c r="U7" s="574"/>
      <c r="AE7" s="574"/>
      <c r="AM7" s="562">
        <f>AM6+AM4+AM2</f>
        <v>57</v>
      </c>
      <c r="AN7" s="561">
        <f>AN2+AN4+AN6</f>
        <v>12</v>
      </c>
      <c r="AO7" s="562" t="s">
        <v>31</v>
      </c>
      <c r="AP7" s="563" t="str">
        <f>IF(AM7&gt;52,VLOOKUP(AN7,BO:BP,2,0),VLOOKUP(AM7,BO:BP,2,0))</f>
        <v>√</v>
      </c>
      <c r="AQ7" s="564">
        <f>AT8</f>
        <v>11</v>
      </c>
    </row>
    <row r="8" spans="1:85">
      <c r="AQ8" s="564">
        <f>SUM(AQ2:AQ7)</f>
        <v>20</v>
      </c>
      <c r="AT8" s="566">
        <f>(AU8*AU9)+(AV8*AV9)+(AW8*AW9)+(AX8*AX9)+(AY8*AY9)</f>
        <v>11</v>
      </c>
      <c r="AU8" s="569">
        <f>IFERROR((HLOOKUP(BB1,$C$5:$AL$6,2,0)),0)</f>
        <v>1</v>
      </c>
      <c r="AV8" s="569">
        <f t="shared" ref="AV8:AY8" si="6">IFERROR((HLOOKUP(BC1,$C$5:$AL$6,2,0)),0)</f>
        <v>5</v>
      </c>
      <c r="AW8" s="569">
        <f t="shared" si="6"/>
        <v>0</v>
      </c>
      <c r="AX8" s="569">
        <f t="shared" si="6"/>
        <v>0</v>
      </c>
      <c r="AY8" s="569">
        <f t="shared" si="6"/>
        <v>0</v>
      </c>
    </row>
    <row r="9" spans="1:85">
      <c r="AU9" s="570">
        <f>COUNTIFS($C$5:$AL$5,BB1)</f>
        <v>1</v>
      </c>
      <c r="AV9" s="570">
        <f t="shared" ref="AV9:AY9" si="7">COUNTIFS($C$5:$AL$5,BC1)</f>
        <v>2</v>
      </c>
      <c r="AW9" s="570">
        <f t="shared" si="7"/>
        <v>0</v>
      </c>
      <c r="AX9" s="570">
        <f t="shared" si="7"/>
        <v>0</v>
      </c>
      <c r="AY9" s="570">
        <f t="shared" si="7"/>
        <v>0</v>
      </c>
    </row>
    <row r="11" spans="1:85" ht="15" thickBot="1">
      <c r="A11" s="564" t="s">
        <v>191</v>
      </c>
      <c r="BZ11" s="562"/>
      <c r="CA11" s="562"/>
      <c r="CB11" s="562"/>
      <c r="CC11" s="562"/>
      <c r="CD11" s="562"/>
      <c r="CE11" s="562"/>
      <c r="CF11" s="562"/>
      <c r="CG11" s="562"/>
    </row>
    <row r="12" spans="1:85" ht="15" thickBot="1">
      <c r="A12" s="560" t="s">
        <v>17</v>
      </c>
      <c r="B12" s="561" t="str">
        <f>'Master Calculator'!B30</f>
        <v>KAAMLESH</v>
      </c>
      <c r="C12" s="561" t="str">
        <f>MID($B12,COLUMNS($B$13:B$13),1)</f>
        <v>K</v>
      </c>
      <c r="D12" s="561" t="str">
        <f>MID($B12,COLUMNS($B$13:C$13),1)</f>
        <v>A</v>
      </c>
      <c r="E12" s="561" t="str">
        <f>MID($B12,COLUMNS($B$13:D$13),1)</f>
        <v>A</v>
      </c>
      <c r="F12" s="561" t="str">
        <f>MID($B12,COLUMNS($B$13:E$13),1)</f>
        <v>M</v>
      </c>
      <c r="G12" s="561" t="str">
        <f>MID($B12,COLUMNS($B$13:F$13),1)</f>
        <v>L</v>
      </c>
      <c r="H12" s="561" t="str">
        <f>MID($B12,COLUMNS($B$13:G$13),1)</f>
        <v>E</v>
      </c>
      <c r="I12" s="561" t="str">
        <f>MID($B12,COLUMNS($B$13:H$13),1)</f>
        <v>S</v>
      </c>
      <c r="J12" s="561" t="str">
        <f>MID($B12,COLUMNS($B$13:I$13),1)</f>
        <v>H</v>
      </c>
      <c r="K12" s="561" t="str">
        <f>MID($B12,COLUMNS($B$13:J$13),1)</f>
        <v/>
      </c>
      <c r="L12" s="561" t="str">
        <f>MID($B12,COLUMNS($B$13:K$13),1)</f>
        <v/>
      </c>
      <c r="M12" s="561" t="str">
        <f>MID($B12,COLUMNS($B$13:L$13),1)</f>
        <v/>
      </c>
      <c r="N12" s="561" t="str">
        <f>MID($B12,COLUMNS($B$13:M$13),1)</f>
        <v/>
      </c>
      <c r="O12" s="561" t="str">
        <f>MID($B12,COLUMNS($B$13:N$13),1)</f>
        <v/>
      </c>
      <c r="P12" s="561" t="str">
        <f>MID($B12,COLUMNS($B$13:O$13),1)</f>
        <v/>
      </c>
      <c r="Q12" s="561" t="str">
        <f>MID($B12,COLUMNS($B$13:P$13),1)</f>
        <v/>
      </c>
      <c r="R12" s="561" t="str">
        <f>MID($B12,COLUMNS($B$13:Q$13),1)</f>
        <v/>
      </c>
      <c r="S12" s="561" t="str">
        <f>MID($B12,COLUMNS($B$13:R$13),1)</f>
        <v/>
      </c>
      <c r="T12" s="561" t="str">
        <f>MID($B12,COLUMNS($B$13:S$13),1)</f>
        <v/>
      </c>
      <c r="U12" s="561" t="str">
        <f>MID($B12,COLUMNS($B$13:T$13),1)</f>
        <v/>
      </c>
      <c r="V12" s="561" t="str">
        <f>MID($B12,COLUMNS($B$13:U$13),1)</f>
        <v/>
      </c>
      <c r="W12" s="561" t="str">
        <f>MID($B12,COLUMNS($B$13:V$13),1)</f>
        <v/>
      </c>
      <c r="X12" s="561" t="str">
        <f>MID($B12,COLUMNS($B$13:W$13),1)</f>
        <v/>
      </c>
      <c r="Y12" s="561" t="str">
        <f>MID($B12,COLUMNS($B$13:X$13),1)</f>
        <v/>
      </c>
      <c r="Z12" s="561" t="str">
        <f>MID($B12,COLUMNS($B$13:Y$13),1)</f>
        <v/>
      </c>
      <c r="AA12" s="561" t="str">
        <f>MID($B12,COLUMNS($B$13:Z$13),1)</f>
        <v/>
      </c>
      <c r="AB12" s="561" t="str">
        <f>MID($B12,COLUMNS($B$13:AA$13),1)</f>
        <v/>
      </c>
      <c r="AC12" s="561" t="str">
        <f>MID($B12,COLUMNS($B$13:AB$13),1)</f>
        <v/>
      </c>
      <c r="AD12" s="561" t="str">
        <f>MID($B12,COLUMNS($B$13:AC$13),1)</f>
        <v/>
      </c>
      <c r="AE12" s="561" t="str">
        <f>MID($B12,COLUMNS($B$13:AD$13),1)</f>
        <v/>
      </c>
      <c r="AF12" s="561" t="str">
        <f>MID($B12,COLUMNS($B$13:AE$13),1)</f>
        <v/>
      </c>
      <c r="AG12" s="561" t="str">
        <f>MID($B12,COLUMNS($B$13:AF$13),1)</f>
        <v/>
      </c>
      <c r="AH12" s="561" t="str">
        <f>MID($B12,COLUMNS($B$13:AG$13),1)</f>
        <v/>
      </c>
      <c r="AI12" s="561" t="str">
        <f>MID($B12,COLUMNS($B$13:AH$13),1)</f>
        <v/>
      </c>
      <c r="AJ12" s="561" t="str">
        <f>MID($B12,COLUMNS($B$13:AI$13),1)</f>
        <v/>
      </c>
      <c r="AK12" s="561" t="str">
        <f>MID($B12,COLUMNS($B$13:AJ$13),1)</f>
        <v/>
      </c>
      <c r="AL12" s="561" t="str">
        <f>MID($B12,COLUMNS($B$13:AK$13),1)</f>
        <v/>
      </c>
      <c r="AM12" s="561"/>
      <c r="AN12" s="561"/>
      <c r="AO12" s="562"/>
      <c r="AP12" s="563"/>
      <c r="AQ12" s="564" t="s">
        <v>4</v>
      </c>
      <c r="AR12" s="627" t="s">
        <v>15</v>
      </c>
      <c r="AS12" s="565" t="s">
        <v>16</v>
      </c>
      <c r="BA12" s="757" t="s">
        <v>0</v>
      </c>
      <c r="BB12" s="757"/>
      <c r="BC12" s="757"/>
      <c r="BD12" s="757"/>
      <c r="BE12" s="757"/>
      <c r="BF12" s="757"/>
      <c r="BG12" s="757"/>
      <c r="BH12" s="757"/>
      <c r="BI12" s="757"/>
      <c r="BJ12" s="757"/>
      <c r="BL12" s="627" t="s">
        <v>1</v>
      </c>
      <c r="BM12" s="627" t="s">
        <v>2</v>
      </c>
      <c r="BO12" s="757" t="s">
        <v>3</v>
      </c>
      <c r="BP12" s="757"/>
      <c r="BR12" s="566"/>
      <c r="BT12" s="575"/>
      <c r="BU12" s="575"/>
      <c r="BV12" s="575"/>
      <c r="BW12" s="758" t="s">
        <v>99</v>
      </c>
      <c r="BX12" s="759"/>
      <c r="BY12" s="760"/>
      <c r="BZ12" s="562"/>
      <c r="CA12" s="562"/>
      <c r="CB12" s="562"/>
      <c r="CD12" s="562"/>
      <c r="CE12" s="562"/>
      <c r="CF12" s="562"/>
      <c r="CG12" s="562"/>
    </row>
    <row r="13" spans="1:85">
      <c r="A13" s="560"/>
      <c r="B13" s="562"/>
      <c r="C13" s="561">
        <f t="shared" ref="C13:AL13" si="8">IFERROR(VLOOKUP(C12,$BL:$BM,2,0),0)</f>
        <v>2</v>
      </c>
      <c r="D13" s="561">
        <f t="shared" si="8"/>
        <v>1</v>
      </c>
      <c r="E13" s="561">
        <f t="shared" si="8"/>
        <v>1</v>
      </c>
      <c r="F13" s="561">
        <f t="shared" si="8"/>
        <v>4</v>
      </c>
      <c r="G13" s="561">
        <f t="shared" si="8"/>
        <v>3</v>
      </c>
      <c r="H13" s="561">
        <f t="shared" si="8"/>
        <v>5</v>
      </c>
      <c r="I13" s="561">
        <f t="shared" si="8"/>
        <v>3</v>
      </c>
      <c r="J13" s="561">
        <f t="shared" si="8"/>
        <v>5</v>
      </c>
      <c r="K13" s="561" t="str">
        <f t="shared" si="8"/>
        <v/>
      </c>
      <c r="L13" s="561" t="str">
        <f t="shared" si="8"/>
        <v/>
      </c>
      <c r="M13" s="561" t="str">
        <f t="shared" si="8"/>
        <v/>
      </c>
      <c r="N13" s="561" t="str">
        <f t="shared" si="8"/>
        <v/>
      </c>
      <c r="O13" s="561" t="str">
        <f t="shared" si="8"/>
        <v/>
      </c>
      <c r="P13" s="561" t="str">
        <f t="shared" si="8"/>
        <v/>
      </c>
      <c r="Q13" s="561" t="str">
        <f t="shared" si="8"/>
        <v/>
      </c>
      <c r="R13" s="561" t="str">
        <f t="shared" si="8"/>
        <v/>
      </c>
      <c r="S13" s="561" t="str">
        <f t="shared" si="8"/>
        <v/>
      </c>
      <c r="T13" s="561" t="str">
        <f t="shared" si="8"/>
        <v/>
      </c>
      <c r="U13" s="561" t="str">
        <f t="shared" si="8"/>
        <v/>
      </c>
      <c r="V13" s="561" t="str">
        <f t="shared" si="8"/>
        <v/>
      </c>
      <c r="W13" s="561" t="str">
        <f t="shared" si="8"/>
        <v/>
      </c>
      <c r="X13" s="561" t="str">
        <f t="shared" si="8"/>
        <v/>
      </c>
      <c r="Y13" s="561" t="str">
        <f t="shared" si="8"/>
        <v/>
      </c>
      <c r="Z13" s="561" t="str">
        <f t="shared" si="8"/>
        <v/>
      </c>
      <c r="AA13" s="561" t="str">
        <f t="shared" si="8"/>
        <v/>
      </c>
      <c r="AB13" s="561" t="str">
        <f t="shared" si="8"/>
        <v/>
      </c>
      <c r="AC13" s="561" t="str">
        <f t="shared" si="8"/>
        <v/>
      </c>
      <c r="AD13" s="561" t="str">
        <f t="shared" si="8"/>
        <v/>
      </c>
      <c r="AE13" s="561" t="str">
        <f t="shared" si="8"/>
        <v/>
      </c>
      <c r="AF13" s="561" t="str">
        <f t="shared" si="8"/>
        <v/>
      </c>
      <c r="AG13" s="561" t="str">
        <f t="shared" si="8"/>
        <v/>
      </c>
      <c r="AH13" s="561" t="str">
        <f t="shared" si="8"/>
        <v/>
      </c>
      <c r="AI13" s="561" t="str">
        <f t="shared" si="8"/>
        <v/>
      </c>
      <c r="AJ13" s="561" t="str">
        <f t="shared" si="8"/>
        <v/>
      </c>
      <c r="AK13" s="561" t="str">
        <f t="shared" si="8"/>
        <v/>
      </c>
      <c r="AL13" s="561" t="str">
        <f t="shared" si="8"/>
        <v/>
      </c>
      <c r="AM13" s="561">
        <f>SUM(C13:AL13)</f>
        <v>24</v>
      </c>
      <c r="AN13" s="561">
        <f>IF(AM13&lt;10,AM13,((LEFT(AM13,1))+(RIGHT(AM13,1))))</f>
        <v>6</v>
      </c>
      <c r="AO13" s="562" t="s">
        <v>24</v>
      </c>
      <c r="AP13" s="563" t="str">
        <f>IF(AM13&gt;52,VLOOKUP(AN13,BO:BP,2,0),VLOOKUP(AM13,BO:BP,2,0))</f>
        <v>*</v>
      </c>
      <c r="AQ13" s="564">
        <f>AT13</f>
        <v>7</v>
      </c>
      <c r="AR13" s="566">
        <v>5</v>
      </c>
      <c r="AS13" s="576" t="s">
        <v>20</v>
      </c>
      <c r="AT13" s="566">
        <f>(AU13*AU14)+(AV13*AV14)+(AW13*AW14)+(AX13*AX14)+(AY13*AY14)</f>
        <v>7</v>
      </c>
      <c r="AU13" s="569">
        <f>IFERROR((HLOOKUP(BB1,$C$12:$AL$13,2,0)),0)</f>
        <v>1</v>
      </c>
      <c r="AV13" s="569">
        <f t="shared" ref="AV13:AY13" si="9">IFERROR((HLOOKUP(BC1,$C$12:$AL$13,2,0)),0)</f>
        <v>5</v>
      </c>
      <c r="AW13" s="569">
        <f t="shared" si="9"/>
        <v>0</v>
      </c>
      <c r="AX13" s="569">
        <f t="shared" si="9"/>
        <v>0</v>
      </c>
      <c r="AY13" s="569">
        <f t="shared" si="9"/>
        <v>0</v>
      </c>
      <c r="BA13" s="566"/>
      <c r="BB13" s="566">
        <v>1</v>
      </c>
      <c r="BC13" s="566">
        <v>2</v>
      </c>
      <c r="BD13" s="566">
        <v>3</v>
      </c>
      <c r="BE13" s="566">
        <v>4</v>
      </c>
      <c r="BF13" s="566">
        <v>5</v>
      </c>
      <c r="BG13" s="566">
        <v>6</v>
      </c>
      <c r="BH13" s="566">
        <v>7</v>
      </c>
      <c r="BI13" s="566">
        <v>8</v>
      </c>
      <c r="BJ13" s="566">
        <v>9</v>
      </c>
      <c r="BL13" s="566" t="s">
        <v>14</v>
      </c>
      <c r="BM13" s="566">
        <v>1</v>
      </c>
      <c r="BO13" s="627" t="s">
        <v>15</v>
      </c>
      <c r="BP13" s="565" t="s">
        <v>16</v>
      </c>
      <c r="BR13" s="566"/>
      <c r="BT13" s="577" t="s">
        <v>11</v>
      </c>
      <c r="BU13" s="578"/>
      <c r="BV13" s="578"/>
      <c r="BW13" s="624" t="s">
        <v>12</v>
      </c>
      <c r="BX13" s="625" t="s">
        <v>13</v>
      </c>
      <c r="BY13" s="626"/>
      <c r="BZ13" s="562"/>
      <c r="CA13" s="562"/>
      <c r="CB13" s="562"/>
      <c r="CD13" s="562"/>
      <c r="CE13" s="562"/>
      <c r="CF13" s="562"/>
      <c r="CG13" s="562"/>
    </row>
    <row r="14" spans="1:85">
      <c r="A14" s="560" t="s">
        <v>30</v>
      </c>
      <c r="B14" s="561">
        <f>'Master Calculator'!B31</f>
        <v>0</v>
      </c>
      <c r="C14" s="561" t="str">
        <f>MID($B14,COLUMNS($B$15:B$15),1)</f>
        <v>0</v>
      </c>
      <c r="D14" s="561" t="str">
        <f>MID($B14,COLUMNS($B$15:C$15),1)</f>
        <v/>
      </c>
      <c r="E14" s="561" t="str">
        <f>MID($B14,COLUMNS($B$15:D$15),1)</f>
        <v/>
      </c>
      <c r="F14" s="561" t="str">
        <f>MID($B14,COLUMNS($B$15:E$15),1)</f>
        <v/>
      </c>
      <c r="G14" s="561" t="str">
        <f>MID($B14,COLUMNS($B$15:F$15),1)</f>
        <v/>
      </c>
      <c r="H14" s="561" t="str">
        <f>MID($B14,COLUMNS($B$15:G$15),1)</f>
        <v/>
      </c>
      <c r="I14" s="561" t="str">
        <f>MID($B14,COLUMNS($B$15:H$15),1)</f>
        <v/>
      </c>
      <c r="J14" s="561" t="str">
        <f>MID($B14,COLUMNS($B$15:I$15),1)</f>
        <v/>
      </c>
      <c r="K14" s="561" t="str">
        <f>MID($B14,COLUMNS($B$15:J$15),1)</f>
        <v/>
      </c>
      <c r="L14" s="561" t="str">
        <f>MID($B14,COLUMNS($B$15:K$15),1)</f>
        <v/>
      </c>
      <c r="M14" s="561" t="str">
        <f>MID($B14,COLUMNS($B$15:L$15),1)</f>
        <v/>
      </c>
      <c r="N14" s="561" t="str">
        <f>MID($B14,COLUMNS($B$15:M$15),1)</f>
        <v/>
      </c>
      <c r="O14" s="561" t="str">
        <f>MID($B14,COLUMNS($B$15:N$15),1)</f>
        <v/>
      </c>
      <c r="P14" s="561" t="str">
        <f>MID($B14,COLUMNS($B$15:O$15),1)</f>
        <v/>
      </c>
      <c r="Q14" s="561" t="str">
        <f>MID($B14,COLUMNS($B$15:P$15),1)</f>
        <v/>
      </c>
      <c r="R14" s="561" t="str">
        <f>MID($B14,COLUMNS($B$15:Q$15),1)</f>
        <v/>
      </c>
      <c r="S14" s="561" t="str">
        <f>MID($B14,COLUMNS($B$15:R$15),1)</f>
        <v/>
      </c>
      <c r="T14" s="561" t="str">
        <f>MID($B14,COLUMNS($B$15:S$15),1)</f>
        <v/>
      </c>
      <c r="U14" s="561" t="str">
        <f>MID($B14,COLUMNS($B$15:T$15),1)</f>
        <v/>
      </c>
      <c r="V14" s="561" t="str">
        <f>MID($B14,COLUMNS($B$15:U$15),1)</f>
        <v/>
      </c>
      <c r="W14" s="561" t="str">
        <f>MID($B14,COLUMNS($B$15:V$15),1)</f>
        <v/>
      </c>
      <c r="X14" s="561" t="str">
        <f>MID($B14,COLUMNS($B$15:W$15),1)</f>
        <v/>
      </c>
      <c r="Y14" s="561" t="str">
        <f>MID($B14,COLUMNS($B$15:X$15),1)</f>
        <v/>
      </c>
      <c r="Z14" s="561" t="str">
        <f>MID($B14,COLUMNS($B$15:Y$15),1)</f>
        <v/>
      </c>
      <c r="AA14" s="561" t="str">
        <f>MID($B14,COLUMNS($B$15:Z$15),1)</f>
        <v/>
      </c>
      <c r="AB14" s="561" t="str">
        <f>MID($B14,COLUMNS($B$15:AA$15),1)</f>
        <v/>
      </c>
      <c r="AC14" s="561" t="str">
        <f>MID($B14,COLUMNS($B$15:AB$15),1)</f>
        <v/>
      </c>
      <c r="AD14" s="561" t="str">
        <f>MID($B14,COLUMNS($B$15:AC$15),1)</f>
        <v/>
      </c>
      <c r="AE14" s="561" t="str">
        <f>MID($B14,COLUMNS($B$15:AD$15),1)</f>
        <v/>
      </c>
      <c r="AF14" s="561" t="str">
        <f>MID($B14,COLUMNS($B$15:AE$15),1)</f>
        <v/>
      </c>
      <c r="AG14" s="561" t="str">
        <f>MID($B14,COLUMNS($B$15:AF$15),1)</f>
        <v/>
      </c>
      <c r="AH14" s="561" t="str">
        <f>MID($B14,COLUMNS($B$15:AG$15),1)</f>
        <v/>
      </c>
      <c r="AI14" s="561" t="str">
        <f>MID($B14,COLUMNS($B$15:AH$15),1)</f>
        <v/>
      </c>
      <c r="AJ14" s="561" t="str">
        <f>MID($B14,COLUMNS($B$15:AI$15),1)</f>
        <v/>
      </c>
      <c r="AK14" s="561" t="str">
        <f>MID($B14,COLUMNS($B$15:AJ$15),1)</f>
        <v/>
      </c>
      <c r="AL14" s="561" t="str">
        <f>MID($B14,COLUMNS($B$15:AK$15),1)</f>
        <v/>
      </c>
      <c r="AM14" s="561"/>
      <c r="AN14" s="561"/>
      <c r="AO14" s="562"/>
      <c r="AP14" s="563"/>
      <c r="AR14" s="566">
        <v>6</v>
      </c>
      <c r="AS14" s="576" t="s">
        <v>20</v>
      </c>
      <c r="AT14" s="566"/>
      <c r="AU14" s="570">
        <f>COUNTIFS($C$12:$AL$12,BB1)</f>
        <v>2</v>
      </c>
      <c r="AV14" s="570">
        <f t="shared" ref="AV14:AY14" si="10">COUNTIFS($C$12:$AL$12,BC1)</f>
        <v>1</v>
      </c>
      <c r="AW14" s="570">
        <f t="shared" si="10"/>
        <v>0</v>
      </c>
      <c r="AX14" s="570">
        <f t="shared" si="10"/>
        <v>0</v>
      </c>
      <c r="AY14" s="570">
        <f t="shared" si="10"/>
        <v>0</v>
      </c>
      <c r="BA14" s="566">
        <v>1</v>
      </c>
      <c r="BB14" s="579" t="s">
        <v>19</v>
      </c>
      <c r="BC14" s="579" t="s">
        <v>20</v>
      </c>
      <c r="BD14" s="579" t="s">
        <v>20</v>
      </c>
      <c r="BE14" s="579" t="s">
        <v>21</v>
      </c>
      <c r="BF14" s="579" t="s">
        <v>20</v>
      </c>
      <c r="BG14" s="579" t="s">
        <v>21</v>
      </c>
      <c r="BH14" s="579" t="s">
        <v>20</v>
      </c>
      <c r="BI14" s="579" t="s">
        <v>21</v>
      </c>
      <c r="BJ14" s="579" t="s">
        <v>14</v>
      </c>
      <c r="BL14" s="566" t="s">
        <v>22</v>
      </c>
      <c r="BM14" s="566">
        <v>2</v>
      </c>
      <c r="BO14" s="566">
        <v>1</v>
      </c>
      <c r="BP14" s="570" t="s">
        <v>23</v>
      </c>
      <c r="BR14" s="566"/>
      <c r="BT14" s="580" t="str">
        <f>'Master Calculator'!J17</f>
        <v>BD</v>
      </c>
      <c r="BU14" s="561">
        <f>'Master Calculator'!K17</f>
        <v>0</v>
      </c>
      <c r="BV14" s="625">
        <f>'Master Calculator'!L17</f>
        <v>2</v>
      </c>
      <c r="BW14" s="571" t="str">
        <f>IF(AY10&lt;=35,"Active",0)</f>
        <v>Active</v>
      </c>
      <c r="BX14" s="625">
        <f>IF(AY10&gt;35,"Active",0)</f>
        <v>0</v>
      </c>
      <c r="BY14" s="581"/>
      <c r="BZ14" s="562"/>
      <c r="CA14" s="562"/>
      <c r="CB14" s="562"/>
      <c r="CD14" s="562"/>
      <c r="CE14" s="562"/>
      <c r="CF14" s="562"/>
      <c r="CG14" s="562"/>
    </row>
    <row r="15" spans="1:85">
      <c r="A15" s="560"/>
      <c r="B15" s="562"/>
      <c r="C15" s="561">
        <f t="shared" ref="C15:AL15" si="11">IFERROR(VLOOKUP(C14,$BL:$BM,2,0),0)</f>
        <v>0</v>
      </c>
      <c r="D15" s="561" t="str">
        <f t="shared" si="11"/>
        <v/>
      </c>
      <c r="E15" s="561" t="str">
        <f t="shared" si="11"/>
        <v/>
      </c>
      <c r="F15" s="561" t="str">
        <f t="shared" si="11"/>
        <v/>
      </c>
      <c r="G15" s="561" t="str">
        <f t="shared" si="11"/>
        <v/>
      </c>
      <c r="H15" s="561" t="str">
        <f t="shared" si="11"/>
        <v/>
      </c>
      <c r="I15" s="561" t="str">
        <f t="shared" si="11"/>
        <v/>
      </c>
      <c r="J15" s="561" t="str">
        <f t="shared" si="11"/>
        <v/>
      </c>
      <c r="K15" s="561" t="str">
        <f t="shared" si="11"/>
        <v/>
      </c>
      <c r="L15" s="561" t="str">
        <f t="shared" si="11"/>
        <v/>
      </c>
      <c r="M15" s="561" t="str">
        <f t="shared" si="11"/>
        <v/>
      </c>
      <c r="N15" s="561" t="str">
        <f t="shared" si="11"/>
        <v/>
      </c>
      <c r="O15" s="561" t="str">
        <f t="shared" si="11"/>
        <v/>
      </c>
      <c r="P15" s="561" t="str">
        <f t="shared" si="11"/>
        <v/>
      </c>
      <c r="Q15" s="561" t="str">
        <f t="shared" si="11"/>
        <v/>
      </c>
      <c r="R15" s="561" t="str">
        <f t="shared" si="11"/>
        <v/>
      </c>
      <c r="S15" s="561" t="str">
        <f t="shared" si="11"/>
        <v/>
      </c>
      <c r="T15" s="561" t="str">
        <f t="shared" si="11"/>
        <v/>
      </c>
      <c r="U15" s="561" t="str">
        <f t="shared" si="11"/>
        <v/>
      </c>
      <c r="V15" s="561" t="str">
        <f t="shared" si="11"/>
        <v/>
      </c>
      <c r="W15" s="561" t="str">
        <f t="shared" si="11"/>
        <v/>
      </c>
      <c r="X15" s="561" t="str">
        <f t="shared" si="11"/>
        <v/>
      </c>
      <c r="Y15" s="561" t="str">
        <f t="shared" si="11"/>
        <v/>
      </c>
      <c r="Z15" s="561" t="str">
        <f t="shared" si="11"/>
        <v/>
      </c>
      <c r="AA15" s="561" t="str">
        <f t="shared" si="11"/>
        <v/>
      </c>
      <c r="AB15" s="561" t="str">
        <f t="shared" si="11"/>
        <v/>
      </c>
      <c r="AC15" s="561" t="str">
        <f t="shared" si="11"/>
        <v/>
      </c>
      <c r="AD15" s="561" t="str">
        <f t="shared" si="11"/>
        <v/>
      </c>
      <c r="AE15" s="561" t="str">
        <f t="shared" si="11"/>
        <v/>
      </c>
      <c r="AF15" s="561" t="str">
        <f t="shared" si="11"/>
        <v/>
      </c>
      <c r="AG15" s="561" t="str">
        <f t="shared" si="11"/>
        <v/>
      </c>
      <c r="AH15" s="561" t="str">
        <f t="shared" si="11"/>
        <v/>
      </c>
      <c r="AI15" s="561" t="str">
        <f t="shared" si="11"/>
        <v/>
      </c>
      <c r="AJ15" s="561" t="str">
        <f t="shared" si="11"/>
        <v/>
      </c>
      <c r="AK15" s="561" t="str">
        <f t="shared" si="11"/>
        <v/>
      </c>
      <c r="AL15" s="561" t="str">
        <f t="shared" si="11"/>
        <v/>
      </c>
      <c r="AM15" s="561">
        <f>SUM(C15:AL15)</f>
        <v>0</v>
      </c>
      <c r="AN15" s="561">
        <f>IF(AM15&lt;10,AM15,((LEFT(AM15,1))+(RIGHT(AM15,1))))</f>
        <v>0</v>
      </c>
      <c r="AO15" s="562"/>
      <c r="AP15" s="563"/>
      <c r="AR15" s="566">
        <v>10</v>
      </c>
      <c r="AS15" s="576" t="s">
        <v>20</v>
      </c>
      <c r="AT15" s="566"/>
      <c r="AU15" s="570"/>
      <c r="AV15" s="570"/>
      <c r="AW15" s="570"/>
      <c r="AX15" s="570"/>
      <c r="AY15" s="570"/>
      <c r="BA15" s="566">
        <v>2</v>
      </c>
      <c r="BB15" s="579" t="s">
        <v>20</v>
      </c>
      <c r="BC15" s="579" t="s">
        <v>19</v>
      </c>
      <c r="BD15" s="579" t="s">
        <v>20</v>
      </c>
      <c r="BE15" s="579" t="s">
        <v>20</v>
      </c>
      <c r="BF15" s="579" t="s">
        <v>21</v>
      </c>
      <c r="BG15" s="579" t="s">
        <v>20</v>
      </c>
      <c r="BH15" s="579" t="s">
        <v>26</v>
      </c>
      <c r="BI15" s="579" t="s">
        <v>14</v>
      </c>
      <c r="BJ15" s="579" t="s">
        <v>14</v>
      </c>
      <c r="BL15" s="566" t="s">
        <v>27</v>
      </c>
      <c r="BM15" s="566">
        <v>3</v>
      </c>
      <c r="BO15" s="566">
        <v>2</v>
      </c>
      <c r="BP15" s="570" t="s">
        <v>23</v>
      </c>
      <c r="BR15" s="566" t="s">
        <v>28</v>
      </c>
      <c r="BT15" s="580" t="str">
        <f>'Master Calculator'!J18</f>
        <v>LP</v>
      </c>
      <c r="BU15" s="561">
        <f>'Master Calculator'!K18</f>
        <v>0</v>
      </c>
      <c r="BV15" s="625">
        <f ca="1">'Master Calculator'!L18</f>
        <v>2</v>
      </c>
      <c r="BW15" s="571"/>
      <c r="BX15" s="561"/>
      <c r="BY15" s="581"/>
      <c r="BZ15" s="562"/>
      <c r="CA15" s="562"/>
      <c r="CB15" s="562"/>
      <c r="CD15" s="562"/>
      <c r="CE15" s="562"/>
      <c r="CF15" s="562"/>
      <c r="CG15" s="562"/>
    </row>
    <row r="16" spans="1:85">
      <c r="A16" s="560" t="s">
        <v>37</v>
      </c>
      <c r="B16" s="561">
        <f>'Master Calculator'!B32</f>
        <v>0</v>
      </c>
      <c r="C16" s="561" t="str">
        <f>MID($B16,COLUMNS($B$15:B$15),1)</f>
        <v>0</v>
      </c>
      <c r="D16" s="561" t="str">
        <f>MID($B16,COLUMNS($B$15:C$15),1)</f>
        <v/>
      </c>
      <c r="E16" s="561" t="str">
        <f>MID($B16,COLUMNS($B$15:D$15),1)</f>
        <v/>
      </c>
      <c r="F16" s="561" t="str">
        <f>MID($B16,COLUMNS($B$15:E$15),1)</f>
        <v/>
      </c>
      <c r="G16" s="561" t="str">
        <f>MID($B16,COLUMNS($B$15:F$15),1)</f>
        <v/>
      </c>
      <c r="H16" s="561" t="str">
        <f>MID($B16,COLUMNS($B$15:G$15),1)</f>
        <v/>
      </c>
      <c r="I16" s="561" t="str">
        <f>MID($B16,COLUMNS($B$15:H$15),1)</f>
        <v/>
      </c>
      <c r="J16" s="561" t="str">
        <f>MID($B16,COLUMNS($B$15:I$15),1)</f>
        <v/>
      </c>
      <c r="K16" s="561" t="str">
        <f>MID($B16,COLUMNS($B$15:J$15),1)</f>
        <v/>
      </c>
      <c r="L16" s="561" t="str">
        <f>MID($B16,COLUMNS($B$15:K$15),1)</f>
        <v/>
      </c>
      <c r="M16" s="561" t="str">
        <f>MID($B16,COLUMNS($B$15:L$15),1)</f>
        <v/>
      </c>
      <c r="N16" s="561" t="str">
        <f>MID($B16,COLUMNS($B$15:M$15),1)</f>
        <v/>
      </c>
      <c r="O16" s="561" t="str">
        <f>MID($B16,COLUMNS($B$15:N$15),1)</f>
        <v/>
      </c>
      <c r="P16" s="561" t="str">
        <f>MID($B16,COLUMNS($B$15:O$15),1)</f>
        <v/>
      </c>
      <c r="Q16" s="561" t="str">
        <f>MID($B16,COLUMNS($B$15:P$15),1)</f>
        <v/>
      </c>
      <c r="R16" s="561" t="str">
        <f>MID($B16,COLUMNS($B$15:Q$15),1)</f>
        <v/>
      </c>
      <c r="S16" s="561" t="str">
        <f>MID($B16,COLUMNS($B$15:R$15),1)</f>
        <v/>
      </c>
      <c r="T16" s="561" t="str">
        <f>MID($B16,COLUMNS($B$15:S$15),1)</f>
        <v/>
      </c>
      <c r="U16" s="561" t="str">
        <f>MID($B16,COLUMNS($B$15:T$15),1)</f>
        <v/>
      </c>
      <c r="V16" s="561" t="str">
        <f>MID($B16,COLUMNS($B$15:U$15),1)</f>
        <v/>
      </c>
      <c r="W16" s="561" t="str">
        <f>MID($B16,COLUMNS($B$15:V$15),1)</f>
        <v/>
      </c>
      <c r="X16" s="561" t="str">
        <f>MID($B16,COLUMNS($B$15:W$15),1)</f>
        <v/>
      </c>
      <c r="Y16" s="561" t="str">
        <f>MID($B16,COLUMNS($B$15:X$15),1)</f>
        <v/>
      </c>
      <c r="Z16" s="561" t="str">
        <f>MID($B16,COLUMNS($B$15:Y$15),1)</f>
        <v/>
      </c>
      <c r="AA16" s="561" t="str">
        <f>MID($B16,COLUMNS($B$15:Z$15),1)</f>
        <v/>
      </c>
      <c r="AB16" s="561" t="str">
        <f>MID($B16,COLUMNS($B$15:AA$15),1)</f>
        <v/>
      </c>
      <c r="AC16" s="561" t="str">
        <f>MID($B16,COLUMNS($B$15:AB$15),1)</f>
        <v/>
      </c>
      <c r="AD16" s="561" t="str">
        <f>MID($B16,COLUMNS($B$15:AC$15),1)</f>
        <v/>
      </c>
      <c r="AE16" s="561" t="str">
        <f>MID($B16,COLUMNS($B$15:AD$15),1)</f>
        <v/>
      </c>
      <c r="AF16" s="561" t="str">
        <f>MID($B16,COLUMNS($B$15:AE$15),1)</f>
        <v/>
      </c>
      <c r="AG16" s="561" t="str">
        <f>MID($B16,COLUMNS($B$15:AF$15),1)</f>
        <v/>
      </c>
      <c r="AH16" s="561" t="str">
        <f>MID($B16,COLUMNS($B$15:AG$15),1)</f>
        <v/>
      </c>
      <c r="AI16" s="561" t="str">
        <f>MID($B16,COLUMNS($B$15:AH$15),1)</f>
        <v/>
      </c>
      <c r="AJ16" s="561" t="str">
        <f>MID($B16,COLUMNS($B$15:AI$15),1)</f>
        <v/>
      </c>
      <c r="AK16" s="561" t="str">
        <f>MID($B16,COLUMNS($B$15:AJ$15),1)</f>
        <v/>
      </c>
      <c r="AL16" s="561" t="str">
        <f>MID($B16,COLUMNS($B$15:AK$15),1)</f>
        <v/>
      </c>
      <c r="AM16" s="561"/>
      <c r="AN16" s="561"/>
      <c r="AO16" s="562"/>
      <c r="AP16" s="563"/>
      <c r="AQ16" s="564">
        <f>AT16</f>
        <v>0</v>
      </c>
      <c r="AR16" s="566">
        <v>12</v>
      </c>
      <c r="AS16" s="576" t="s">
        <v>20</v>
      </c>
      <c r="AT16" s="566">
        <f>(AU16*AU17)+(AV16*AV17)+(AW16*AW17)+(AX16*AX17)+(AY16*AY17)</f>
        <v>0</v>
      </c>
      <c r="AU16" s="569">
        <f>IFERROR((HLOOKUP(BB1,$C$14:$AL$15,2,0)),0)</f>
        <v>0</v>
      </c>
      <c r="AV16" s="569">
        <f t="shared" ref="AV16:AY16" si="12">IFERROR((HLOOKUP(BC1,$C$14:$AL$15,2,0)),0)</f>
        <v>0</v>
      </c>
      <c r="AW16" s="569">
        <f t="shared" si="12"/>
        <v>0</v>
      </c>
      <c r="AX16" s="569">
        <f t="shared" si="12"/>
        <v>0</v>
      </c>
      <c r="AY16" s="569">
        <f t="shared" si="12"/>
        <v>0</v>
      </c>
      <c r="BA16" s="566">
        <v>3</v>
      </c>
      <c r="BB16" s="579" t="s">
        <v>20</v>
      </c>
      <c r="BC16" s="579" t="s">
        <v>20</v>
      </c>
      <c r="BD16" s="579" t="s">
        <v>19</v>
      </c>
      <c r="BE16" s="579" t="s">
        <v>14</v>
      </c>
      <c r="BF16" s="579" t="s">
        <v>20</v>
      </c>
      <c r="BG16" s="579" t="s">
        <v>14</v>
      </c>
      <c r="BH16" s="579" t="s">
        <v>20</v>
      </c>
      <c r="BI16" s="579" t="s">
        <v>20</v>
      </c>
      <c r="BJ16" s="579" t="s">
        <v>20</v>
      </c>
      <c r="BL16" s="566" t="s">
        <v>29</v>
      </c>
      <c r="BM16" s="566">
        <v>4</v>
      </c>
      <c r="BO16" s="566">
        <v>3</v>
      </c>
      <c r="BP16" s="570" t="s">
        <v>23</v>
      </c>
      <c r="BR16" s="566"/>
      <c r="BT16" s="580" t="str">
        <f>'Master Calculator'!J19</f>
        <v>FN</v>
      </c>
      <c r="BU16" s="561">
        <f>'Master Calculator'!K19</f>
        <v>14</v>
      </c>
      <c r="BV16" s="625">
        <f>'Master Calculator'!L19</f>
        <v>5</v>
      </c>
      <c r="BW16" s="571" t="str">
        <f>INDEX(BB$14:BJ$22,MATCH(IF(LEN(BV$35)&gt;1,LEFT(BV$35,1)+RIGHT(BV$35,1),BV$35),BA$14:BA$22,0),MATCH(IF(LEN(BV16)&gt;1,LEFT(BV16,1)+RIGHT(BV16,1),BV16),BB$13:BJ$13,0))</f>
        <v>F</v>
      </c>
      <c r="BX16" s="571" t="str">
        <f>INDEX(BB$14:BJ$22,MATCH(IF(LEN(BV$35)&gt;1,LEFT(BV$35,1)+RIGHT(BV$35,1),BV$35),BA$14:BA$22,0),MATCH(IF(LEN(BV16)&gt;1,LEFT(BV16,1)+RIGHT(BV16,1),BV16),BB$13:BJ$13,0))</f>
        <v>F</v>
      </c>
      <c r="BY16" s="582"/>
      <c r="BZ16" s="562"/>
      <c r="CA16" s="562"/>
      <c r="CB16" s="562"/>
      <c r="CD16" s="562"/>
      <c r="CE16" s="562"/>
      <c r="CF16" s="562"/>
      <c r="CG16" s="562"/>
    </row>
    <row r="17" spans="1:85" ht="15" thickBot="1">
      <c r="A17" s="560"/>
      <c r="B17" s="562"/>
      <c r="C17" s="561">
        <f t="shared" ref="C17:AL17" si="13">IFERROR(VLOOKUP(C16,$BL:$BM,2,0),0)</f>
        <v>0</v>
      </c>
      <c r="D17" s="561" t="str">
        <f t="shared" si="13"/>
        <v/>
      </c>
      <c r="E17" s="561" t="str">
        <f t="shared" si="13"/>
        <v/>
      </c>
      <c r="F17" s="561" t="str">
        <f t="shared" si="13"/>
        <v/>
      </c>
      <c r="G17" s="561" t="str">
        <f t="shared" si="13"/>
        <v/>
      </c>
      <c r="H17" s="561" t="str">
        <f t="shared" si="13"/>
        <v/>
      </c>
      <c r="I17" s="561" t="str">
        <f t="shared" si="13"/>
        <v/>
      </c>
      <c r="J17" s="561" t="str">
        <f t="shared" si="13"/>
        <v/>
      </c>
      <c r="K17" s="561" t="str">
        <f t="shared" si="13"/>
        <v/>
      </c>
      <c r="L17" s="561" t="str">
        <f t="shared" si="13"/>
        <v/>
      </c>
      <c r="M17" s="561" t="str">
        <f t="shared" si="13"/>
        <v/>
      </c>
      <c r="N17" s="561" t="str">
        <f t="shared" si="13"/>
        <v/>
      </c>
      <c r="O17" s="561" t="str">
        <f t="shared" si="13"/>
        <v/>
      </c>
      <c r="P17" s="561" t="str">
        <f t="shared" si="13"/>
        <v/>
      </c>
      <c r="Q17" s="561" t="str">
        <f t="shared" si="13"/>
        <v/>
      </c>
      <c r="R17" s="561" t="str">
        <f t="shared" si="13"/>
        <v/>
      </c>
      <c r="S17" s="561" t="str">
        <f t="shared" si="13"/>
        <v/>
      </c>
      <c r="T17" s="561" t="str">
        <f t="shared" si="13"/>
        <v/>
      </c>
      <c r="U17" s="561" t="str">
        <f t="shared" si="13"/>
        <v/>
      </c>
      <c r="V17" s="561" t="str">
        <f t="shared" si="13"/>
        <v/>
      </c>
      <c r="W17" s="561" t="str">
        <f t="shared" si="13"/>
        <v/>
      </c>
      <c r="X17" s="561" t="str">
        <f t="shared" si="13"/>
        <v/>
      </c>
      <c r="Y17" s="561" t="str">
        <f t="shared" si="13"/>
        <v/>
      </c>
      <c r="Z17" s="561" t="str">
        <f t="shared" si="13"/>
        <v/>
      </c>
      <c r="AA17" s="561" t="str">
        <f t="shared" si="13"/>
        <v/>
      </c>
      <c r="AB17" s="561" t="str">
        <f t="shared" si="13"/>
        <v/>
      </c>
      <c r="AC17" s="561" t="str">
        <f t="shared" si="13"/>
        <v/>
      </c>
      <c r="AD17" s="561" t="str">
        <f t="shared" si="13"/>
        <v/>
      </c>
      <c r="AE17" s="561" t="str">
        <f t="shared" si="13"/>
        <v/>
      </c>
      <c r="AF17" s="561" t="str">
        <f t="shared" si="13"/>
        <v/>
      </c>
      <c r="AG17" s="561" t="str">
        <f t="shared" si="13"/>
        <v/>
      </c>
      <c r="AH17" s="561" t="str">
        <f t="shared" si="13"/>
        <v/>
      </c>
      <c r="AI17" s="561" t="str">
        <f t="shared" si="13"/>
        <v/>
      </c>
      <c r="AJ17" s="561" t="str">
        <f t="shared" si="13"/>
        <v/>
      </c>
      <c r="AK17" s="561" t="str">
        <f t="shared" si="13"/>
        <v/>
      </c>
      <c r="AL17" s="561" t="str">
        <f t="shared" si="13"/>
        <v/>
      </c>
      <c r="AM17" s="561">
        <f>SUM(C17:AL17)</f>
        <v>0</v>
      </c>
      <c r="AN17" s="561">
        <f>IF(AM17&lt;10,AM17,((LEFT(AM17,1))+(RIGHT(AM17,1))))</f>
        <v>0</v>
      </c>
      <c r="AO17" s="562"/>
      <c r="AP17" s="563"/>
      <c r="AR17" s="566">
        <v>13</v>
      </c>
      <c r="AS17" s="576" t="s">
        <v>20</v>
      </c>
      <c r="AU17" s="570">
        <f>COUNTIFS($C$14:$AL$14,BB1)</f>
        <v>0</v>
      </c>
      <c r="AV17" s="570">
        <f t="shared" ref="AV17:AY17" si="14">COUNTIFS($C$14:$AL$14,BC1)</f>
        <v>0</v>
      </c>
      <c r="AW17" s="570">
        <f t="shared" si="14"/>
        <v>0</v>
      </c>
      <c r="AX17" s="570">
        <f t="shared" si="14"/>
        <v>0</v>
      </c>
      <c r="AY17" s="570">
        <f t="shared" si="14"/>
        <v>0</v>
      </c>
      <c r="BA17" s="566">
        <v>4</v>
      </c>
      <c r="BB17" s="579" t="s">
        <v>21</v>
      </c>
      <c r="BC17" s="579" t="s">
        <v>20</v>
      </c>
      <c r="BD17" s="579" t="s">
        <v>14</v>
      </c>
      <c r="BE17" s="579" t="s">
        <v>19</v>
      </c>
      <c r="BF17" s="579" t="s">
        <v>20</v>
      </c>
      <c r="BG17" s="579" t="s">
        <v>20</v>
      </c>
      <c r="BH17" s="579" t="s">
        <v>20</v>
      </c>
      <c r="BI17" s="579" t="s">
        <v>14</v>
      </c>
      <c r="BJ17" s="583" t="s">
        <v>96</v>
      </c>
      <c r="BL17" s="566" t="s">
        <v>19</v>
      </c>
      <c r="BM17" s="566">
        <v>5</v>
      </c>
      <c r="BO17" s="566">
        <v>4</v>
      </c>
      <c r="BP17" s="570" t="s">
        <v>23</v>
      </c>
      <c r="BR17" s="566"/>
      <c r="BT17" s="580" t="str">
        <f>'Master Calculator'!J20</f>
        <v>EXP</v>
      </c>
      <c r="BU17" s="561">
        <f>'Master Calculator'!K20</f>
        <v>57</v>
      </c>
      <c r="BV17" s="625">
        <f>'Master Calculator'!L20</f>
        <v>3</v>
      </c>
      <c r="BW17" s="571" t="str">
        <f t="shared" ref="BW17:BW19" si="15">INDEX(BB$14:BJ$22,MATCH(IF(LEN(BV$35)&gt;1,LEFT(BV$35,1)+RIGHT(BV$35,1),BV$35),BA$14:BA$22,0),MATCH(IF(LEN(BV17)&gt;1,LEFT(BV17,1)+RIGHT(BV17,1),BV17),BB$13:BJ$13,0))</f>
        <v>G</v>
      </c>
      <c r="BX17" s="571" t="str">
        <f t="shared" ref="BX17:BX19" si="16">INDEX(BB$14:BJ$22,MATCH(IF(LEN(BV$35)&gt;1,LEFT(BV$35,1)+RIGHT(BV$35,1),BV$35),BA$14:BA$22,0),MATCH(IF(LEN(BV17)&gt;1,LEFT(BV17,1)+RIGHT(BV17,1),BV17),BB$13:BJ$13,0))</f>
        <v>G</v>
      </c>
      <c r="BY17" s="582"/>
      <c r="BZ17" s="562"/>
      <c r="CA17" s="562"/>
      <c r="CB17" s="562"/>
      <c r="CD17" s="562"/>
      <c r="CE17" s="562"/>
      <c r="CF17" s="562"/>
      <c r="CG17" s="562"/>
    </row>
    <row r="18" spans="1:85" ht="15" thickBot="1">
      <c r="J18" s="573"/>
      <c r="K18" s="574"/>
      <c r="L18" s="573"/>
      <c r="M18" s="574"/>
      <c r="U18" s="574"/>
      <c r="AE18" s="574"/>
      <c r="AM18" s="562">
        <f>AM17+AM15+AM13</f>
        <v>24</v>
      </c>
      <c r="AN18" s="561">
        <f>AN13+AN15+AN17</f>
        <v>6</v>
      </c>
      <c r="AO18" s="562" t="s">
        <v>31</v>
      </c>
      <c r="AP18" s="563" t="str">
        <f>IF(AM18&gt;52,VLOOKUP(AN18,BO:BP,2,0),VLOOKUP(AM18,BO:BP,2,0))</f>
        <v>*</v>
      </c>
      <c r="AQ18" s="564">
        <f>AT19</f>
        <v>0</v>
      </c>
      <c r="AR18" s="566">
        <v>14</v>
      </c>
      <c r="AS18" s="576" t="s">
        <v>20</v>
      </c>
      <c r="BA18" s="566">
        <v>5</v>
      </c>
      <c r="BB18" s="579" t="s">
        <v>20</v>
      </c>
      <c r="BC18" s="579" t="s">
        <v>21</v>
      </c>
      <c r="BD18" s="579" t="s">
        <v>20</v>
      </c>
      <c r="BE18" s="579" t="s">
        <v>20</v>
      </c>
      <c r="BF18" s="579" t="s">
        <v>19</v>
      </c>
      <c r="BG18" s="579" t="s">
        <v>21</v>
      </c>
      <c r="BH18" s="579" t="s">
        <v>20</v>
      </c>
      <c r="BI18" s="579" t="s">
        <v>26</v>
      </c>
      <c r="BJ18" s="579" t="s">
        <v>21</v>
      </c>
      <c r="BL18" s="566" t="s">
        <v>21</v>
      </c>
      <c r="BM18" s="566">
        <v>8</v>
      </c>
      <c r="BO18" s="566">
        <v>5</v>
      </c>
      <c r="BP18" s="576" t="s">
        <v>33</v>
      </c>
      <c r="BR18" s="564" t="s">
        <v>34</v>
      </c>
      <c r="BT18" s="580" t="str">
        <f>'Master Calculator'!J21</f>
        <v>SU</v>
      </c>
      <c r="BU18" s="561">
        <f>'Master Calculator'!K21</f>
        <v>20</v>
      </c>
      <c r="BV18" s="625">
        <f>'Master Calculator'!L21</f>
        <v>2</v>
      </c>
      <c r="BW18" s="571" t="str">
        <f t="shared" si="15"/>
        <v>E</v>
      </c>
      <c r="BX18" s="571" t="str">
        <f t="shared" si="16"/>
        <v>E</v>
      </c>
      <c r="BY18" s="582"/>
      <c r="BZ18" s="562"/>
      <c r="CA18" s="562"/>
      <c r="CB18" s="562"/>
      <c r="CC18" s="562"/>
      <c r="CD18" s="562"/>
      <c r="CE18" s="562"/>
      <c r="CF18" s="562"/>
      <c r="CG18" s="562"/>
    </row>
    <row r="19" spans="1:85" ht="15" thickBot="1">
      <c r="AQ19" s="564">
        <f>SUM(AQ13:AQ18)</f>
        <v>7</v>
      </c>
      <c r="AR19" s="566">
        <v>15</v>
      </c>
      <c r="AS19" s="576" t="s">
        <v>20</v>
      </c>
      <c r="AT19" s="566">
        <f>(AU19*AU20)+(AV19*AV20)+(AW19*AW20)+(AX19*AX20)+(AY19*AY20)</f>
        <v>0</v>
      </c>
      <c r="AU19" s="569">
        <f>IFERROR((HLOOKUP(BB1,$C$16:$AL$17,2,0)),0)</f>
        <v>0</v>
      </c>
      <c r="AV19" s="569">
        <f t="shared" ref="AV19:AY19" si="17">IFERROR((HLOOKUP(BC1,$C$16:$AL$17,2,0)),0)</f>
        <v>0</v>
      </c>
      <c r="AW19" s="569">
        <f t="shared" si="17"/>
        <v>0</v>
      </c>
      <c r="AX19" s="569">
        <f t="shared" si="17"/>
        <v>0</v>
      </c>
      <c r="AY19" s="569">
        <f t="shared" si="17"/>
        <v>0</v>
      </c>
      <c r="BA19" s="566">
        <v>6</v>
      </c>
      <c r="BB19" s="579" t="s">
        <v>21</v>
      </c>
      <c r="BC19" s="579" t="s">
        <v>20</v>
      </c>
      <c r="BD19" s="579" t="s">
        <v>14</v>
      </c>
      <c r="BE19" s="579" t="s">
        <v>20</v>
      </c>
      <c r="BF19" s="579" t="s">
        <v>21</v>
      </c>
      <c r="BG19" s="579" t="s">
        <v>19</v>
      </c>
      <c r="BH19" s="579" t="s">
        <v>20</v>
      </c>
      <c r="BI19" s="579" t="s">
        <v>20</v>
      </c>
      <c r="BJ19" s="579" t="s">
        <v>20</v>
      </c>
      <c r="BL19" s="566" t="s">
        <v>20</v>
      </c>
      <c r="BM19" s="566">
        <v>3</v>
      </c>
      <c r="BO19" s="566">
        <v>6</v>
      </c>
      <c r="BP19" s="576" t="s">
        <v>33</v>
      </c>
      <c r="BT19" s="584" t="str">
        <f>'Master Calculator'!J22</f>
        <v>SS</v>
      </c>
      <c r="BU19" s="585">
        <f>'Master Calculator'!K22</f>
        <v>37</v>
      </c>
      <c r="BV19" s="625">
        <f>'Master Calculator'!L22</f>
        <v>1</v>
      </c>
      <c r="BW19" s="571" t="str">
        <f t="shared" si="15"/>
        <v>G</v>
      </c>
      <c r="BX19" s="571" t="str">
        <f t="shared" si="16"/>
        <v>G</v>
      </c>
      <c r="BY19" s="586"/>
      <c r="BZ19" s="754" t="s">
        <v>36</v>
      </c>
      <c r="CA19" s="755"/>
      <c r="CB19" s="755"/>
      <c r="CC19" s="755"/>
      <c r="CD19" s="755"/>
      <c r="CE19" s="755"/>
      <c r="CF19" s="755"/>
      <c r="CG19" s="756"/>
    </row>
    <row r="20" spans="1:85" ht="15" thickBot="1">
      <c r="AR20" s="566">
        <v>17</v>
      </c>
      <c r="AS20" s="576" t="s">
        <v>20</v>
      </c>
      <c r="AU20" s="570">
        <f>COUNTIFS($C$16:$AL$16,BB1)</f>
        <v>0</v>
      </c>
      <c r="AV20" s="570">
        <f t="shared" ref="AV20:AY20" si="18">COUNTIFS($C$16:$AL$16,BC1)</f>
        <v>0</v>
      </c>
      <c r="AW20" s="570">
        <f t="shared" si="18"/>
        <v>0</v>
      </c>
      <c r="AX20" s="570">
        <f t="shared" si="18"/>
        <v>0</v>
      </c>
      <c r="AY20" s="570">
        <f t="shared" si="18"/>
        <v>0</v>
      </c>
      <c r="BA20" s="566">
        <v>7</v>
      </c>
      <c r="BB20" s="579" t="s">
        <v>20</v>
      </c>
      <c r="BC20" s="579" t="s">
        <v>26</v>
      </c>
      <c r="BD20" s="579" t="s">
        <v>20</v>
      </c>
      <c r="BE20" s="579" t="s">
        <v>20</v>
      </c>
      <c r="BF20" s="579" t="s">
        <v>20</v>
      </c>
      <c r="BG20" s="579" t="s">
        <v>20</v>
      </c>
      <c r="BH20" s="579" t="s">
        <v>19</v>
      </c>
      <c r="BI20" s="579" t="s">
        <v>14</v>
      </c>
      <c r="BJ20" s="579" t="s">
        <v>14</v>
      </c>
      <c r="BL20" s="566" t="s">
        <v>41</v>
      </c>
      <c r="BM20" s="566">
        <v>5</v>
      </c>
      <c r="BO20" s="566">
        <v>7</v>
      </c>
      <c r="BP20" s="570" t="s">
        <v>23</v>
      </c>
      <c r="BT20" s="562"/>
      <c r="BU20" s="562"/>
      <c r="BV20" s="562"/>
      <c r="BW20" s="628" t="s">
        <v>38</v>
      </c>
      <c r="BX20" s="587"/>
      <c r="BY20" s="588"/>
      <c r="BZ20" s="589" t="s">
        <v>24</v>
      </c>
      <c r="CA20" s="590" t="s">
        <v>112</v>
      </c>
      <c r="CB20" s="590" t="s">
        <v>39</v>
      </c>
      <c r="CC20" s="591" t="s">
        <v>40</v>
      </c>
      <c r="CD20" s="562" t="s">
        <v>61</v>
      </c>
      <c r="CE20" s="562" t="s">
        <v>27</v>
      </c>
      <c r="CF20" s="592" t="s">
        <v>136</v>
      </c>
      <c r="CG20" s="593" t="s">
        <v>137</v>
      </c>
    </row>
    <row r="21" spans="1:85">
      <c r="A21" s="564" t="s">
        <v>192</v>
      </c>
      <c r="AR21" s="566">
        <v>19</v>
      </c>
      <c r="AS21" s="570" t="s">
        <v>64</v>
      </c>
      <c r="AT21" s="566"/>
      <c r="AU21" s="570"/>
      <c r="AV21" s="570"/>
      <c r="AW21" s="570"/>
      <c r="AX21" s="570"/>
      <c r="AY21" s="570"/>
      <c r="BA21" s="566">
        <v>8</v>
      </c>
      <c r="BB21" s="579" t="s">
        <v>21</v>
      </c>
      <c r="BC21" s="579" t="s">
        <v>14</v>
      </c>
      <c r="BD21" s="579" t="s">
        <v>20</v>
      </c>
      <c r="BE21" s="579" t="s">
        <v>14</v>
      </c>
      <c r="BF21" s="579" t="s">
        <v>26</v>
      </c>
      <c r="BG21" s="579" t="s">
        <v>20</v>
      </c>
      <c r="BH21" s="579" t="s">
        <v>14</v>
      </c>
      <c r="BI21" s="579" t="s">
        <v>19</v>
      </c>
      <c r="BJ21" s="583" t="s">
        <v>96</v>
      </c>
      <c r="BL21" s="566" t="s">
        <v>43</v>
      </c>
      <c r="BM21" s="566">
        <v>1</v>
      </c>
      <c r="BO21" s="566">
        <v>8</v>
      </c>
      <c r="BP21" s="570" t="s">
        <v>23</v>
      </c>
      <c r="BR21" s="566" t="s">
        <v>44</v>
      </c>
      <c r="BT21" s="628" t="s">
        <v>42</v>
      </c>
      <c r="BU21" s="629">
        <f>AX15+AX19</f>
        <v>0</v>
      </c>
      <c r="BV21" s="629">
        <f>IF(LEN(BU21)&gt;1,LEFT(BU21,1)+RIGHT(BU21,1),BU21)</f>
        <v>0</v>
      </c>
      <c r="BW21" s="571">
        <v>1</v>
      </c>
      <c r="BX21" s="581">
        <f>COUNTIF(C$2:AL$2,BW21)+COUNTIF(C$4:AL$4,BW21)+COUNTIF(C$6:AL$6,BW21)</f>
        <v>6</v>
      </c>
      <c r="BY21" s="562"/>
      <c r="BZ21" s="571">
        <f>IFERROR(HLOOKUP(BW21,$C$2:$AL$2,1,0),0)</f>
        <v>1</v>
      </c>
      <c r="CA21" s="561">
        <f>IFERROR(HLOOKUP(BW21,$C$4:$AL$4,1,0),0)</f>
        <v>1</v>
      </c>
      <c r="CB21" s="561">
        <f>IFERROR(HLOOKUP(BW21,$C$6:$AL$6,1,0),0)</f>
        <v>1</v>
      </c>
      <c r="CC21" s="581">
        <f ca="1">IFERROR(VLOOKUP(BW21,$BV$14:$BV$19,1,0),0)</f>
        <v>1</v>
      </c>
      <c r="CD21" s="562">
        <f>IF(SUM(BZ21:CB21)&gt;=BW21,BW21,0)</f>
        <v>1</v>
      </c>
      <c r="CE21" s="562">
        <f ca="1">IF(CC21=BW21,BW21,0)</f>
        <v>1</v>
      </c>
      <c r="CF21" s="594">
        <f ca="1">IF(SUM(CD21:CE21)&lt;=0,BW21,0)</f>
        <v>0</v>
      </c>
      <c r="CG21" s="581">
        <f>IF(CD21=BW21,0,CE21)</f>
        <v>0</v>
      </c>
    </row>
    <row r="22" spans="1:85">
      <c r="A22" s="560" t="s">
        <v>17</v>
      </c>
      <c r="B22" s="561" t="str">
        <f>'Master Calculator'!B40</f>
        <v>KAMLESH</v>
      </c>
      <c r="C22" s="561" t="str">
        <f>MID($B22,COLUMNS($B$13:B$13),1)</f>
        <v>K</v>
      </c>
      <c r="D22" s="561" t="str">
        <f>MID($B22,COLUMNS($B$13:C$13),1)</f>
        <v>A</v>
      </c>
      <c r="E22" s="561" t="str">
        <f>MID($B22,COLUMNS($B$13:D$13),1)</f>
        <v>M</v>
      </c>
      <c r="F22" s="561" t="str">
        <f>MID($B22,COLUMNS($B$13:E$13),1)</f>
        <v>L</v>
      </c>
      <c r="G22" s="561" t="str">
        <f>MID($B22,COLUMNS($B$13:F$13),1)</f>
        <v>E</v>
      </c>
      <c r="H22" s="561" t="str">
        <f>MID($B22,COLUMNS($B$13:G$13),1)</f>
        <v>S</v>
      </c>
      <c r="I22" s="561" t="str">
        <f>MID($B22,COLUMNS($B$13:H$13),1)</f>
        <v>H</v>
      </c>
      <c r="J22" s="561" t="str">
        <f>MID($B22,COLUMNS($B$13:I$13),1)</f>
        <v/>
      </c>
      <c r="K22" s="561" t="str">
        <f>MID($B22,COLUMNS($B$13:J$13),1)</f>
        <v/>
      </c>
      <c r="L22" s="561" t="str">
        <f>MID($B22,COLUMNS($B$13:K$13),1)</f>
        <v/>
      </c>
      <c r="M22" s="561" t="str">
        <f>MID($B22,COLUMNS($B$13:L$13),1)</f>
        <v/>
      </c>
      <c r="N22" s="561" t="str">
        <f>MID($B22,COLUMNS($B$13:M$13),1)</f>
        <v/>
      </c>
      <c r="O22" s="561" t="str">
        <f>MID($B22,COLUMNS($B$13:N$13),1)</f>
        <v/>
      </c>
      <c r="P22" s="561" t="str">
        <f>MID($B22,COLUMNS($B$13:O$13),1)</f>
        <v/>
      </c>
      <c r="Q22" s="561" t="str">
        <f>MID($B22,COLUMNS($B$13:P$13),1)</f>
        <v/>
      </c>
      <c r="R22" s="561" t="str">
        <f>MID($B22,COLUMNS($B$13:Q$13),1)</f>
        <v/>
      </c>
      <c r="S22" s="561" t="str">
        <f>MID($B22,COLUMNS($B$13:R$13),1)</f>
        <v/>
      </c>
      <c r="T22" s="561" t="str">
        <f>MID($B22,COLUMNS($B$13:S$13),1)</f>
        <v/>
      </c>
      <c r="U22" s="561" t="str">
        <f>MID($B22,COLUMNS($B$13:T$13),1)</f>
        <v/>
      </c>
      <c r="V22" s="561" t="str">
        <f>MID($B22,COLUMNS($B$13:U$13),1)</f>
        <v/>
      </c>
      <c r="W22" s="561" t="str">
        <f>MID($B22,COLUMNS($B$13:V$13),1)</f>
        <v/>
      </c>
      <c r="X22" s="561" t="str">
        <f>MID($B22,COLUMNS($B$13:W$13),1)</f>
        <v/>
      </c>
      <c r="Y22" s="561" t="str">
        <f>MID($B22,COLUMNS($B$13:X$13),1)</f>
        <v/>
      </c>
      <c r="Z22" s="561" t="str">
        <f>MID($B22,COLUMNS($B$13:Y$13),1)</f>
        <v/>
      </c>
      <c r="AA22" s="561" t="str">
        <f>MID($B22,COLUMNS($B$13:Z$13),1)</f>
        <v/>
      </c>
      <c r="AB22" s="561" t="str">
        <f>MID($B22,COLUMNS($B$13:AA$13),1)</f>
        <v/>
      </c>
      <c r="AC22" s="561" t="str">
        <f>MID($B22,COLUMNS($B$13:AB$13),1)</f>
        <v/>
      </c>
      <c r="AD22" s="561" t="str">
        <f>MID($B22,COLUMNS($B$13:AC$13),1)</f>
        <v/>
      </c>
      <c r="AE22" s="561" t="str">
        <f>MID($B22,COLUMNS($B$13:AD$13),1)</f>
        <v/>
      </c>
      <c r="AF22" s="561" t="str">
        <f>MID($B22,COLUMNS($B$13:AE$13),1)</f>
        <v/>
      </c>
      <c r="AG22" s="561" t="str">
        <f>MID($B22,COLUMNS($B$13:AF$13),1)</f>
        <v/>
      </c>
      <c r="AH22" s="561" t="str">
        <f>MID($B22,COLUMNS($B$13:AG$13),1)</f>
        <v/>
      </c>
      <c r="AI22" s="561" t="str">
        <f>MID($B22,COLUMNS($B$13:AH$13),1)</f>
        <v/>
      </c>
      <c r="AJ22" s="561" t="str">
        <f>MID($B22,COLUMNS($B$13:AI$13),1)</f>
        <v/>
      </c>
      <c r="AK22" s="561" t="str">
        <f>MID($B22,COLUMNS($B$13:AJ$13),1)</f>
        <v/>
      </c>
      <c r="AL22" s="561" t="str">
        <f>MID($B22,COLUMNS($B$13:AK$13),1)</f>
        <v/>
      </c>
      <c r="AM22" s="561"/>
      <c r="AN22" s="561"/>
      <c r="AO22" s="562"/>
      <c r="AP22" s="563"/>
      <c r="AQ22" s="564" t="s">
        <v>4</v>
      </c>
      <c r="AR22" s="566">
        <v>20</v>
      </c>
      <c r="AS22" s="576" t="s">
        <v>20</v>
      </c>
      <c r="BA22" s="566">
        <v>9</v>
      </c>
      <c r="BB22" s="579" t="s">
        <v>14</v>
      </c>
      <c r="BC22" s="579" t="s">
        <v>14</v>
      </c>
      <c r="BD22" s="579" t="s">
        <v>20</v>
      </c>
      <c r="BE22" s="583" t="s">
        <v>96</v>
      </c>
      <c r="BF22" s="579" t="s">
        <v>21</v>
      </c>
      <c r="BG22" s="579" t="s">
        <v>20</v>
      </c>
      <c r="BH22" s="579" t="s">
        <v>14</v>
      </c>
      <c r="BI22" s="583" t="s">
        <v>96</v>
      </c>
      <c r="BJ22" s="579" t="s">
        <v>19</v>
      </c>
      <c r="BL22" s="566" t="s">
        <v>46</v>
      </c>
      <c r="BM22" s="566">
        <v>1</v>
      </c>
      <c r="BO22" s="566">
        <v>9</v>
      </c>
      <c r="BP22" s="570" t="s">
        <v>23</v>
      </c>
      <c r="BR22" s="566"/>
      <c r="BT22" s="624" t="s">
        <v>45</v>
      </c>
      <c r="BU22" s="625">
        <f ca="1">BV15+BV17</f>
        <v>5</v>
      </c>
      <c r="BV22" s="625">
        <f ca="1">IF(LEN(BU22)&gt;1,LEFT(BU22,1)+RIGHT(BU22,1),BU22)</f>
        <v>5</v>
      </c>
      <c r="BW22" s="571">
        <v>2</v>
      </c>
      <c r="BX22" s="581">
        <f t="shared" ref="BX22:BX28" si="19">COUNTIF(C$2:AL$2,BW22)+COUNTIF(C$4:AL$4,BW22)+COUNTIF(C$6:AL$6,BW22)</f>
        <v>2</v>
      </c>
      <c r="BY22" s="562"/>
      <c r="BZ22" s="571">
        <f t="shared" ref="BZ22:BZ29" si="20">IFERROR(HLOOKUP(BW22,$C$2:$AL$2,1,0),0)</f>
        <v>2</v>
      </c>
      <c r="CA22" s="561">
        <f t="shared" ref="CA22:CA29" si="21">IFERROR(HLOOKUP(BW22,$C$4:$AL$4,1,0),0)</f>
        <v>2</v>
      </c>
      <c r="CB22" s="561">
        <f t="shared" ref="CB22:CB29" si="22">IFERROR(HLOOKUP(BW22,$C$6:$AL$6,1,0),0)</f>
        <v>0</v>
      </c>
      <c r="CC22" s="581">
        <f t="shared" ref="CC22:CC29" si="23">IFERROR(VLOOKUP(BW22,$BV$14:$BV$19,1,0),0)</f>
        <v>2</v>
      </c>
      <c r="CD22" s="562">
        <f t="shared" ref="CD22:CD29" si="24">IF(SUM(BZ22:CB22)&gt;=BW22,BW22,0)</f>
        <v>2</v>
      </c>
      <c r="CE22" s="562">
        <f t="shared" ref="CE22:CE29" si="25">IF(CC22=BW22,BW22,0)</f>
        <v>2</v>
      </c>
      <c r="CF22" s="594">
        <f t="shared" ref="CF22:CF29" si="26">IF(SUM(CD22:CE22)&lt;=0,BW22,0)</f>
        <v>0</v>
      </c>
      <c r="CG22" s="581">
        <f t="shared" ref="CG22:CG29" si="27">IF(CD22=BW22,0,CE22)</f>
        <v>0</v>
      </c>
    </row>
    <row r="23" spans="1:85" ht="15" thickBot="1">
      <c r="A23" s="560"/>
      <c r="B23" s="562"/>
      <c r="C23" s="561">
        <f t="shared" ref="C23:AL23" si="28">IFERROR(VLOOKUP(C22,$BL:$BM,2,0),0)</f>
        <v>2</v>
      </c>
      <c r="D23" s="561">
        <f t="shared" si="28"/>
        <v>1</v>
      </c>
      <c r="E23" s="561">
        <f t="shared" si="28"/>
        <v>4</v>
      </c>
      <c r="F23" s="561">
        <f t="shared" si="28"/>
        <v>3</v>
      </c>
      <c r="G23" s="561">
        <f t="shared" si="28"/>
        <v>5</v>
      </c>
      <c r="H23" s="561">
        <f t="shared" si="28"/>
        <v>3</v>
      </c>
      <c r="I23" s="561">
        <f t="shared" si="28"/>
        <v>5</v>
      </c>
      <c r="J23" s="561" t="str">
        <f t="shared" si="28"/>
        <v/>
      </c>
      <c r="K23" s="561" t="str">
        <f t="shared" si="28"/>
        <v/>
      </c>
      <c r="L23" s="561" t="str">
        <f t="shared" si="28"/>
        <v/>
      </c>
      <c r="M23" s="561" t="str">
        <f t="shared" si="28"/>
        <v/>
      </c>
      <c r="N23" s="561" t="str">
        <f t="shared" si="28"/>
        <v/>
      </c>
      <c r="O23" s="561" t="str">
        <f t="shared" si="28"/>
        <v/>
      </c>
      <c r="P23" s="561" t="str">
        <f t="shared" si="28"/>
        <v/>
      </c>
      <c r="Q23" s="561" t="str">
        <f t="shared" si="28"/>
        <v/>
      </c>
      <c r="R23" s="561" t="str">
        <f t="shared" si="28"/>
        <v/>
      </c>
      <c r="S23" s="561" t="str">
        <f t="shared" si="28"/>
        <v/>
      </c>
      <c r="T23" s="561" t="str">
        <f t="shared" si="28"/>
        <v/>
      </c>
      <c r="U23" s="561" t="str">
        <f t="shared" si="28"/>
        <v/>
      </c>
      <c r="V23" s="561" t="str">
        <f t="shared" si="28"/>
        <v/>
      </c>
      <c r="W23" s="561" t="str">
        <f t="shared" si="28"/>
        <v/>
      </c>
      <c r="X23" s="561" t="str">
        <f t="shared" si="28"/>
        <v/>
      </c>
      <c r="Y23" s="561" t="str">
        <f t="shared" si="28"/>
        <v/>
      </c>
      <c r="Z23" s="561" t="str">
        <f t="shared" si="28"/>
        <v/>
      </c>
      <c r="AA23" s="561" t="str">
        <f t="shared" si="28"/>
        <v/>
      </c>
      <c r="AB23" s="561" t="str">
        <f t="shared" si="28"/>
        <v/>
      </c>
      <c r="AC23" s="561" t="str">
        <f t="shared" si="28"/>
        <v/>
      </c>
      <c r="AD23" s="561" t="str">
        <f t="shared" si="28"/>
        <v/>
      </c>
      <c r="AE23" s="561" t="str">
        <f t="shared" si="28"/>
        <v/>
      </c>
      <c r="AF23" s="561" t="str">
        <f t="shared" si="28"/>
        <v/>
      </c>
      <c r="AG23" s="561" t="str">
        <f t="shared" si="28"/>
        <v/>
      </c>
      <c r="AH23" s="561" t="str">
        <f t="shared" si="28"/>
        <v/>
      </c>
      <c r="AI23" s="561" t="str">
        <f t="shared" si="28"/>
        <v/>
      </c>
      <c r="AJ23" s="561" t="str">
        <f t="shared" si="28"/>
        <v/>
      </c>
      <c r="AK23" s="561" t="str">
        <f t="shared" si="28"/>
        <v/>
      </c>
      <c r="AL23" s="561" t="str">
        <f t="shared" si="28"/>
        <v/>
      </c>
      <c r="AM23" s="561">
        <f>SUM(C23:AL23)</f>
        <v>23</v>
      </c>
      <c r="AN23" s="561">
        <f>IF(AM23&lt;10,AM23,((LEFT(AM23,1))+(RIGHT(AM23,1))))</f>
        <v>5</v>
      </c>
      <c r="AO23" s="562" t="s">
        <v>24</v>
      </c>
      <c r="AP23" s="563" t="str">
        <f>IF(AM23&gt;52,VLOOKUP(AN23,BO:BP,2,0),VLOOKUP(AM23,BO:BP,2,0))</f>
        <v>*</v>
      </c>
      <c r="AQ23" s="564">
        <f>AT23</f>
        <v>6</v>
      </c>
      <c r="AR23" s="566">
        <v>21</v>
      </c>
      <c r="AS23" s="570" t="s">
        <v>64</v>
      </c>
      <c r="AT23" s="566">
        <f>(AU23*AU24)+(AV23*AV24)+(AW23*AW24)+(AX23*AX24)+(AY23*AY24)</f>
        <v>6</v>
      </c>
      <c r="AU23" s="569">
        <f>IFERROR((HLOOKUP(BB1,$C$22:$AL$23,2,0)),0)</f>
        <v>1</v>
      </c>
      <c r="AV23" s="569">
        <f t="shared" ref="AV23:AY23" si="29">IFERROR((HLOOKUP(BC1,$C$22:$AL$23,2,0)),0)</f>
        <v>5</v>
      </c>
      <c r="AW23" s="569">
        <f t="shared" si="29"/>
        <v>0</v>
      </c>
      <c r="AX23" s="569">
        <f t="shared" si="29"/>
        <v>0</v>
      </c>
      <c r="AY23" s="569">
        <f t="shared" si="29"/>
        <v>0</v>
      </c>
      <c r="BA23" s="566"/>
      <c r="BB23" s="566"/>
      <c r="BC23" s="566"/>
      <c r="BD23" s="566"/>
      <c r="BE23" s="566"/>
      <c r="BF23" s="566"/>
      <c r="BG23" s="566"/>
      <c r="BH23" s="566"/>
      <c r="BI23" s="566"/>
      <c r="BJ23" s="566"/>
      <c r="BL23" s="566" t="s">
        <v>50</v>
      </c>
      <c r="BM23" s="566">
        <v>2</v>
      </c>
      <c r="BO23" s="566">
        <v>10</v>
      </c>
      <c r="BP23" s="576" t="s">
        <v>33</v>
      </c>
      <c r="BT23" s="595" t="s">
        <v>49</v>
      </c>
      <c r="BU23" s="596">
        <f>AX5+BA5</f>
        <v>0</v>
      </c>
      <c r="BV23" s="596">
        <f>IF(LEN(BU23)&gt;1,LEFT(BU23,1)+RIGHT(BU23,1),BU23)</f>
        <v>0</v>
      </c>
      <c r="BW23" s="571">
        <v>3</v>
      </c>
      <c r="BX23" s="581">
        <f t="shared" si="19"/>
        <v>3</v>
      </c>
      <c r="BY23" s="562"/>
      <c r="BZ23" s="571">
        <f t="shared" si="20"/>
        <v>3</v>
      </c>
      <c r="CA23" s="561">
        <f t="shared" si="21"/>
        <v>3</v>
      </c>
      <c r="CB23" s="561">
        <f t="shared" si="22"/>
        <v>0</v>
      </c>
      <c r="CC23" s="581">
        <f t="shared" ca="1" si="23"/>
        <v>3</v>
      </c>
      <c r="CD23" s="562">
        <f t="shared" si="24"/>
        <v>3</v>
      </c>
      <c r="CE23" s="562">
        <f t="shared" ca="1" si="25"/>
        <v>3</v>
      </c>
      <c r="CF23" s="594">
        <f t="shared" ca="1" si="26"/>
        <v>0</v>
      </c>
      <c r="CG23" s="581">
        <f t="shared" si="27"/>
        <v>0</v>
      </c>
    </row>
    <row r="24" spans="1:85">
      <c r="A24" s="560" t="s">
        <v>30</v>
      </c>
      <c r="B24" s="561" t="str">
        <f>'Master Calculator'!B41</f>
        <v>VIJAY</v>
      </c>
      <c r="C24" s="561" t="str">
        <f>MID($B24,COLUMNS($B$15:B$15),1)</f>
        <v>V</v>
      </c>
      <c r="D24" s="561" t="str">
        <f>MID($B24,COLUMNS($B$15:C$15),1)</f>
        <v>I</v>
      </c>
      <c r="E24" s="561" t="str">
        <f>MID($B24,COLUMNS($B$15:D$15),1)</f>
        <v>J</v>
      </c>
      <c r="F24" s="561" t="str">
        <f>MID($B24,COLUMNS($B$15:E$15),1)</f>
        <v>A</v>
      </c>
      <c r="G24" s="561" t="str">
        <f>MID($B24,COLUMNS($B$15:F$15),1)</f>
        <v>Y</v>
      </c>
      <c r="H24" s="561" t="str">
        <f>MID($B24,COLUMNS($B$15:G$15),1)</f>
        <v/>
      </c>
      <c r="I24" s="561" t="str">
        <f>MID($B24,COLUMNS($B$15:H$15),1)</f>
        <v/>
      </c>
      <c r="J24" s="561" t="str">
        <f>MID($B24,COLUMNS($B$15:I$15),1)</f>
        <v/>
      </c>
      <c r="K24" s="561" t="str">
        <f>MID($B24,COLUMNS($B$15:J$15),1)</f>
        <v/>
      </c>
      <c r="L24" s="561" t="str">
        <f>MID($B24,COLUMNS($B$15:K$15),1)</f>
        <v/>
      </c>
      <c r="M24" s="561" t="str">
        <f>MID($B24,COLUMNS($B$15:L$15),1)</f>
        <v/>
      </c>
      <c r="N24" s="561" t="str">
        <f>MID($B24,COLUMNS($B$15:M$15),1)</f>
        <v/>
      </c>
      <c r="O24" s="561" t="str">
        <f>MID($B24,COLUMNS($B$15:N$15),1)</f>
        <v/>
      </c>
      <c r="P24" s="561" t="str">
        <f>MID($B24,COLUMNS($B$15:O$15),1)</f>
        <v/>
      </c>
      <c r="Q24" s="561" t="str">
        <f>MID($B24,COLUMNS($B$15:P$15),1)</f>
        <v/>
      </c>
      <c r="R24" s="561" t="str">
        <f>MID($B24,COLUMNS($B$15:Q$15),1)</f>
        <v/>
      </c>
      <c r="S24" s="561" t="str">
        <f>MID($B24,COLUMNS($B$15:R$15),1)</f>
        <v/>
      </c>
      <c r="T24" s="561" t="str">
        <f>MID($B24,COLUMNS($B$15:S$15),1)</f>
        <v/>
      </c>
      <c r="U24" s="561" t="str">
        <f>MID($B24,COLUMNS($B$15:T$15),1)</f>
        <v/>
      </c>
      <c r="V24" s="561" t="str">
        <f>MID($B24,COLUMNS($B$15:U$15),1)</f>
        <v/>
      </c>
      <c r="W24" s="561" t="str">
        <f>MID($B24,COLUMNS($B$15:V$15),1)</f>
        <v/>
      </c>
      <c r="X24" s="561" t="str">
        <f>MID($B24,COLUMNS($B$15:W$15),1)</f>
        <v/>
      </c>
      <c r="Y24" s="561" t="str">
        <f>MID($B24,COLUMNS($B$15:X$15),1)</f>
        <v/>
      </c>
      <c r="Z24" s="561" t="str">
        <f>MID($B24,COLUMNS($B$15:Y$15),1)</f>
        <v/>
      </c>
      <c r="AA24" s="561" t="str">
        <f>MID($B24,COLUMNS($B$15:Z$15),1)</f>
        <v/>
      </c>
      <c r="AB24" s="561" t="str">
        <f>MID($B24,COLUMNS($B$15:AA$15),1)</f>
        <v/>
      </c>
      <c r="AC24" s="561" t="str">
        <f>MID($B24,COLUMNS($B$15:AB$15),1)</f>
        <v/>
      </c>
      <c r="AD24" s="561" t="str">
        <f>MID($B24,COLUMNS($B$15:AC$15),1)</f>
        <v/>
      </c>
      <c r="AE24" s="561" t="str">
        <f>MID($B24,COLUMNS($B$15:AD$15),1)</f>
        <v/>
      </c>
      <c r="AF24" s="561" t="str">
        <f>MID($B24,COLUMNS($B$15:AE$15),1)</f>
        <v/>
      </c>
      <c r="AG24" s="561" t="str">
        <f>MID($B24,COLUMNS($B$15:AF$15),1)</f>
        <v/>
      </c>
      <c r="AH24" s="561" t="str">
        <f>MID($B24,COLUMNS($B$15:AG$15),1)</f>
        <v/>
      </c>
      <c r="AI24" s="561" t="str">
        <f>MID($B24,COLUMNS($B$15:AH$15),1)</f>
        <v/>
      </c>
      <c r="AJ24" s="561" t="str">
        <f>MID($B24,COLUMNS($B$15:AI$15),1)</f>
        <v/>
      </c>
      <c r="AK24" s="561" t="str">
        <f>MID($B24,COLUMNS($B$15:AJ$15),1)</f>
        <v/>
      </c>
      <c r="AL24" s="561" t="str">
        <f>MID($B24,COLUMNS($B$15:AK$15),1)</f>
        <v/>
      </c>
      <c r="AM24" s="561"/>
      <c r="AN24" s="561"/>
      <c r="AO24" s="562"/>
      <c r="AP24" s="563"/>
      <c r="AR24" s="566">
        <v>23</v>
      </c>
      <c r="AS24" s="570" t="s">
        <v>64</v>
      </c>
      <c r="AT24" s="566"/>
      <c r="AU24" s="570">
        <f>COUNTIFS($C$22:$AL$22,BB1)</f>
        <v>1</v>
      </c>
      <c r="AV24" s="570">
        <f t="shared" ref="AV24:AY24" si="30">COUNTIFS($C$22:$AL$22,BC1)</f>
        <v>1</v>
      </c>
      <c r="AW24" s="570">
        <f t="shared" si="30"/>
        <v>0</v>
      </c>
      <c r="AX24" s="570">
        <f t="shared" si="30"/>
        <v>0</v>
      </c>
      <c r="AY24" s="570">
        <f t="shared" si="30"/>
        <v>0</v>
      </c>
      <c r="BA24" s="566"/>
      <c r="BB24" s="566" t="s">
        <v>14</v>
      </c>
      <c r="BC24" s="566" t="s">
        <v>22</v>
      </c>
      <c r="BD24" s="566" t="s">
        <v>27</v>
      </c>
      <c r="BE24" s="566" t="s">
        <v>29</v>
      </c>
      <c r="BF24" s="566" t="s">
        <v>19</v>
      </c>
      <c r="BG24" s="566" t="s">
        <v>51</v>
      </c>
      <c r="BH24" s="566" t="s">
        <v>52</v>
      </c>
      <c r="BI24" s="566" t="s">
        <v>21</v>
      </c>
      <c r="BJ24" s="566"/>
      <c r="BL24" s="566" t="s">
        <v>53</v>
      </c>
      <c r="BM24" s="566">
        <v>3</v>
      </c>
      <c r="BO24" s="566">
        <v>11</v>
      </c>
      <c r="BP24" s="570" t="s">
        <v>23</v>
      </c>
      <c r="BT24" s="562"/>
      <c r="BU24" s="562"/>
      <c r="BV24" s="562"/>
      <c r="BW24" s="571">
        <v>4</v>
      </c>
      <c r="BX24" s="581">
        <f t="shared" si="19"/>
        <v>2</v>
      </c>
      <c r="BY24" s="562"/>
      <c r="BZ24" s="571">
        <f t="shared" si="20"/>
        <v>0</v>
      </c>
      <c r="CA24" s="561">
        <f t="shared" si="21"/>
        <v>4</v>
      </c>
      <c r="CB24" s="561">
        <f t="shared" si="22"/>
        <v>4</v>
      </c>
      <c r="CC24" s="581">
        <f t="shared" ca="1" si="23"/>
        <v>0</v>
      </c>
      <c r="CD24" s="562">
        <f t="shared" si="24"/>
        <v>4</v>
      </c>
      <c r="CE24" s="562">
        <f t="shared" ca="1" si="25"/>
        <v>0</v>
      </c>
      <c r="CF24" s="594">
        <f t="shared" ca="1" si="26"/>
        <v>0</v>
      </c>
      <c r="CG24" s="581">
        <f t="shared" si="27"/>
        <v>0</v>
      </c>
    </row>
    <row r="25" spans="1:85">
      <c r="A25" s="560"/>
      <c r="B25" s="562"/>
      <c r="C25" s="561">
        <f t="shared" ref="C25:AL25" si="31">IFERROR(VLOOKUP(C24,$BL:$BM,2,0),0)</f>
        <v>6</v>
      </c>
      <c r="D25" s="561">
        <f t="shared" si="31"/>
        <v>1</v>
      </c>
      <c r="E25" s="561">
        <f t="shared" si="31"/>
        <v>1</v>
      </c>
      <c r="F25" s="561">
        <f t="shared" si="31"/>
        <v>1</v>
      </c>
      <c r="G25" s="561">
        <f t="shared" si="31"/>
        <v>1</v>
      </c>
      <c r="H25" s="561" t="str">
        <f t="shared" si="31"/>
        <v/>
      </c>
      <c r="I25" s="561" t="str">
        <f t="shared" si="31"/>
        <v/>
      </c>
      <c r="J25" s="561" t="str">
        <f t="shared" si="31"/>
        <v/>
      </c>
      <c r="K25" s="561" t="str">
        <f t="shared" si="31"/>
        <v/>
      </c>
      <c r="L25" s="561" t="str">
        <f t="shared" si="31"/>
        <v/>
      </c>
      <c r="M25" s="561" t="str">
        <f t="shared" si="31"/>
        <v/>
      </c>
      <c r="N25" s="561" t="str">
        <f t="shared" si="31"/>
        <v/>
      </c>
      <c r="O25" s="561" t="str">
        <f t="shared" si="31"/>
        <v/>
      </c>
      <c r="P25" s="561" t="str">
        <f t="shared" si="31"/>
        <v/>
      </c>
      <c r="Q25" s="561" t="str">
        <f t="shared" si="31"/>
        <v/>
      </c>
      <c r="R25" s="561" t="str">
        <f t="shared" si="31"/>
        <v/>
      </c>
      <c r="S25" s="561" t="str">
        <f t="shared" si="31"/>
        <v/>
      </c>
      <c r="T25" s="561" t="str">
        <f t="shared" si="31"/>
        <v/>
      </c>
      <c r="U25" s="561" t="str">
        <f t="shared" si="31"/>
        <v/>
      </c>
      <c r="V25" s="561" t="str">
        <f t="shared" si="31"/>
        <v/>
      </c>
      <c r="W25" s="561" t="str">
        <f t="shared" si="31"/>
        <v/>
      </c>
      <c r="X25" s="561" t="str">
        <f t="shared" si="31"/>
        <v/>
      </c>
      <c r="Y25" s="561" t="str">
        <f t="shared" si="31"/>
        <v/>
      </c>
      <c r="Z25" s="561" t="str">
        <f t="shared" si="31"/>
        <v/>
      </c>
      <c r="AA25" s="561" t="str">
        <f t="shared" si="31"/>
        <v/>
      </c>
      <c r="AB25" s="561" t="str">
        <f t="shared" si="31"/>
        <v/>
      </c>
      <c r="AC25" s="561" t="str">
        <f t="shared" si="31"/>
        <v/>
      </c>
      <c r="AD25" s="561" t="str">
        <f t="shared" si="31"/>
        <v/>
      </c>
      <c r="AE25" s="561" t="str">
        <f t="shared" si="31"/>
        <v/>
      </c>
      <c r="AF25" s="561" t="str">
        <f t="shared" si="31"/>
        <v/>
      </c>
      <c r="AG25" s="561" t="str">
        <f t="shared" si="31"/>
        <v/>
      </c>
      <c r="AH25" s="561" t="str">
        <f t="shared" si="31"/>
        <v/>
      </c>
      <c r="AI25" s="561" t="str">
        <f t="shared" si="31"/>
        <v/>
      </c>
      <c r="AJ25" s="561" t="str">
        <f t="shared" si="31"/>
        <v/>
      </c>
      <c r="AK25" s="561" t="str">
        <f t="shared" si="31"/>
        <v/>
      </c>
      <c r="AL25" s="561" t="str">
        <f t="shared" si="31"/>
        <v/>
      </c>
      <c r="AM25" s="561">
        <f>SUM(C25:AL25)</f>
        <v>10</v>
      </c>
      <c r="AN25" s="561">
        <f>IF(AM25&lt;10,AM25,((LEFT(AM25,1))+(RIGHT(AM25,1))))</f>
        <v>1</v>
      </c>
      <c r="AO25" s="562"/>
      <c r="AP25" s="563"/>
      <c r="AQ25" s="564">
        <f>AT26</f>
        <v>2</v>
      </c>
      <c r="AR25" s="566">
        <v>24</v>
      </c>
      <c r="AS25" s="570" t="s">
        <v>64</v>
      </c>
      <c r="AT25" s="566"/>
      <c r="AU25" s="570"/>
      <c r="AV25" s="570"/>
      <c r="AW25" s="570"/>
      <c r="AX25" s="570"/>
      <c r="AY25" s="570"/>
      <c r="BA25" s="566"/>
      <c r="BB25" s="566" t="s">
        <v>43</v>
      </c>
      <c r="BC25" s="566" t="s">
        <v>50</v>
      </c>
      <c r="BD25" s="566" t="s">
        <v>20</v>
      </c>
      <c r="BE25" s="566" t="s">
        <v>47</v>
      </c>
      <c r="BF25" s="566" t="s">
        <v>41</v>
      </c>
      <c r="BG25" s="566" t="s">
        <v>56</v>
      </c>
      <c r="BH25" s="566" t="s">
        <v>57</v>
      </c>
      <c r="BI25" s="566" t="s">
        <v>58</v>
      </c>
      <c r="BJ25" s="566"/>
      <c r="BL25" s="566" t="s">
        <v>47</v>
      </c>
      <c r="BM25" s="566">
        <v>4</v>
      </c>
      <c r="BO25" s="566">
        <v>12</v>
      </c>
      <c r="BP25" s="576" t="s">
        <v>33</v>
      </c>
      <c r="BU25" s="562"/>
      <c r="BV25" s="562"/>
      <c r="BW25" s="571">
        <v>5</v>
      </c>
      <c r="BX25" s="581">
        <f t="shared" si="19"/>
        <v>6</v>
      </c>
      <c r="BY25" s="562"/>
      <c r="BZ25" s="571">
        <f t="shared" si="20"/>
        <v>5</v>
      </c>
      <c r="CA25" s="561">
        <f t="shared" si="21"/>
        <v>5</v>
      </c>
      <c r="CB25" s="561">
        <f t="shared" si="22"/>
        <v>5</v>
      </c>
      <c r="CC25" s="581">
        <f t="shared" ca="1" si="23"/>
        <v>5</v>
      </c>
      <c r="CD25" s="562">
        <f t="shared" si="24"/>
        <v>5</v>
      </c>
      <c r="CE25" s="562">
        <f t="shared" ca="1" si="25"/>
        <v>5</v>
      </c>
      <c r="CF25" s="594">
        <f t="shared" ca="1" si="26"/>
        <v>0</v>
      </c>
      <c r="CG25" s="581">
        <f t="shared" si="27"/>
        <v>0</v>
      </c>
    </row>
    <row r="26" spans="1:85">
      <c r="A26" s="560" t="s">
        <v>37</v>
      </c>
      <c r="B26" s="561">
        <f>'Master Calculator'!B42</f>
        <v>0</v>
      </c>
      <c r="C26" s="561" t="str">
        <f>MID($B26,COLUMNS($B$15:B$15),1)</f>
        <v>0</v>
      </c>
      <c r="D26" s="561" t="str">
        <f>MID($B26,COLUMNS($B$15:C$15),1)</f>
        <v/>
      </c>
      <c r="E26" s="561" t="str">
        <f>MID($B26,COLUMNS($B$15:D$15),1)</f>
        <v/>
      </c>
      <c r="F26" s="561" t="str">
        <f>MID($B26,COLUMNS($B$15:E$15),1)</f>
        <v/>
      </c>
      <c r="G26" s="561" t="str">
        <f>MID($B26,COLUMNS($B$15:F$15),1)</f>
        <v/>
      </c>
      <c r="H26" s="561" t="str">
        <f>MID($B26,COLUMNS($B$15:G$15),1)</f>
        <v/>
      </c>
      <c r="I26" s="561" t="str">
        <f>MID($B26,COLUMNS($B$15:H$15),1)</f>
        <v/>
      </c>
      <c r="J26" s="561" t="str">
        <f>MID($B26,COLUMNS($B$15:I$15),1)</f>
        <v/>
      </c>
      <c r="K26" s="561" t="str">
        <f>MID($B26,COLUMNS($B$15:J$15),1)</f>
        <v/>
      </c>
      <c r="L26" s="561" t="str">
        <f>MID($B26,COLUMNS($B$15:K$15),1)</f>
        <v/>
      </c>
      <c r="M26" s="561" t="str">
        <f>MID($B26,COLUMNS($B$15:L$15),1)</f>
        <v/>
      </c>
      <c r="N26" s="561" t="str">
        <f>MID($B26,COLUMNS($B$15:M$15),1)</f>
        <v/>
      </c>
      <c r="O26" s="561" t="str">
        <f>MID($B26,COLUMNS($B$15:N$15),1)</f>
        <v/>
      </c>
      <c r="P26" s="561" t="str">
        <f>MID($B26,COLUMNS($B$15:O$15),1)</f>
        <v/>
      </c>
      <c r="Q26" s="561" t="str">
        <f>MID($B26,COLUMNS($B$15:P$15),1)</f>
        <v/>
      </c>
      <c r="R26" s="561" t="str">
        <f>MID($B26,COLUMNS($B$15:Q$15),1)</f>
        <v/>
      </c>
      <c r="S26" s="561" t="str">
        <f>MID($B26,COLUMNS($B$15:R$15),1)</f>
        <v/>
      </c>
      <c r="T26" s="561" t="str">
        <f>MID($B26,COLUMNS($B$15:S$15),1)</f>
        <v/>
      </c>
      <c r="U26" s="561" t="str">
        <f>MID($B26,COLUMNS($B$15:T$15),1)</f>
        <v/>
      </c>
      <c r="V26" s="561" t="str">
        <f>MID($B26,COLUMNS($B$15:U$15),1)</f>
        <v/>
      </c>
      <c r="W26" s="561" t="str">
        <f>MID($B26,COLUMNS($B$15:V$15),1)</f>
        <v/>
      </c>
      <c r="X26" s="561" t="str">
        <f>MID($B26,COLUMNS($B$15:W$15),1)</f>
        <v/>
      </c>
      <c r="Y26" s="561" t="str">
        <f>MID($B26,COLUMNS($B$15:X$15),1)</f>
        <v/>
      </c>
      <c r="Z26" s="561" t="str">
        <f>MID($B26,COLUMNS($B$15:Y$15),1)</f>
        <v/>
      </c>
      <c r="AA26" s="561" t="str">
        <f>MID($B26,COLUMNS($B$15:Z$15),1)</f>
        <v/>
      </c>
      <c r="AB26" s="561" t="str">
        <f>MID($B26,COLUMNS($B$15:AA$15),1)</f>
        <v/>
      </c>
      <c r="AC26" s="561" t="str">
        <f>MID($B26,COLUMNS($B$15:AB$15),1)</f>
        <v/>
      </c>
      <c r="AD26" s="561" t="str">
        <f>MID($B26,COLUMNS($B$15:AC$15),1)</f>
        <v/>
      </c>
      <c r="AE26" s="561" t="str">
        <f>MID($B26,COLUMNS($B$15:AD$15),1)</f>
        <v/>
      </c>
      <c r="AF26" s="561" t="str">
        <f>MID($B26,COLUMNS($B$15:AE$15),1)</f>
        <v/>
      </c>
      <c r="AG26" s="561" t="str">
        <f>MID($B26,COLUMNS($B$15:AF$15),1)</f>
        <v/>
      </c>
      <c r="AH26" s="561" t="str">
        <f>MID($B26,COLUMNS($B$15:AG$15),1)</f>
        <v/>
      </c>
      <c r="AI26" s="561" t="str">
        <f>MID($B26,COLUMNS($B$15:AH$15),1)</f>
        <v/>
      </c>
      <c r="AJ26" s="561" t="str">
        <f>MID($B26,COLUMNS($B$15:AI$15),1)</f>
        <v/>
      </c>
      <c r="AK26" s="561" t="str">
        <f>MID($B26,COLUMNS($B$15:AJ$15),1)</f>
        <v/>
      </c>
      <c r="AL26" s="561" t="str">
        <f>MID($B26,COLUMNS($B$15:AK$15),1)</f>
        <v/>
      </c>
      <c r="AM26" s="561"/>
      <c r="AN26" s="561"/>
      <c r="AO26" s="562"/>
      <c r="AP26" s="563"/>
      <c r="AR26" s="566">
        <v>25</v>
      </c>
      <c r="AS26" s="576" t="s">
        <v>20</v>
      </c>
      <c r="AT26" s="566">
        <f>(AU26*AU27)+(AV26*AV27)+(AW26*AW27)+(AX26*AX27)+(AY26*AY27)</f>
        <v>2</v>
      </c>
      <c r="AU26" s="569">
        <f>IFERROR((HLOOKUP(BB1,$C$24:$AL$25,2,0)),0)</f>
        <v>1</v>
      </c>
      <c r="AV26" s="569">
        <f t="shared" ref="AV26:AY26" si="32">IFERROR((HLOOKUP(BC1,$C$24:$AL$25,2,0)),0)</f>
        <v>0</v>
      </c>
      <c r="AW26" s="569">
        <f t="shared" si="32"/>
        <v>1</v>
      </c>
      <c r="AX26" s="569">
        <f t="shared" si="32"/>
        <v>0</v>
      </c>
      <c r="AY26" s="569">
        <f t="shared" si="32"/>
        <v>0</v>
      </c>
      <c r="BA26" s="566"/>
      <c r="BB26" s="566" t="s">
        <v>46</v>
      </c>
      <c r="BC26" s="566" t="s">
        <v>59</v>
      </c>
      <c r="BD26" s="566" t="s">
        <v>53</v>
      </c>
      <c r="BE26" s="566" t="s">
        <v>60</v>
      </c>
      <c r="BF26" s="566" t="s">
        <v>61</v>
      </c>
      <c r="BG26" s="566" t="s">
        <v>62</v>
      </c>
      <c r="BH26" s="566"/>
      <c r="BI26" s="566"/>
      <c r="BJ26" s="566"/>
      <c r="BL26" s="566" t="s">
        <v>61</v>
      </c>
      <c r="BM26" s="566">
        <v>5</v>
      </c>
      <c r="BO26" s="566">
        <v>13</v>
      </c>
      <c r="BP26" s="576" t="s">
        <v>33</v>
      </c>
      <c r="BU26" s="562"/>
      <c r="BV26" s="562"/>
      <c r="BW26" s="571">
        <v>6</v>
      </c>
      <c r="BX26" s="581">
        <f t="shared" si="19"/>
        <v>0</v>
      </c>
      <c r="BY26" s="562"/>
      <c r="BZ26" s="571">
        <f t="shared" si="20"/>
        <v>0</v>
      </c>
      <c r="CA26" s="561">
        <f t="shared" si="21"/>
        <v>0</v>
      </c>
      <c r="CB26" s="561">
        <f t="shared" si="22"/>
        <v>0</v>
      </c>
      <c r="CC26" s="581">
        <f t="shared" ca="1" si="23"/>
        <v>0</v>
      </c>
      <c r="CD26" s="562">
        <f t="shared" si="24"/>
        <v>0</v>
      </c>
      <c r="CE26" s="562">
        <f t="shared" ca="1" si="25"/>
        <v>0</v>
      </c>
      <c r="CF26" s="594">
        <f t="shared" ca="1" si="26"/>
        <v>6</v>
      </c>
      <c r="CG26" s="581">
        <f t="shared" ca="1" si="27"/>
        <v>0</v>
      </c>
    </row>
    <row r="27" spans="1:85" ht="15" thickBot="1">
      <c r="A27" s="560"/>
      <c r="B27" s="562"/>
      <c r="C27" s="561">
        <f t="shared" ref="C27:AL27" si="33">IFERROR(VLOOKUP(C26,$BL:$BM,2,0),0)</f>
        <v>0</v>
      </c>
      <c r="D27" s="561" t="str">
        <f t="shared" si="33"/>
        <v/>
      </c>
      <c r="E27" s="561" t="str">
        <f t="shared" si="33"/>
        <v/>
      </c>
      <c r="F27" s="561" t="str">
        <f t="shared" si="33"/>
        <v/>
      </c>
      <c r="G27" s="561" t="str">
        <f t="shared" si="33"/>
        <v/>
      </c>
      <c r="H27" s="561" t="str">
        <f t="shared" si="33"/>
        <v/>
      </c>
      <c r="I27" s="561" t="str">
        <f t="shared" si="33"/>
        <v/>
      </c>
      <c r="J27" s="561" t="str">
        <f t="shared" si="33"/>
        <v/>
      </c>
      <c r="K27" s="561" t="str">
        <f t="shared" si="33"/>
        <v/>
      </c>
      <c r="L27" s="561" t="str">
        <f t="shared" si="33"/>
        <v/>
      </c>
      <c r="M27" s="561" t="str">
        <f t="shared" si="33"/>
        <v/>
      </c>
      <c r="N27" s="561" t="str">
        <f t="shared" si="33"/>
        <v/>
      </c>
      <c r="O27" s="561" t="str">
        <f t="shared" si="33"/>
        <v/>
      </c>
      <c r="P27" s="561" t="str">
        <f t="shared" si="33"/>
        <v/>
      </c>
      <c r="Q27" s="561" t="str">
        <f t="shared" si="33"/>
        <v/>
      </c>
      <c r="R27" s="561" t="str">
        <f t="shared" si="33"/>
        <v/>
      </c>
      <c r="S27" s="561" t="str">
        <f t="shared" si="33"/>
        <v/>
      </c>
      <c r="T27" s="561" t="str">
        <f t="shared" si="33"/>
        <v/>
      </c>
      <c r="U27" s="561" t="str">
        <f t="shared" si="33"/>
        <v/>
      </c>
      <c r="V27" s="561" t="str">
        <f t="shared" si="33"/>
        <v/>
      </c>
      <c r="W27" s="561" t="str">
        <f t="shared" si="33"/>
        <v/>
      </c>
      <c r="X27" s="561" t="str">
        <f t="shared" si="33"/>
        <v/>
      </c>
      <c r="Y27" s="561" t="str">
        <f t="shared" si="33"/>
        <v/>
      </c>
      <c r="Z27" s="561" t="str">
        <f t="shared" si="33"/>
        <v/>
      </c>
      <c r="AA27" s="561" t="str">
        <f t="shared" si="33"/>
        <v/>
      </c>
      <c r="AB27" s="561" t="str">
        <f t="shared" si="33"/>
        <v/>
      </c>
      <c r="AC27" s="561" t="str">
        <f t="shared" si="33"/>
        <v/>
      </c>
      <c r="AD27" s="561" t="str">
        <f t="shared" si="33"/>
        <v/>
      </c>
      <c r="AE27" s="561" t="str">
        <f t="shared" si="33"/>
        <v/>
      </c>
      <c r="AF27" s="561" t="str">
        <f t="shared" si="33"/>
        <v/>
      </c>
      <c r="AG27" s="561" t="str">
        <f t="shared" si="33"/>
        <v/>
      </c>
      <c r="AH27" s="561" t="str">
        <f t="shared" si="33"/>
        <v/>
      </c>
      <c r="AI27" s="561" t="str">
        <f t="shared" si="33"/>
        <v/>
      </c>
      <c r="AJ27" s="561" t="str">
        <f t="shared" si="33"/>
        <v/>
      </c>
      <c r="AK27" s="561" t="str">
        <f t="shared" si="33"/>
        <v/>
      </c>
      <c r="AL27" s="561" t="str">
        <f t="shared" si="33"/>
        <v/>
      </c>
      <c r="AM27" s="561">
        <f>SUM(C27:AL27)</f>
        <v>0</v>
      </c>
      <c r="AN27" s="561">
        <f>IF(AM27&lt;10,AM27,((LEFT(AM27,1))+(RIGHT(AM27,1))))</f>
        <v>0</v>
      </c>
      <c r="AO27" s="562"/>
      <c r="AP27" s="563"/>
      <c r="AR27" s="566">
        <v>27</v>
      </c>
      <c r="AS27" s="576" t="s">
        <v>20</v>
      </c>
      <c r="AT27" s="566"/>
      <c r="AU27" s="570">
        <f>COUNTIFS($C$24:$AL$24,BB1)</f>
        <v>1</v>
      </c>
      <c r="AV27" s="570">
        <f t="shared" ref="AV27:AY27" si="34">COUNTIFS($C$24:$AL$24,BC1)</f>
        <v>0</v>
      </c>
      <c r="AW27" s="570">
        <f t="shared" si="34"/>
        <v>1</v>
      </c>
      <c r="AX27" s="570">
        <f t="shared" si="34"/>
        <v>0</v>
      </c>
      <c r="AY27" s="570">
        <f t="shared" si="34"/>
        <v>0</v>
      </c>
      <c r="BA27" s="566"/>
      <c r="BB27" s="566" t="s">
        <v>63</v>
      </c>
      <c r="BC27" s="566"/>
      <c r="BD27" s="566" t="s">
        <v>64</v>
      </c>
      <c r="BE27" s="566"/>
      <c r="BF27" s="566" t="s">
        <v>23</v>
      </c>
      <c r="BG27" s="566"/>
      <c r="BH27" s="566"/>
      <c r="BI27" s="566"/>
      <c r="BJ27" s="566"/>
      <c r="BL27" s="566" t="s">
        <v>52</v>
      </c>
      <c r="BM27" s="566">
        <v>7</v>
      </c>
      <c r="BO27" s="566">
        <v>14</v>
      </c>
      <c r="BP27" s="576" t="s">
        <v>33</v>
      </c>
      <c r="BT27" s="562"/>
      <c r="BU27" s="562"/>
      <c r="BV27" s="562"/>
      <c r="BW27" s="571">
        <v>7</v>
      </c>
      <c r="BX27" s="581">
        <f t="shared" si="19"/>
        <v>0</v>
      </c>
      <c r="BY27" s="562"/>
      <c r="BZ27" s="571">
        <f t="shared" si="20"/>
        <v>0</v>
      </c>
      <c r="CA27" s="561">
        <f t="shared" si="21"/>
        <v>0</v>
      </c>
      <c r="CB27" s="561">
        <f t="shared" si="22"/>
        <v>0</v>
      </c>
      <c r="CC27" s="581">
        <f t="shared" ca="1" si="23"/>
        <v>0</v>
      </c>
      <c r="CD27" s="562">
        <f t="shared" si="24"/>
        <v>0</v>
      </c>
      <c r="CE27" s="562">
        <f t="shared" ca="1" si="25"/>
        <v>0</v>
      </c>
      <c r="CF27" s="594">
        <f t="shared" ca="1" si="26"/>
        <v>7</v>
      </c>
      <c r="CG27" s="581">
        <f t="shared" ca="1" si="27"/>
        <v>0</v>
      </c>
    </row>
    <row r="28" spans="1:85">
      <c r="J28" s="573"/>
      <c r="K28" s="574"/>
      <c r="L28" s="573"/>
      <c r="M28" s="574"/>
      <c r="U28" s="574"/>
      <c r="AE28" s="574"/>
      <c r="AM28" s="562">
        <f>AM27+AM25+AM23</f>
        <v>33</v>
      </c>
      <c r="AN28" s="561">
        <f>AN23+AN25+AN27</f>
        <v>6</v>
      </c>
      <c r="AO28" s="562" t="s">
        <v>31</v>
      </c>
      <c r="AP28" s="563" t="str">
        <f>IF(AM28&gt;52,VLOOKUP(AN28,BO:BP,2,0),VLOOKUP(AM28,BO:BP,2,0))</f>
        <v>√</v>
      </c>
      <c r="AQ28" s="564">
        <f>AT29</f>
        <v>0</v>
      </c>
      <c r="AR28" s="566">
        <v>30</v>
      </c>
      <c r="AS28" s="570" t="s">
        <v>64</v>
      </c>
      <c r="BA28" s="566"/>
      <c r="BB28" s="566" t="s">
        <v>48</v>
      </c>
      <c r="BC28" s="566"/>
      <c r="BD28" s="566"/>
      <c r="BE28" s="566"/>
      <c r="BF28" s="566"/>
      <c r="BG28" s="566"/>
      <c r="BH28" s="566"/>
      <c r="BI28" s="566"/>
      <c r="BJ28" s="566"/>
      <c r="BL28" s="566" t="s">
        <v>58</v>
      </c>
      <c r="BM28" s="566">
        <v>8</v>
      </c>
      <c r="BO28" s="566">
        <v>15</v>
      </c>
      <c r="BP28" s="576" t="s">
        <v>33</v>
      </c>
      <c r="BT28" s="562"/>
      <c r="BU28" s="562"/>
      <c r="BV28" s="562"/>
      <c r="BW28" s="571">
        <v>8</v>
      </c>
      <c r="BX28" s="581">
        <f t="shared" si="19"/>
        <v>0</v>
      </c>
      <c r="BY28" s="562"/>
      <c r="BZ28" s="571">
        <f t="shared" si="20"/>
        <v>0</v>
      </c>
      <c r="CA28" s="561">
        <f t="shared" si="21"/>
        <v>0</v>
      </c>
      <c r="CB28" s="561">
        <f t="shared" si="22"/>
        <v>0</v>
      </c>
      <c r="CC28" s="581">
        <f t="shared" ca="1" si="23"/>
        <v>0</v>
      </c>
      <c r="CD28" s="562">
        <f t="shared" si="24"/>
        <v>0</v>
      </c>
      <c r="CE28" s="562">
        <f t="shared" ca="1" si="25"/>
        <v>0</v>
      </c>
      <c r="CF28" s="594">
        <f t="shared" ca="1" si="26"/>
        <v>8</v>
      </c>
      <c r="CG28" s="581">
        <f t="shared" ca="1" si="27"/>
        <v>0</v>
      </c>
    </row>
    <row r="29" spans="1:85" ht="15" thickBot="1">
      <c r="AQ29" s="564">
        <f>SUM(AQ23:AQ28)</f>
        <v>8</v>
      </c>
      <c r="AR29" s="566">
        <v>32</v>
      </c>
      <c r="AS29" s="576" t="s">
        <v>20</v>
      </c>
      <c r="AT29" s="566">
        <f>(AU29*AU30)+(AV29*AV30)+(AW29*AW30)+(AX29*AX30)+(AY29*AY30)</f>
        <v>0</v>
      </c>
      <c r="AU29" s="569">
        <f>IFERROR((HLOOKUP(BB1,$C$26:$AL$27,2,0)),0)</f>
        <v>0</v>
      </c>
      <c r="AV29" s="569">
        <f t="shared" ref="AV29:AY29" si="35">IFERROR((HLOOKUP(BC1,$C$26:$AL$27,2,0)),0)</f>
        <v>0</v>
      </c>
      <c r="AW29" s="569">
        <f t="shared" si="35"/>
        <v>0</v>
      </c>
      <c r="AX29" s="569">
        <f t="shared" si="35"/>
        <v>0</v>
      </c>
      <c r="AY29" s="569">
        <f t="shared" si="35"/>
        <v>0</v>
      </c>
      <c r="BL29" s="566" t="s">
        <v>63</v>
      </c>
      <c r="BM29" s="566">
        <v>1</v>
      </c>
      <c r="BO29" s="566">
        <v>16</v>
      </c>
      <c r="BP29" s="570" t="s">
        <v>23</v>
      </c>
      <c r="BR29" s="566"/>
      <c r="BT29" s="562"/>
      <c r="BU29" s="562"/>
      <c r="BV29" s="562"/>
      <c r="BW29" s="572">
        <v>9</v>
      </c>
      <c r="BX29" s="597"/>
      <c r="BY29" s="598"/>
      <c r="BZ29" s="571">
        <f t="shared" si="20"/>
        <v>0</v>
      </c>
      <c r="CA29" s="561">
        <f t="shared" si="21"/>
        <v>0</v>
      </c>
      <c r="CB29" s="561">
        <f t="shared" si="22"/>
        <v>0</v>
      </c>
      <c r="CC29" s="581">
        <f t="shared" ca="1" si="23"/>
        <v>0</v>
      </c>
      <c r="CD29" s="599">
        <f t="shared" si="24"/>
        <v>0</v>
      </c>
      <c r="CE29" s="599">
        <f t="shared" ca="1" si="25"/>
        <v>0</v>
      </c>
      <c r="CF29" s="592">
        <f t="shared" ca="1" si="26"/>
        <v>9</v>
      </c>
      <c r="CG29" s="593">
        <f t="shared" ca="1" si="27"/>
        <v>0</v>
      </c>
    </row>
    <row r="30" spans="1:85">
      <c r="AR30" s="566">
        <v>33</v>
      </c>
      <c r="AS30" s="576" t="s">
        <v>20</v>
      </c>
      <c r="AT30" s="566"/>
      <c r="AU30" s="570">
        <f>COUNTIFS($C$26:$AL$26,BB1)</f>
        <v>0</v>
      </c>
      <c r="AV30" s="570">
        <f t="shared" ref="AV30:AY30" si="36">COUNTIFS($C$26:$AL$26,BC1)</f>
        <v>0</v>
      </c>
      <c r="AW30" s="570">
        <f t="shared" si="36"/>
        <v>0</v>
      </c>
      <c r="AX30" s="570">
        <f t="shared" si="36"/>
        <v>0</v>
      </c>
      <c r="AY30" s="570">
        <f t="shared" si="36"/>
        <v>0</v>
      </c>
      <c r="BL30" s="566" t="s">
        <v>59</v>
      </c>
      <c r="BM30" s="566">
        <v>2</v>
      </c>
      <c r="BO30" s="566">
        <v>17</v>
      </c>
      <c r="BP30" s="576" t="s">
        <v>33</v>
      </c>
      <c r="BR30" s="566"/>
      <c r="BT30" s="562"/>
      <c r="BU30" s="562"/>
      <c r="BV30" s="562"/>
      <c r="BW30" s="561"/>
      <c r="BX30" s="562"/>
      <c r="BY30" s="562"/>
      <c r="BZ30" s="561"/>
      <c r="CA30" s="561"/>
      <c r="CB30" s="561"/>
      <c r="CC30" s="561"/>
      <c r="CD30" s="562"/>
      <c r="CE30" s="562"/>
      <c r="CF30" s="561"/>
      <c r="CG30" s="561"/>
    </row>
    <row r="31" spans="1:85">
      <c r="A31" s="564" t="s">
        <v>193</v>
      </c>
      <c r="AR31" s="566">
        <v>34</v>
      </c>
      <c r="AS31" s="570" t="s">
        <v>64</v>
      </c>
      <c r="BL31" s="566" t="s">
        <v>64</v>
      </c>
      <c r="BM31" s="566">
        <v>3</v>
      </c>
      <c r="BO31" s="566">
        <v>18</v>
      </c>
      <c r="BP31" s="570" t="s">
        <v>23</v>
      </c>
      <c r="BR31" s="566"/>
      <c r="BT31" s="562"/>
      <c r="BU31" s="562"/>
      <c r="BV31" s="562"/>
      <c r="BW31" s="561"/>
      <c r="BX31" s="562"/>
      <c r="BY31" s="562"/>
      <c r="BZ31" s="561"/>
      <c r="CA31" s="561"/>
      <c r="CB31" s="561"/>
      <c r="CC31" s="561"/>
      <c r="CD31" s="562"/>
      <c r="CE31" s="562"/>
      <c r="CF31" s="561"/>
      <c r="CG31" s="561"/>
    </row>
    <row r="32" spans="1:85">
      <c r="A32" s="560" t="s">
        <v>17</v>
      </c>
      <c r="B32" s="561">
        <f>'Master Calculator'!B51</f>
        <v>0</v>
      </c>
      <c r="C32" s="561" t="str">
        <f>MID($B32,COLUMNS($B$13:B$13),1)</f>
        <v>0</v>
      </c>
      <c r="D32" s="561" t="str">
        <f>MID($B32,COLUMNS($B$13:C$13),1)</f>
        <v/>
      </c>
      <c r="E32" s="561" t="str">
        <f>MID($B32,COLUMNS($B$13:D$13),1)</f>
        <v/>
      </c>
      <c r="F32" s="561" t="str">
        <f>MID($B32,COLUMNS($B$13:E$13),1)</f>
        <v/>
      </c>
      <c r="G32" s="561" t="str">
        <f>MID($B32,COLUMNS($B$13:F$13),1)</f>
        <v/>
      </c>
      <c r="H32" s="561" t="str">
        <f>MID($B32,COLUMNS($B$13:G$13),1)</f>
        <v/>
      </c>
      <c r="I32" s="561" t="str">
        <f>MID($B32,COLUMNS($B$13:H$13),1)</f>
        <v/>
      </c>
      <c r="J32" s="561" t="str">
        <f>MID($B32,COLUMNS($B$13:I$13),1)</f>
        <v/>
      </c>
      <c r="K32" s="561" t="str">
        <f>MID($B32,COLUMNS($B$13:J$13),1)</f>
        <v/>
      </c>
      <c r="L32" s="561" t="str">
        <f>MID($B32,COLUMNS($B$13:K$13),1)</f>
        <v/>
      </c>
      <c r="M32" s="561" t="str">
        <f>MID($B32,COLUMNS($B$13:L$13),1)</f>
        <v/>
      </c>
      <c r="N32" s="561" t="str">
        <f>MID($B32,COLUMNS($B$13:M$13),1)</f>
        <v/>
      </c>
      <c r="O32" s="561" t="str">
        <f>MID($B32,COLUMNS($B$13:N$13),1)</f>
        <v/>
      </c>
      <c r="P32" s="561" t="str">
        <f>MID($B32,COLUMNS($B$13:O$13),1)</f>
        <v/>
      </c>
      <c r="Q32" s="561" t="str">
        <f>MID($B32,COLUMNS($B$13:P$13),1)</f>
        <v/>
      </c>
      <c r="R32" s="561" t="str">
        <f>MID($B32,COLUMNS($B$13:Q$13),1)</f>
        <v/>
      </c>
      <c r="S32" s="561" t="str">
        <f>MID($B32,COLUMNS($B$13:R$13),1)</f>
        <v/>
      </c>
      <c r="T32" s="561" t="str">
        <f>MID($B32,COLUMNS($B$13:S$13),1)</f>
        <v/>
      </c>
      <c r="U32" s="561" t="str">
        <f>MID($B32,COLUMNS($B$13:T$13),1)</f>
        <v/>
      </c>
      <c r="V32" s="561" t="str">
        <f>MID($B32,COLUMNS($B$13:U$13),1)</f>
        <v/>
      </c>
      <c r="W32" s="561" t="str">
        <f>MID($B32,COLUMNS($B$13:V$13),1)</f>
        <v/>
      </c>
      <c r="X32" s="561" t="str">
        <f>MID($B32,COLUMNS($B$13:W$13),1)</f>
        <v/>
      </c>
      <c r="Y32" s="561" t="str">
        <f>MID($B32,COLUMNS($B$13:X$13),1)</f>
        <v/>
      </c>
      <c r="Z32" s="561" t="str">
        <f>MID($B32,COLUMNS($B$13:Y$13),1)</f>
        <v/>
      </c>
      <c r="AA32" s="561" t="str">
        <f>MID($B32,COLUMNS($B$13:Z$13),1)</f>
        <v/>
      </c>
      <c r="AB32" s="561" t="str">
        <f>MID($B32,COLUMNS($B$13:AA$13),1)</f>
        <v/>
      </c>
      <c r="AC32" s="561" t="str">
        <f>MID($B32,COLUMNS($B$13:AB$13),1)</f>
        <v/>
      </c>
      <c r="AD32" s="561" t="str">
        <f>MID($B32,COLUMNS($B$13:AC$13),1)</f>
        <v/>
      </c>
      <c r="AE32" s="561" t="str">
        <f>MID($B32,COLUMNS($B$13:AD$13),1)</f>
        <v/>
      </c>
      <c r="AF32" s="561" t="str">
        <f>MID($B32,COLUMNS($B$13:AE$13),1)</f>
        <v/>
      </c>
      <c r="AG32" s="561" t="str">
        <f>MID($B32,COLUMNS($B$13:AF$13),1)</f>
        <v/>
      </c>
      <c r="AH32" s="561" t="str">
        <f>MID($B32,COLUMNS($B$13:AG$13),1)</f>
        <v/>
      </c>
      <c r="AI32" s="561" t="str">
        <f>MID($B32,COLUMNS($B$13:AH$13),1)</f>
        <v/>
      </c>
      <c r="AJ32" s="561" t="str">
        <f>MID($B32,COLUMNS($B$13:AI$13),1)</f>
        <v/>
      </c>
      <c r="AK32" s="561" t="str">
        <f>MID($B32,COLUMNS($B$13:AJ$13),1)</f>
        <v/>
      </c>
      <c r="AL32" s="561" t="str">
        <f>MID($B32,COLUMNS($B$13:AK$13),1)</f>
        <v/>
      </c>
      <c r="AM32" s="561"/>
      <c r="AN32" s="561"/>
      <c r="AO32" s="562"/>
      <c r="AP32" s="563"/>
      <c r="AQ32" s="564" t="s">
        <v>4</v>
      </c>
      <c r="AR32" s="566">
        <v>36</v>
      </c>
      <c r="AS32" s="576" t="s">
        <v>20</v>
      </c>
      <c r="BL32" s="566" t="s">
        <v>60</v>
      </c>
      <c r="BM32" s="566">
        <v>4</v>
      </c>
      <c r="BO32" s="566">
        <v>19</v>
      </c>
      <c r="BP32" s="570" t="s">
        <v>67</v>
      </c>
      <c r="BR32" s="566"/>
      <c r="BT32" s="562"/>
      <c r="BU32" s="562"/>
      <c r="BV32" s="562"/>
      <c r="BW32" s="561"/>
      <c r="BX32" s="562"/>
      <c r="BY32" s="562"/>
      <c r="BZ32" s="561"/>
      <c r="CA32" s="561"/>
      <c r="CB32" s="561"/>
      <c r="CC32" s="561"/>
      <c r="CD32" s="562"/>
      <c r="CE32" s="562"/>
      <c r="CF32" s="561"/>
      <c r="CG32" s="561"/>
    </row>
    <row r="33" spans="1:85" ht="15" thickBot="1">
      <c r="A33" s="560"/>
      <c r="B33" s="562"/>
      <c r="C33" s="561">
        <f t="shared" ref="C33:AL33" si="37">IFERROR(VLOOKUP(C32,$BL:$BM,2,0),0)</f>
        <v>0</v>
      </c>
      <c r="D33" s="561" t="str">
        <f t="shared" si="37"/>
        <v/>
      </c>
      <c r="E33" s="561" t="str">
        <f t="shared" si="37"/>
        <v/>
      </c>
      <c r="F33" s="561" t="str">
        <f t="shared" si="37"/>
        <v/>
      </c>
      <c r="G33" s="561" t="str">
        <f t="shared" si="37"/>
        <v/>
      </c>
      <c r="H33" s="561" t="str">
        <f t="shared" si="37"/>
        <v/>
      </c>
      <c r="I33" s="561" t="str">
        <f t="shared" si="37"/>
        <v/>
      </c>
      <c r="J33" s="561" t="str">
        <f t="shared" si="37"/>
        <v/>
      </c>
      <c r="K33" s="561" t="str">
        <f t="shared" si="37"/>
        <v/>
      </c>
      <c r="L33" s="561" t="str">
        <f t="shared" si="37"/>
        <v/>
      </c>
      <c r="M33" s="561" t="str">
        <f t="shared" si="37"/>
        <v/>
      </c>
      <c r="N33" s="561" t="str">
        <f t="shared" si="37"/>
        <v/>
      </c>
      <c r="O33" s="561" t="str">
        <f t="shared" si="37"/>
        <v/>
      </c>
      <c r="P33" s="561" t="str">
        <f t="shared" si="37"/>
        <v/>
      </c>
      <c r="Q33" s="561" t="str">
        <f t="shared" si="37"/>
        <v/>
      </c>
      <c r="R33" s="561" t="str">
        <f t="shared" si="37"/>
        <v/>
      </c>
      <c r="S33" s="561" t="str">
        <f t="shared" si="37"/>
        <v/>
      </c>
      <c r="T33" s="561" t="str">
        <f t="shared" si="37"/>
        <v/>
      </c>
      <c r="U33" s="561" t="str">
        <f t="shared" si="37"/>
        <v/>
      </c>
      <c r="V33" s="561" t="str">
        <f t="shared" si="37"/>
        <v/>
      </c>
      <c r="W33" s="561" t="str">
        <f t="shared" si="37"/>
        <v/>
      </c>
      <c r="X33" s="561" t="str">
        <f t="shared" si="37"/>
        <v/>
      </c>
      <c r="Y33" s="561" t="str">
        <f t="shared" si="37"/>
        <v/>
      </c>
      <c r="Z33" s="561" t="str">
        <f t="shared" si="37"/>
        <v/>
      </c>
      <c r="AA33" s="561" t="str">
        <f t="shared" si="37"/>
        <v/>
      </c>
      <c r="AB33" s="561" t="str">
        <f t="shared" si="37"/>
        <v/>
      </c>
      <c r="AC33" s="561" t="str">
        <f t="shared" si="37"/>
        <v/>
      </c>
      <c r="AD33" s="561" t="str">
        <f t="shared" si="37"/>
        <v/>
      </c>
      <c r="AE33" s="561" t="str">
        <f t="shared" si="37"/>
        <v/>
      </c>
      <c r="AF33" s="561" t="str">
        <f t="shared" si="37"/>
        <v/>
      </c>
      <c r="AG33" s="561" t="str">
        <f t="shared" si="37"/>
        <v/>
      </c>
      <c r="AH33" s="561" t="str">
        <f t="shared" si="37"/>
        <v/>
      </c>
      <c r="AI33" s="561" t="str">
        <f t="shared" si="37"/>
        <v/>
      </c>
      <c r="AJ33" s="561" t="str">
        <f t="shared" si="37"/>
        <v/>
      </c>
      <c r="AK33" s="561" t="str">
        <f t="shared" si="37"/>
        <v/>
      </c>
      <c r="AL33" s="561" t="str">
        <f t="shared" si="37"/>
        <v/>
      </c>
      <c r="AM33" s="561">
        <f>SUM(C33:AL33)</f>
        <v>0</v>
      </c>
      <c r="AN33" s="561">
        <f>IF(AM33&lt;10,AM33,((LEFT(AM33,1))+(RIGHT(AM33,1))))</f>
        <v>0</v>
      </c>
      <c r="AO33" s="562" t="s">
        <v>24</v>
      </c>
      <c r="AP33" s="563" t="e">
        <f>IF(AM33&gt;52,VLOOKUP(AN33,BO:BP,2,0),VLOOKUP(AM33,BO:BP,2,0))</f>
        <v>#N/A</v>
      </c>
      <c r="AQ33" s="564">
        <f>AT33</f>
        <v>0</v>
      </c>
      <c r="AR33" s="566">
        <v>37</v>
      </c>
      <c r="AS33" s="576" t="s">
        <v>20</v>
      </c>
      <c r="AT33" s="566">
        <f>(AU33*AU34)+(AV33*AV34)+(AW33*AW34)+(AX33*AX34)+(AY33*AY34)</f>
        <v>0</v>
      </c>
      <c r="AU33" s="569">
        <f>IFERROR((HLOOKUP(BB1,$C$32:$AL$33,2,0)),0)</f>
        <v>0</v>
      </c>
      <c r="AV33" s="569">
        <f t="shared" ref="AV33:AY33" si="38">IFERROR((HLOOKUP(BC1,$C$32:$AL$33,2,0)),0)</f>
        <v>0</v>
      </c>
      <c r="AW33" s="569">
        <f t="shared" si="38"/>
        <v>0</v>
      </c>
      <c r="AX33" s="569">
        <f t="shared" si="38"/>
        <v>0</v>
      </c>
      <c r="AY33" s="569">
        <f t="shared" si="38"/>
        <v>0</v>
      </c>
      <c r="BL33" s="566" t="s">
        <v>51</v>
      </c>
      <c r="BM33" s="566">
        <v>6</v>
      </c>
      <c r="BO33" s="566">
        <v>20</v>
      </c>
      <c r="BP33" s="576" t="s">
        <v>33</v>
      </c>
      <c r="BR33" s="566" t="s">
        <v>28</v>
      </c>
      <c r="BW33" s="751" t="s">
        <v>100</v>
      </c>
      <c r="BX33" s="752"/>
      <c r="BY33" s="753"/>
      <c r="CD33" s="562"/>
    </row>
    <row r="34" spans="1:85">
      <c r="A34" s="560" t="s">
        <v>30</v>
      </c>
      <c r="B34" s="561">
        <f>'Master Calculator'!B52</f>
        <v>0</v>
      </c>
      <c r="C34" s="561" t="str">
        <f>MID($B34,COLUMNS($B$15:B$15),1)</f>
        <v>0</v>
      </c>
      <c r="D34" s="561" t="str">
        <f>MID($B34,COLUMNS($B$15:C$15),1)</f>
        <v/>
      </c>
      <c r="E34" s="561" t="str">
        <f>MID($B34,COLUMNS($B$15:D$15),1)</f>
        <v/>
      </c>
      <c r="F34" s="561" t="str">
        <f>MID($B34,COLUMNS($B$15:E$15),1)</f>
        <v/>
      </c>
      <c r="G34" s="561" t="str">
        <f>MID($B34,COLUMNS($B$15:F$15),1)</f>
        <v/>
      </c>
      <c r="H34" s="561" t="str">
        <f>MID($B34,COLUMNS($B$15:G$15),1)</f>
        <v/>
      </c>
      <c r="I34" s="561" t="str">
        <f>MID($B34,COLUMNS($B$15:H$15),1)</f>
        <v/>
      </c>
      <c r="J34" s="561" t="str">
        <f>MID($B34,COLUMNS($B$15:I$15),1)</f>
        <v/>
      </c>
      <c r="K34" s="561" t="str">
        <f>MID($B34,COLUMNS($B$15:J$15),1)</f>
        <v/>
      </c>
      <c r="L34" s="561" t="str">
        <f>MID($B34,COLUMNS($B$15:K$15),1)</f>
        <v/>
      </c>
      <c r="M34" s="561" t="str">
        <f>MID($B34,COLUMNS($B$15:L$15),1)</f>
        <v/>
      </c>
      <c r="N34" s="561" t="str">
        <f>MID($B34,COLUMNS($B$15:M$15),1)</f>
        <v/>
      </c>
      <c r="O34" s="561" t="str">
        <f>MID($B34,COLUMNS($B$15:N$15),1)</f>
        <v/>
      </c>
      <c r="P34" s="561" t="str">
        <f>MID($B34,COLUMNS($B$15:O$15),1)</f>
        <v/>
      </c>
      <c r="Q34" s="561" t="str">
        <f>MID($B34,COLUMNS($B$15:P$15),1)</f>
        <v/>
      </c>
      <c r="R34" s="561" t="str">
        <f>MID($B34,COLUMNS($B$15:Q$15),1)</f>
        <v/>
      </c>
      <c r="S34" s="561" t="str">
        <f>MID($B34,COLUMNS($B$15:R$15),1)</f>
        <v/>
      </c>
      <c r="T34" s="561" t="str">
        <f>MID($B34,COLUMNS($B$15:S$15),1)</f>
        <v/>
      </c>
      <c r="U34" s="561" t="str">
        <f>MID($B34,COLUMNS($B$15:T$15),1)</f>
        <v/>
      </c>
      <c r="V34" s="561" t="str">
        <f>MID($B34,COLUMNS($B$15:U$15),1)</f>
        <v/>
      </c>
      <c r="W34" s="561" t="str">
        <f>MID($B34,COLUMNS($B$15:V$15),1)</f>
        <v/>
      </c>
      <c r="X34" s="561" t="str">
        <f>MID($B34,COLUMNS($B$15:W$15),1)</f>
        <v/>
      </c>
      <c r="Y34" s="561" t="str">
        <f>MID($B34,COLUMNS($B$15:X$15),1)</f>
        <v/>
      </c>
      <c r="Z34" s="561" t="str">
        <f>MID($B34,COLUMNS($B$15:Y$15),1)</f>
        <v/>
      </c>
      <c r="AA34" s="561" t="str">
        <f>MID($B34,COLUMNS($B$15:Z$15),1)</f>
        <v/>
      </c>
      <c r="AB34" s="561" t="str">
        <f>MID($B34,COLUMNS($B$15:AA$15),1)</f>
        <v/>
      </c>
      <c r="AC34" s="561" t="str">
        <f>MID($B34,COLUMNS($B$15:AB$15),1)</f>
        <v/>
      </c>
      <c r="AD34" s="561" t="str">
        <f>MID($B34,COLUMNS($B$15:AC$15),1)</f>
        <v/>
      </c>
      <c r="AE34" s="561" t="str">
        <f>MID($B34,COLUMNS($B$15:AD$15),1)</f>
        <v/>
      </c>
      <c r="AF34" s="561" t="str">
        <f>MID($B34,COLUMNS($B$15:AE$15),1)</f>
        <v/>
      </c>
      <c r="AG34" s="561" t="str">
        <f>MID($B34,COLUMNS($B$15:AF$15),1)</f>
        <v/>
      </c>
      <c r="AH34" s="561" t="str">
        <f>MID($B34,COLUMNS($B$15:AG$15),1)</f>
        <v/>
      </c>
      <c r="AI34" s="561" t="str">
        <f>MID($B34,COLUMNS($B$15:AH$15),1)</f>
        <v/>
      </c>
      <c r="AJ34" s="561" t="str">
        <f>MID($B34,COLUMNS($B$15:AI$15),1)</f>
        <v/>
      </c>
      <c r="AK34" s="561" t="str">
        <f>MID($B34,COLUMNS($B$15:AJ$15),1)</f>
        <v/>
      </c>
      <c r="AL34" s="561" t="str">
        <f>MID($B34,COLUMNS($B$15:AK$15),1)</f>
        <v/>
      </c>
      <c r="AM34" s="561"/>
      <c r="AN34" s="561"/>
      <c r="AO34" s="562"/>
      <c r="AP34" s="563"/>
      <c r="AR34" s="566">
        <v>38</v>
      </c>
      <c r="AS34" s="570" t="s">
        <v>64</v>
      </c>
      <c r="AT34" s="566"/>
      <c r="AU34" s="570">
        <f>COUNTIFS($C$32:$AL$32,BB1)</f>
        <v>0</v>
      </c>
      <c r="AV34" s="570">
        <f t="shared" ref="AV34:AY34" si="39">COUNTIFS($C$32:$AL$32,BC1)</f>
        <v>0</v>
      </c>
      <c r="AW34" s="570">
        <f t="shared" si="39"/>
        <v>0</v>
      </c>
      <c r="AX34" s="570">
        <f t="shared" si="39"/>
        <v>0</v>
      </c>
      <c r="AY34" s="570">
        <f t="shared" si="39"/>
        <v>0</v>
      </c>
      <c r="BL34" s="566" t="s">
        <v>56</v>
      </c>
      <c r="BM34" s="566">
        <v>6</v>
      </c>
      <c r="BO34" s="566">
        <v>21</v>
      </c>
      <c r="BP34" s="570" t="s">
        <v>67</v>
      </c>
      <c r="BR34" s="566"/>
      <c r="BT34" s="600" t="s">
        <v>191</v>
      </c>
      <c r="BU34" s="578"/>
      <c r="BV34" s="601"/>
      <c r="BW34" s="625" t="s">
        <v>12</v>
      </c>
      <c r="BX34" s="625" t="s">
        <v>13</v>
      </c>
      <c r="BY34" s="626"/>
      <c r="CD34" s="562"/>
    </row>
    <row r="35" spans="1:85">
      <c r="A35" s="560"/>
      <c r="B35" s="562"/>
      <c r="C35" s="561">
        <f t="shared" ref="C35:AL35" si="40">IFERROR(VLOOKUP(C34,$BL:$BM,2,0),0)</f>
        <v>0</v>
      </c>
      <c r="D35" s="561" t="str">
        <f t="shared" si="40"/>
        <v/>
      </c>
      <c r="E35" s="561" t="str">
        <f t="shared" si="40"/>
        <v/>
      </c>
      <c r="F35" s="561" t="str">
        <f t="shared" si="40"/>
        <v/>
      </c>
      <c r="G35" s="561" t="str">
        <f t="shared" si="40"/>
        <v/>
      </c>
      <c r="H35" s="561" t="str">
        <f t="shared" si="40"/>
        <v/>
      </c>
      <c r="I35" s="561" t="str">
        <f t="shared" si="40"/>
        <v/>
      </c>
      <c r="J35" s="561" t="str">
        <f t="shared" si="40"/>
        <v/>
      </c>
      <c r="K35" s="561" t="str">
        <f t="shared" si="40"/>
        <v/>
      </c>
      <c r="L35" s="561" t="str">
        <f t="shared" si="40"/>
        <v/>
      </c>
      <c r="M35" s="561" t="str">
        <f t="shared" si="40"/>
        <v/>
      </c>
      <c r="N35" s="561" t="str">
        <f t="shared" si="40"/>
        <v/>
      </c>
      <c r="O35" s="561" t="str">
        <f t="shared" si="40"/>
        <v/>
      </c>
      <c r="P35" s="561" t="str">
        <f t="shared" si="40"/>
        <v/>
      </c>
      <c r="Q35" s="561" t="str">
        <f t="shared" si="40"/>
        <v/>
      </c>
      <c r="R35" s="561" t="str">
        <f t="shared" si="40"/>
        <v/>
      </c>
      <c r="S35" s="561" t="str">
        <f t="shared" si="40"/>
        <v/>
      </c>
      <c r="T35" s="561" t="str">
        <f t="shared" si="40"/>
        <v/>
      </c>
      <c r="U35" s="561" t="str">
        <f t="shared" si="40"/>
        <v/>
      </c>
      <c r="V35" s="561" t="str">
        <f t="shared" si="40"/>
        <v/>
      </c>
      <c r="W35" s="561" t="str">
        <f t="shared" si="40"/>
        <v/>
      </c>
      <c r="X35" s="561" t="str">
        <f t="shared" si="40"/>
        <v/>
      </c>
      <c r="Y35" s="561" t="str">
        <f t="shared" si="40"/>
        <v/>
      </c>
      <c r="Z35" s="561" t="str">
        <f t="shared" si="40"/>
        <v/>
      </c>
      <c r="AA35" s="561" t="str">
        <f t="shared" si="40"/>
        <v/>
      </c>
      <c r="AB35" s="561" t="str">
        <f t="shared" si="40"/>
        <v/>
      </c>
      <c r="AC35" s="561" t="str">
        <f t="shared" si="40"/>
        <v/>
      </c>
      <c r="AD35" s="561" t="str">
        <f t="shared" si="40"/>
        <v/>
      </c>
      <c r="AE35" s="561" t="str">
        <f t="shared" si="40"/>
        <v/>
      </c>
      <c r="AF35" s="561" t="str">
        <f t="shared" si="40"/>
        <v/>
      </c>
      <c r="AG35" s="561" t="str">
        <f t="shared" si="40"/>
        <v/>
      </c>
      <c r="AH35" s="561" t="str">
        <f t="shared" si="40"/>
        <v/>
      </c>
      <c r="AI35" s="561" t="str">
        <f t="shared" si="40"/>
        <v/>
      </c>
      <c r="AJ35" s="561" t="str">
        <f t="shared" si="40"/>
        <v/>
      </c>
      <c r="AK35" s="561" t="str">
        <f t="shared" si="40"/>
        <v/>
      </c>
      <c r="AL35" s="561" t="str">
        <f t="shared" si="40"/>
        <v/>
      </c>
      <c r="AM35" s="561">
        <f>SUM(C35:AL35)</f>
        <v>0</v>
      </c>
      <c r="AN35" s="561">
        <f>IF(AM35&lt;10,AM35,((LEFT(AM35,1))+(RIGHT(AM35,1))))</f>
        <v>0</v>
      </c>
      <c r="AO35" s="562"/>
      <c r="AP35" s="563"/>
      <c r="AQ35" s="564">
        <f>AT36</f>
        <v>0</v>
      </c>
      <c r="AR35" s="566">
        <v>39</v>
      </c>
      <c r="AS35" s="570" t="s">
        <v>64</v>
      </c>
      <c r="AT35" s="566"/>
      <c r="AU35" s="570"/>
      <c r="AV35" s="570"/>
      <c r="AW35" s="570"/>
      <c r="AX35" s="570"/>
      <c r="AY35" s="570"/>
      <c r="BL35" s="566" t="s">
        <v>62</v>
      </c>
      <c r="BM35" s="566">
        <v>6</v>
      </c>
      <c r="BO35" s="566">
        <v>22</v>
      </c>
      <c r="BP35" s="570" t="s">
        <v>23</v>
      </c>
      <c r="BR35" s="566"/>
      <c r="BT35" s="580" t="s">
        <v>18</v>
      </c>
      <c r="BU35" s="561">
        <f>'Master Calculator'!K31</f>
        <v>0</v>
      </c>
      <c r="BV35" s="602">
        <f>'Master Calculator'!L31</f>
        <v>2</v>
      </c>
      <c r="BW35" s="571" t="str">
        <f>IF(AY10&lt;=35,"Active",0)</f>
        <v>Active</v>
      </c>
      <c r="BX35" s="625">
        <f>IF(AY10&gt;35,"Active",0)</f>
        <v>0</v>
      </c>
      <c r="BY35" s="581"/>
      <c r="CD35" s="562"/>
    </row>
    <row r="36" spans="1:85">
      <c r="A36" s="560" t="s">
        <v>37</v>
      </c>
      <c r="B36" s="561">
        <f>'Master Calculator'!B53</f>
        <v>0</v>
      </c>
      <c r="C36" s="561" t="str">
        <f>MID($B36,COLUMNS($B$15:B$15),1)</f>
        <v>0</v>
      </c>
      <c r="D36" s="561" t="str">
        <f>MID($B36,COLUMNS($B$15:C$15),1)</f>
        <v/>
      </c>
      <c r="E36" s="561" t="str">
        <f>MID($B36,COLUMNS($B$15:D$15),1)</f>
        <v/>
      </c>
      <c r="F36" s="561" t="str">
        <f>MID($B36,COLUMNS($B$15:E$15),1)</f>
        <v/>
      </c>
      <c r="G36" s="561" t="str">
        <f>MID($B36,COLUMNS($B$15:F$15),1)</f>
        <v/>
      </c>
      <c r="H36" s="561" t="str">
        <f>MID($B36,COLUMNS($B$15:G$15),1)</f>
        <v/>
      </c>
      <c r="I36" s="561" t="str">
        <f>MID($B36,COLUMNS($B$15:H$15),1)</f>
        <v/>
      </c>
      <c r="J36" s="561" t="str">
        <f>MID($B36,COLUMNS($B$15:I$15),1)</f>
        <v/>
      </c>
      <c r="K36" s="561" t="str">
        <f>MID($B36,COLUMNS($B$15:J$15),1)</f>
        <v/>
      </c>
      <c r="L36" s="561" t="str">
        <f>MID($B36,COLUMNS($B$15:K$15),1)</f>
        <v/>
      </c>
      <c r="M36" s="561" t="str">
        <f>MID($B36,COLUMNS($B$15:L$15),1)</f>
        <v/>
      </c>
      <c r="N36" s="561" t="str">
        <f>MID($B36,COLUMNS($B$15:M$15),1)</f>
        <v/>
      </c>
      <c r="O36" s="561" t="str">
        <f>MID($B36,COLUMNS($B$15:N$15),1)</f>
        <v/>
      </c>
      <c r="P36" s="561" t="str">
        <f>MID($B36,COLUMNS($B$15:O$15),1)</f>
        <v/>
      </c>
      <c r="Q36" s="561" t="str">
        <f>MID($B36,COLUMNS($B$15:P$15),1)</f>
        <v/>
      </c>
      <c r="R36" s="561" t="str">
        <f>MID($B36,COLUMNS($B$15:Q$15),1)</f>
        <v/>
      </c>
      <c r="S36" s="561" t="str">
        <f>MID($B36,COLUMNS($B$15:R$15),1)</f>
        <v/>
      </c>
      <c r="T36" s="561" t="str">
        <f>MID($B36,COLUMNS($B$15:S$15),1)</f>
        <v/>
      </c>
      <c r="U36" s="561" t="str">
        <f>MID($B36,COLUMNS($B$15:T$15),1)</f>
        <v/>
      </c>
      <c r="V36" s="561" t="str">
        <f>MID($B36,COLUMNS($B$15:U$15),1)</f>
        <v/>
      </c>
      <c r="W36" s="561" t="str">
        <f>MID($B36,COLUMNS($B$15:V$15),1)</f>
        <v/>
      </c>
      <c r="X36" s="561" t="str">
        <f>MID($B36,COLUMNS($B$15:W$15),1)</f>
        <v/>
      </c>
      <c r="Y36" s="561" t="str">
        <f>MID($B36,COLUMNS($B$15:X$15),1)</f>
        <v/>
      </c>
      <c r="Z36" s="561" t="str">
        <f>MID($B36,COLUMNS($B$15:Y$15),1)</f>
        <v/>
      </c>
      <c r="AA36" s="561" t="str">
        <f>MID($B36,COLUMNS($B$15:Z$15),1)</f>
        <v/>
      </c>
      <c r="AB36" s="561" t="str">
        <f>MID($B36,COLUMNS($B$15:AA$15),1)</f>
        <v/>
      </c>
      <c r="AC36" s="561" t="str">
        <f>MID($B36,COLUMNS($B$15:AB$15),1)</f>
        <v/>
      </c>
      <c r="AD36" s="561" t="str">
        <f>MID($B36,COLUMNS($B$15:AC$15),1)</f>
        <v/>
      </c>
      <c r="AE36" s="561" t="str">
        <f>MID($B36,COLUMNS($B$15:AD$15),1)</f>
        <v/>
      </c>
      <c r="AF36" s="561" t="str">
        <f>MID($B36,COLUMNS($B$15:AE$15),1)</f>
        <v/>
      </c>
      <c r="AG36" s="561" t="str">
        <f>MID($B36,COLUMNS($B$15:AF$15),1)</f>
        <v/>
      </c>
      <c r="AH36" s="561" t="str">
        <f>MID($B36,COLUMNS($B$15:AG$15),1)</f>
        <v/>
      </c>
      <c r="AI36" s="561" t="str">
        <f>MID($B36,COLUMNS($B$15:AH$15),1)</f>
        <v/>
      </c>
      <c r="AJ36" s="561" t="str">
        <f>MID($B36,COLUMNS($B$15:AI$15),1)</f>
        <v/>
      </c>
      <c r="AK36" s="561" t="str">
        <f>MID($B36,COLUMNS($B$15:AJ$15),1)</f>
        <v/>
      </c>
      <c r="AL36" s="561" t="str">
        <f>MID($B36,COLUMNS($B$15:AK$15),1)</f>
        <v/>
      </c>
      <c r="AM36" s="561"/>
      <c r="AN36" s="561"/>
      <c r="AO36" s="562"/>
      <c r="AP36" s="563"/>
      <c r="AR36" s="566">
        <v>41</v>
      </c>
      <c r="AS36" s="576" t="s">
        <v>20</v>
      </c>
      <c r="AT36" s="566">
        <f>(AU36*AU37)+(AV36*AV37)+(AW36*AW37)+(AX36*AX37)+(AY36*AY37)</f>
        <v>0</v>
      </c>
      <c r="AU36" s="569">
        <f>IFERROR((HLOOKUP(BB1,$C$34:$AL$35,2,0)),0)</f>
        <v>0</v>
      </c>
      <c r="AV36" s="569">
        <f t="shared" ref="AV36:AY36" si="41">IFERROR((HLOOKUP(BC1,$C$34:$AL$35,2,0)),0)</f>
        <v>0</v>
      </c>
      <c r="AW36" s="569">
        <f t="shared" si="41"/>
        <v>0</v>
      </c>
      <c r="AX36" s="569">
        <f t="shared" si="41"/>
        <v>0</v>
      </c>
      <c r="AY36" s="569">
        <f t="shared" si="41"/>
        <v>0</v>
      </c>
      <c r="BL36" s="566" t="s">
        <v>23</v>
      </c>
      <c r="BM36" s="566">
        <v>5</v>
      </c>
      <c r="BO36" s="566">
        <v>23</v>
      </c>
      <c r="BP36" s="570" t="s">
        <v>67</v>
      </c>
      <c r="BR36" s="564" t="s">
        <v>34</v>
      </c>
      <c r="BT36" s="580" t="s">
        <v>25</v>
      </c>
      <c r="BU36" s="561">
        <f>'Master Calculator'!K32</f>
        <v>0</v>
      </c>
      <c r="BV36" s="602">
        <f ca="1">'Master Calculator'!L32</f>
        <v>2</v>
      </c>
      <c r="BW36" s="561"/>
      <c r="BX36" s="561"/>
      <c r="BY36" s="581"/>
      <c r="CD36" s="562"/>
    </row>
    <row r="37" spans="1:85" ht="15" thickBot="1">
      <c r="A37" s="560"/>
      <c r="B37" s="562"/>
      <c r="C37" s="561">
        <f t="shared" ref="C37:AL37" si="42">IFERROR(VLOOKUP(C36,$BL:$BM,2,0),0)</f>
        <v>0</v>
      </c>
      <c r="D37" s="561" t="str">
        <f t="shared" si="42"/>
        <v/>
      </c>
      <c r="E37" s="561" t="str">
        <f t="shared" si="42"/>
        <v/>
      </c>
      <c r="F37" s="561" t="str">
        <f t="shared" si="42"/>
        <v/>
      </c>
      <c r="G37" s="561" t="str">
        <f t="shared" si="42"/>
        <v/>
      </c>
      <c r="H37" s="561" t="str">
        <f t="shared" si="42"/>
        <v/>
      </c>
      <c r="I37" s="561" t="str">
        <f t="shared" si="42"/>
        <v/>
      </c>
      <c r="J37" s="561" t="str">
        <f t="shared" si="42"/>
        <v/>
      </c>
      <c r="K37" s="561" t="str">
        <f t="shared" si="42"/>
        <v/>
      </c>
      <c r="L37" s="561" t="str">
        <f t="shared" si="42"/>
        <v/>
      </c>
      <c r="M37" s="561" t="str">
        <f t="shared" si="42"/>
        <v/>
      </c>
      <c r="N37" s="561" t="str">
        <f t="shared" si="42"/>
        <v/>
      </c>
      <c r="O37" s="561" t="str">
        <f t="shared" si="42"/>
        <v/>
      </c>
      <c r="P37" s="561" t="str">
        <f t="shared" si="42"/>
        <v/>
      </c>
      <c r="Q37" s="561" t="str">
        <f t="shared" si="42"/>
        <v/>
      </c>
      <c r="R37" s="561" t="str">
        <f t="shared" si="42"/>
        <v/>
      </c>
      <c r="S37" s="561" t="str">
        <f t="shared" si="42"/>
        <v/>
      </c>
      <c r="T37" s="561" t="str">
        <f t="shared" si="42"/>
        <v/>
      </c>
      <c r="U37" s="561" t="str">
        <f t="shared" si="42"/>
        <v/>
      </c>
      <c r="V37" s="561" t="str">
        <f t="shared" si="42"/>
        <v/>
      </c>
      <c r="W37" s="561" t="str">
        <f t="shared" si="42"/>
        <v/>
      </c>
      <c r="X37" s="561" t="str">
        <f t="shared" si="42"/>
        <v/>
      </c>
      <c r="Y37" s="561" t="str">
        <f t="shared" si="42"/>
        <v/>
      </c>
      <c r="Z37" s="561" t="str">
        <f t="shared" si="42"/>
        <v/>
      </c>
      <c r="AA37" s="561" t="str">
        <f t="shared" si="42"/>
        <v/>
      </c>
      <c r="AB37" s="561" t="str">
        <f t="shared" si="42"/>
        <v/>
      </c>
      <c r="AC37" s="561" t="str">
        <f t="shared" si="42"/>
        <v/>
      </c>
      <c r="AD37" s="561" t="str">
        <f t="shared" si="42"/>
        <v/>
      </c>
      <c r="AE37" s="561" t="str">
        <f t="shared" si="42"/>
        <v/>
      </c>
      <c r="AF37" s="561" t="str">
        <f t="shared" si="42"/>
        <v/>
      </c>
      <c r="AG37" s="561" t="str">
        <f t="shared" si="42"/>
        <v/>
      </c>
      <c r="AH37" s="561" t="str">
        <f t="shared" si="42"/>
        <v/>
      </c>
      <c r="AI37" s="561" t="str">
        <f t="shared" si="42"/>
        <v/>
      </c>
      <c r="AJ37" s="561" t="str">
        <f t="shared" si="42"/>
        <v/>
      </c>
      <c r="AK37" s="561" t="str">
        <f t="shared" si="42"/>
        <v/>
      </c>
      <c r="AL37" s="561" t="str">
        <f t="shared" si="42"/>
        <v/>
      </c>
      <c r="AM37" s="561">
        <f>SUM(C37:AL37)</f>
        <v>0</v>
      </c>
      <c r="AN37" s="561">
        <f>IF(AM37&lt;10,AM37,((LEFT(AM37,1))+(RIGHT(AM37,1))))</f>
        <v>0</v>
      </c>
      <c r="AO37" s="562"/>
      <c r="AP37" s="563"/>
      <c r="AR37" s="566">
        <v>42</v>
      </c>
      <c r="AS37" s="576" t="s">
        <v>20</v>
      </c>
      <c r="AT37" s="566"/>
      <c r="AU37" s="570">
        <f>COUNTIFS($C$34:$AL$34,BB1)</f>
        <v>0</v>
      </c>
      <c r="AV37" s="570">
        <f t="shared" ref="AV37:AY37" si="43">COUNTIFS($C$34:$AL$34,BC1)</f>
        <v>0</v>
      </c>
      <c r="AW37" s="570">
        <f t="shared" si="43"/>
        <v>0</v>
      </c>
      <c r="AX37" s="570">
        <f t="shared" si="43"/>
        <v>0</v>
      </c>
      <c r="AY37" s="570">
        <f t="shared" si="43"/>
        <v>0</v>
      </c>
      <c r="BL37" s="566" t="s">
        <v>48</v>
      </c>
      <c r="BM37" s="566">
        <v>1</v>
      </c>
      <c r="BO37" s="566">
        <v>24</v>
      </c>
      <c r="BP37" s="570" t="s">
        <v>67</v>
      </c>
      <c r="BT37" s="580" t="s">
        <v>24</v>
      </c>
      <c r="BU37" s="561">
        <f>'Master Calculator'!K33</f>
        <v>24</v>
      </c>
      <c r="BV37" s="625">
        <f>'Master Calculator'!L33</f>
        <v>6</v>
      </c>
      <c r="BW37" s="571" t="str">
        <f>INDEX(BB$14:BJ$22,MATCH(IF(LEN(BV$35)&gt;1,LEFT(BV$35,1)+RIGHT(BV$35,1),BV$35),BA$14:BA$22,0),MATCH(IF(LEN(BV37)&gt;1,LEFT(BV37,1)+RIGHT(BV37,1),BV37),BB$13:BJ$13,0))</f>
        <v>G</v>
      </c>
      <c r="BX37" s="571" t="str">
        <f>INDEX(BB$14:BJ$22,MATCH(IF(LEN(BV$35)&gt;1,LEFT(BV$35,1)+RIGHT(BV$35,1),BV$35),BA$14:BA$22,0),MATCH(IF(LEN(BV37)&gt;1,LEFT(BV37,1)+RIGHT(BV37,1),BV37),BB$13:BJ$13,0))</f>
        <v>G</v>
      </c>
      <c r="BY37" s="582"/>
      <c r="CD37" s="562"/>
    </row>
    <row r="38" spans="1:85">
      <c r="J38" s="573"/>
      <c r="K38" s="574"/>
      <c r="L38" s="573"/>
      <c r="M38" s="574"/>
      <c r="U38" s="574"/>
      <c r="AE38" s="574"/>
      <c r="AM38" s="562">
        <f>AM37+AM35+AM33</f>
        <v>0</v>
      </c>
      <c r="AN38" s="561">
        <f>AN33+AN35+AN37</f>
        <v>0</v>
      </c>
      <c r="AO38" s="562" t="s">
        <v>31</v>
      </c>
      <c r="AP38" s="563" t="e">
        <f>IF(AM38&gt;52,VLOOKUP(AN38,BO:BP,2,0),VLOOKUP(AM38,BO:BP,2,0))</f>
        <v>#N/A</v>
      </c>
      <c r="AQ38" s="564">
        <f>AT39</f>
        <v>0</v>
      </c>
      <c r="AR38" s="566">
        <v>43</v>
      </c>
      <c r="AS38" s="576" t="s">
        <v>20</v>
      </c>
      <c r="BL38" s="566" t="s">
        <v>57</v>
      </c>
      <c r="BM38" s="566">
        <v>7</v>
      </c>
      <c r="BO38" s="566">
        <v>25</v>
      </c>
      <c r="BP38" s="576" t="s">
        <v>33</v>
      </c>
      <c r="BT38" s="580" t="s">
        <v>31</v>
      </c>
      <c r="BU38" s="561">
        <f>'Master Calculator'!K34</f>
        <v>24</v>
      </c>
      <c r="BV38" s="625">
        <f>'Master Calculator'!L34</f>
        <v>6</v>
      </c>
      <c r="BW38" s="571" t="str">
        <f t="shared" ref="BW38:BW40" si="44">INDEX(BB$14:BJ$22,MATCH(IF(LEN(BV$35)&gt;1,LEFT(BV$35,1)+RIGHT(BV$35,1),BV$35),BA$14:BA$22,0),MATCH(IF(LEN(BV38)&gt;1,LEFT(BV38,1)+RIGHT(BV38,1),BV38),BB$13:BJ$13,0))</f>
        <v>G</v>
      </c>
      <c r="BX38" s="571" t="str">
        <f t="shared" ref="BX38:BX40" si="45">INDEX(BB$14:BJ$22,MATCH(IF(LEN(BV$35)&gt;1,LEFT(BV$35,1)+RIGHT(BV$35,1),BV$35),BA$14:BA$22,0),MATCH(IF(LEN(BV38)&gt;1,LEFT(BV38,1)+RIGHT(BV38,1),BV38),BB$13:BJ$13,0))</f>
        <v>G</v>
      </c>
      <c r="BY38" s="582"/>
      <c r="CD38" s="562"/>
    </row>
    <row r="39" spans="1:85" ht="15" thickBot="1">
      <c r="AQ39" s="564">
        <f>SUM(AQ33:AQ38)</f>
        <v>0</v>
      </c>
      <c r="AR39" s="566">
        <v>45</v>
      </c>
      <c r="AS39" s="570" t="s">
        <v>64</v>
      </c>
      <c r="AT39" s="566">
        <f>(AU39*AU40)+(AV39*AV40)+(AW39*AW40)+(AX39*AX40)+(AY39*AY40)</f>
        <v>0</v>
      </c>
      <c r="AU39" s="569">
        <f>IFERROR((HLOOKUP(BB1,$C$36:$AL$37,2,0)),0)</f>
        <v>0</v>
      </c>
      <c r="AV39" s="569">
        <f t="shared" ref="AV39:AY39" si="46">IFERROR((HLOOKUP(BC1,$C$36:$AL$37,2,0)),0)</f>
        <v>0</v>
      </c>
      <c r="AW39" s="569">
        <f t="shared" si="46"/>
        <v>0</v>
      </c>
      <c r="AX39" s="569">
        <f t="shared" si="46"/>
        <v>0</v>
      </c>
      <c r="AY39" s="569">
        <f t="shared" si="46"/>
        <v>0</v>
      </c>
      <c r="BL39" s="603" t="s">
        <v>173</v>
      </c>
      <c r="BM39" s="566">
        <v>1</v>
      </c>
      <c r="BO39" s="566">
        <v>26</v>
      </c>
      <c r="BP39" s="570" t="s">
        <v>23</v>
      </c>
      <c r="BR39" s="566" t="s">
        <v>44</v>
      </c>
      <c r="BT39" s="580" t="s">
        <v>32</v>
      </c>
      <c r="BU39" s="561">
        <f>'Master Calculator'!K35</f>
        <v>7</v>
      </c>
      <c r="BV39" s="625">
        <f>'Master Calculator'!L35</f>
        <v>7</v>
      </c>
      <c r="BW39" s="571" t="str">
        <f t="shared" si="44"/>
        <v>VG</v>
      </c>
      <c r="BX39" s="571" t="str">
        <f t="shared" si="45"/>
        <v>VG</v>
      </c>
      <c r="BY39" s="582"/>
    </row>
    <row r="40" spans="1:85" ht="15" thickBot="1">
      <c r="AR40" s="566">
        <v>46</v>
      </c>
      <c r="AS40" s="570" t="s">
        <v>64</v>
      </c>
      <c r="AT40" s="566"/>
      <c r="AU40" s="570">
        <f>COUNTIFS($C$36:$AL$36,BB1)</f>
        <v>0</v>
      </c>
      <c r="AV40" s="570">
        <f t="shared" ref="AV40:AY40" si="47">COUNTIFS($C$36:$AL$36,BC1)</f>
        <v>0</v>
      </c>
      <c r="AW40" s="570">
        <f t="shared" si="47"/>
        <v>0</v>
      </c>
      <c r="AX40" s="570">
        <f t="shared" si="47"/>
        <v>0</v>
      </c>
      <c r="AY40" s="570">
        <f t="shared" si="47"/>
        <v>0</v>
      </c>
      <c r="BL40" s="603" t="s">
        <v>174</v>
      </c>
      <c r="BM40" s="566">
        <v>2</v>
      </c>
      <c r="BO40" s="566">
        <v>27</v>
      </c>
      <c r="BP40" s="576" t="s">
        <v>33</v>
      </c>
      <c r="BR40" s="566"/>
      <c r="BT40" s="584" t="s">
        <v>35</v>
      </c>
      <c r="BU40" s="585">
        <f>'Master Calculator'!K36</f>
        <v>17</v>
      </c>
      <c r="BV40" s="625">
        <f>'Master Calculator'!L36</f>
        <v>8</v>
      </c>
      <c r="BW40" s="571" t="str">
        <f t="shared" si="44"/>
        <v>A</v>
      </c>
      <c r="BX40" s="571" t="str">
        <f t="shared" si="45"/>
        <v>A</v>
      </c>
      <c r="BY40" s="604"/>
      <c r="BZ40" s="754" t="s">
        <v>36</v>
      </c>
      <c r="CA40" s="755"/>
      <c r="CB40" s="755"/>
      <c r="CC40" s="755"/>
      <c r="CD40" s="755"/>
      <c r="CE40" s="755"/>
      <c r="CF40" s="755"/>
      <c r="CG40" s="756"/>
    </row>
    <row r="41" spans="1:85" ht="15" thickBot="1">
      <c r="AR41" s="566">
        <v>47</v>
      </c>
      <c r="AS41" s="570" t="s">
        <v>64</v>
      </c>
      <c r="BL41" s="605" t="s">
        <v>175</v>
      </c>
      <c r="BM41" s="561">
        <v>3</v>
      </c>
      <c r="BO41" s="566">
        <v>28</v>
      </c>
      <c r="BP41" s="570" t="s">
        <v>23</v>
      </c>
      <c r="BW41" s="624" t="s">
        <v>38</v>
      </c>
      <c r="BX41" s="606"/>
      <c r="BZ41" s="589" t="s">
        <v>24</v>
      </c>
      <c r="CA41" s="590" t="s">
        <v>112</v>
      </c>
      <c r="CB41" s="590" t="s">
        <v>39</v>
      </c>
      <c r="CC41" s="591" t="s">
        <v>40</v>
      </c>
      <c r="CD41" s="562" t="s">
        <v>61</v>
      </c>
      <c r="CE41" s="562" t="s">
        <v>27</v>
      </c>
      <c r="CF41" s="607" t="s">
        <v>136</v>
      </c>
      <c r="CG41" s="608" t="s">
        <v>137</v>
      </c>
    </row>
    <row r="42" spans="1:85">
      <c r="AR42" s="566">
        <v>50</v>
      </c>
      <c r="AS42" s="570" t="s">
        <v>64</v>
      </c>
      <c r="BL42" s="603" t="s">
        <v>176</v>
      </c>
      <c r="BM42" s="566">
        <v>4</v>
      </c>
      <c r="BO42" s="566">
        <v>29</v>
      </c>
      <c r="BP42" s="570" t="s">
        <v>23</v>
      </c>
      <c r="BT42" s="628" t="s">
        <v>42</v>
      </c>
      <c r="BU42" s="629">
        <f>AX36+AX40</f>
        <v>0</v>
      </c>
      <c r="BV42" s="630">
        <f>IF(LEN(BU42)&gt;1,LEFT(BU42,1)+RIGHT(BU42,1),BU42)</f>
        <v>0</v>
      </c>
      <c r="BW42" s="561">
        <v>1</v>
      </c>
      <c r="BX42" s="581">
        <f>COUNTIF(C$13:AL$13,BW42)+COUNTIF(C$15:AL$15,BW42)+COUNTIF(C$17:AL$17,BW42)</f>
        <v>2</v>
      </c>
      <c r="BZ42" s="571">
        <f>IFERROR(HLOOKUP(BW42,$C$13:$AL$13,1,0),0)</f>
        <v>1</v>
      </c>
      <c r="CA42" s="561">
        <f>IFERROR(HLOOKUP(BW42,$C$15:$AL$15,1,0),0)</f>
        <v>0</v>
      </c>
      <c r="CB42" s="561">
        <f>IFERROR(HLOOKUP(BW42,$C$17:$AL$17,1,0),0)</f>
        <v>0</v>
      </c>
      <c r="CC42" s="581">
        <f ca="1">IFERROR(VLOOKUP(BW42,$BV$35:$BV$40,1,0),0)</f>
        <v>0</v>
      </c>
      <c r="CD42" s="562">
        <f>IF(SUM(BZ42:CB42)&gt;=BW42,BW42,0)</f>
        <v>1</v>
      </c>
      <c r="CE42" s="562">
        <f ca="1">IF(CC42=BW42,BW42,0)</f>
        <v>0</v>
      </c>
      <c r="CF42" s="594">
        <f ca="1">IF(SUM(CD42:CE42)&lt;=0,BW42,0)</f>
        <v>0</v>
      </c>
      <c r="CG42" s="581">
        <f>IF(CD42=BW42,0,CE42)</f>
        <v>0</v>
      </c>
    </row>
    <row r="43" spans="1:85">
      <c r="AR43" s="566">
        <v>51</v>
      </c>
      <c r="AS43" s="570" t="s">
        <v>64</v>
      </c>
      <c r="BL43" s="603" t="s">
        <v>177</v>
      </c>
      <c r="BM43" s="566">
        <v>5</v>
      </c>
      <c r="BO43" s="566">
        <v>30</v>
      </c>
      <c r="BP43" s="570" t="s">
        <v>67</v>
      </c>
      <c r="BT43" s="624" t="s">
        <v>45</v>
      </c>
      <c r="BU43" s="625">
        <f ca="1">BV36+BV38</f>
        <v>8</v>
      </c>
      <c r="BV43" s="626">
        <f ca="1">IF(LEN(BU43)&gt;1,LEFT(BU43,1)+RIGHT(BU43,1),BU43)</f>
        <v>8</v>
      </c>
      <c r="BW43" s="561">
        <v>2</v>
      </c>
      <c r="BX43" s="581">
        <f t="shared" ref="BX43:BX49" si="48">COUNTIF(C$13:AL$13,BW43)+COUNTIF(C$15:AL$15,BW43)+COUNTIF(C$17:AL$17,BW43)</f>
        <v>1</v>
      </c>
      <c r="BZ43" s="571">
        <f t="shared" ref="BZ43:BZ50" si="49">IFERROR(HLOOKUP(BW43,$C$13:$AL$13,1,0),0)</f>
        <v>2</v>
      </c>
      <c r="CA43" s="561">
        <f t="shared" ref="CA43:CA50" si="50">IFERROR(HLOOKUP(BW43,$C$15:$AL$15,1,0),0)</f>
        <v>0</v>
      </c>
      <c r="CB43" s="561">
        <f t="shared" ref="CB43:CB50" si="51">IFERROR(HLOOKUP(BW43,$C$17:$AL$17,1,0),0)</f>
        <v>0</v>
      </c>
      <c r="CC43" s="581">
        <f t="shared" ref="CC43:CC50" si="52">IFERROR(VLOOKUP(BW43,$BV$35:$BV$40,1,0),0)</f>
        <v>2</v>
      </c>
      <c r="CD43" s="562">
        <f t="shared" ref="CD43:CD50" si="53">IF(SUM(BZ43:CB43)&gt;=BW43,BW43,0)</f>
        <v>2</v>
      </c>
      <c r="CE43" s="562">
        <f t="shared" ref="CE43:CE50" si="54">IF(CC43=BW43,BW43,0)</f>
        <v>2</v>
      </c>
      <c r="CF43" s="594">
        <f t="shared" ref="CF43:CF50" si="55">IF(SUM(CD43:CE43)&lt;=0,BW43,0)</f>
        <v>0</v>
      </c>
      <c r="CG43" s="581">
        <f t="shared" ref="CG43:CG50" si="56">IF(CD43=BW43,0,CE43)</f>
        <v>0</v>
      </c>
    </row>
    <row r="44" spans="1:85" ht="15" thickBot="1">
      <c r="AR44" s="566">
        <v>52</v>
      </c>
      <c r="AS44" s="570" t="s">
        <v>64</v>
      </c>
      <c r="BL44" s="603" t="s">
        <v>178</v>
      </c>
      <c r="BM44" s="566">
        <v>6</v>
      </c>
      <c r="BO44" s="566">
        <v>31</v>
      </c>
      <c r="BP44" s="570" t="s">
        <v>23</v>
      </c>
      <c r="BT44" s="595" t="s">
        <v>49</v>
      </c>
      <c r="BU44" s="596">
        <f>+AX5+BA5</f>
        <v>0</v>
      </c>
      <c r="BV44" s="609">
        <f>IF(LEN(BU44)&gt;1,LEFT(BU44,1)+RIGHT(BU44,1),BU44)</f>
        <v>0</v>
      </c>
      <c r="BW44" s="561">
        <v>3</v>
      </c>
      <c r="BX44" s="581">
        <f t="shared" si="48"/>
        <v>2</v>
      </c>
      <c r="BZ44" s="571">
        <f t="shared" si="49"/>
        <v>3</v>
      </c>
      <c r="CA44" s="561">
        <f t="shared" si="50"/>
        <v>0</v>
      </c>
      <c r="CB44" s="561">
        <f t="shared" si="51"/>
        <v>0</v>
      </c>
      <c r="CC44" s="581">
        <f t="shared" ca="1" si="52"/>
        <v>0</v>
      </c>
      <c r="CD44" s="562">
        <f t="shared" si="53"/>
        <v>3</v>
      </c>
      <c r="CE44" s="562">
        <f t="shared" ca="1" si="54"/>
        <v>0</v>
      </c>
      <c r="CF44" s="594">
        <f t="shared" ca="1" si="55"/>
        <v>0</v>
      </c>
      <c r="CG44" s="581">
        <f t="shared" si="56"/>
        <v>0</v>
      </c>
    </row>
    <row r="45" spans="1:85">
      <c r="AR45" s="564">
        <v>55</v>
      </c>
      <c r="BL45" s="603" t="s">
        <v>179</v>
      </c>
      <c r="BM45" s="566">
        <v>7</v>
      </c>
      <c r="BO45" s="566">
        <v>32</v>
      </c>
      <c r="BP45" s="576" t="s">
        <v>33</v>
      </c>
      <c r="BW45" s="571">
        <v>4</v>
      </c>
      <c r="BX45" s="581">
        <f t="shared" si="48"/>
        <v>1</v>
      </c>
      <c r="BZ45" s="571">
        <f t="shared" si="49"/>
        <v>4</v>
      </c>
      <c r="CA45" s="561">
        <f t="shared" si="50"/>
        <v>0</v>
      </c>
      <c r="CB45" s="561">
        <f t="shared" si="51"/>
        <v>0</v>
      </c>
      <c r="CC45" s="581">
        <f t="shared" ca="1" si="52"/>
        <v>0</v>
      </c>
      <c r="CD45" s="562">
        <f t="shared" si="53"/>
        <v>4</v>
      </c>
      <c r="CE45" s="562">
        <f t="shared" ca="1" si="54"/>
        <v>0</v>
      </c>
      <c r="CF45" s="594">
        <f t="shared" ca="1" si="55"/>
        <v>0</v>
      </c>
      <c r="CG45" s="581">
        <f t="shared" si="56"/>
        <v>0</v>
      </c>
    </row>
    <row r="46" spans="1:85">
      <c r="AR46" s="564">
        <v>57</v>
      </c>
      <c r="BL46" s="603" t="s">
        <v>180</v>
      </c>
      <c r="BM46" s="566">
        <v>8</v>
      </c>
      <c r="BO46" s="566">
        <v>33</v>
      </c>
      <c r="BP46" s="576" t="s">
        <v>33</v>
      </c>
      <c r="BW46" s="571">
        <v>5</v>
      </c>
      <c r="BX46" s="581">
        <f t="shared" si="48"/>
        <v>2</v>
      </c>
      <c r="BZ46" s="571">
        <f t="shared" si="49"/>
        <v>5</v>
      </c>
      <c r="CA46" s="561">
        <f t="shared" si="50"/>
        <v>0</v>
      </c>
      <c r="CB46" s="561">
        <f t="shared" si="51"/>
        <v>0</v>
      </c>
      <c r="CC46" s="581">
        <f t="shared" ca="1" si="52"/>
        <v>0</v>
      </c>
      <c r="CD46" s="562">
        <f t="shared" si="53"/>
        <v>5</v>
      </c>
      <c r="CE46" s="562">
        <f t="shared" ca="1" si="54"/>
        <v>0</v>
      </c>
      <c r="CF46" s="594">
        <f t="shared" ca="1" si="55"/>
        <v>0</v>
      </c>
      <c r="CG46" s="581">
        <f t="shared" si="56"/>
        <v>0</v>
      </c>
    </row>
    <row r="47" spans="1:85">
      <c r="AR47" s="564">
        <v>59</v>
      </c>
      <c r="BL47" s="603" t="s">
        <v>181</v>
      </c>
      <c r="BM47" s="566">
        <v>9</v>
      </c>
      <c r="BO47" s="566">
        <v>34</v>
      </c>
      <c r="BP47" s="570" t="s">
        <v>67</v>
      </c>
      <c r="BW47" s="571">
        <v>6</v>
      </c>
      <c r="BX47" s="581">
        <f t="shared" si="48"/>
        <v>0</v>
      </c>
      <c r="BZ47" s="571">
        <f t="shared" si="49"/>
        <v>0</v>
      </c>
      <c r="CA47" s="561">
        <f t="shared" si="50"/>
        <v>0</v>
      </c>
      <c r="CB47" s="561">
        <f t="shared" si="51"/>
        <v>0</v>
      </c>
      <c r="CC47" s="581">
        <f t="shared" ca="1" si="52"/>
        <v>6</v>
      </c>
      <c r="CD47" s="562">
        <f t="shared" si="53"/>
        <v>0</v>
      </c>
      <c r="CE47" s="562">
        <f t="shared" ca="1" si="54"/>
        <v>6</v>
      </c>
      <c r="CF47" s="594">
        <f t="shared" ca="1" si="55"/>
        <v>0</v>
      </c>
      <c r="CG47" s="581">
        <f t="shared" ca="1" si="56"/>
        <v>6</v>
      </c>
    </row>
    <row r="48" spans="1:85">
      <c r="AR48" s="564">
        <v>60</v>
      </c>
      <c r="BL48" s="603" t="s">
        <v>182</v>
      </c>
      <c r="BM48" s="566">
        <v>0</v>
      </c>
      <c r="BO48" s="566">
        <v>35</v>
      </c>
      <c r="BP48" s="570" t="s">
        <v>23</v>
      </c>
      <c r="BT48" s="610"/>
      <c r="BW48" s="571">
        <v>7</v>
      </c>
      <c r="BX48" s="581">
        <f t="shared" si="48"/>
        <v>0</v>
      </c>
      <c r="BZ48" s="571">
        <f t="shared" si="49"/>
        <v>0</v>
      </c>
      <c r="CA48" s="561">
        <f t="shared" si="50"/>
        <v>0</v>
      </c>
      <c r="CB48" s="561">
        <f t="shared" si="51"/>
        <v>0</v>
      </c>
      <c r="CC48" s="581">
        <f t="shared" ca="1" si="52"/>
        <v>7</v>
      </c>
      <c r="CD48" s="562">
        <f t="shared" si="53"/>
        <v>0</v>
      </c>
      <c r="CE48" s="562">
        <f t="shared" ca="1" si="54"/>
        <v>7</v>
      </c>
      <c r="CF48" s="594">
        <f t="shared" ca="1" si="55"/>
        <v>0</v>
      </c>
      <c r="CG48" s="581">
        <f t="shared" ca="1" si="56"/>
        <v>7</v>
      </c>
    </row>
    <row r="49" spans="44:85">
      <c r="AR49" s="564">
        <v>64</v>
      </c>
      <c r="BL49" s="564"/>
      <c r="BM49" s="564"/>
      <c r="BO49" s="566">
        <v>36</v>
      </c>
      <c r="BP49" s="576" t="s">
        <v>33</v>
      </c>
      <c r="BW49" s="571">
        <v>8</v>
      </c>
      <c r="BX49" s="581">
        <f t="shared" si="48"/>
        <v>0</v>
      </c>
      <c r="BZ49" s="571">
        <f t="shared" si="49"/>
        <v>0</v>
      </c>
      <c r="CA49" s="561">
        <f t="shared" si="50"/>
        <v>0</v>
      </c>
      <c r="CB49" s="561">
        <f t="shared" si="51"/>
        <v>0</v>
      </c>
      <c r="CC49" s="581">
        <f t="shared" ca="1" si="52"/>
        <v>8</v>
      </c>
      <c r="CD49" s="562">
        <f t="shared" si="53"/>
        <v>0</v>
      </c>
      <c r="CE49" s="562">
        <f t="shared" ca="1" si="54"/>
        <v>8</v>
      </c>
      <c r="CF49" s="594">
        <f t="shared" ca="1" si="55"/>
        <v>0</v>
      </c>
      <c r="CG49" s="581">
        <f t="shared" ca="1" si="56"/>
        <v>8</v>
      </c>
    </row>
    <row r="50" spans="44:85" ht="15" thickBot="1">
      <c r="AR50" s="564">
        <v>66</v>
      </c>
      <c r="BL50" s="564"/>
      <c r="BM50" s="564"/>
      <c r="BO50" s="566">
        <v>37</v>
      </c>
      <c r="BP50" s="576" t="s">
        <v>33</v>
      </c>
      <c r="BW50" s="571">
        <v>9</v>
      </c>
      <c r="BX50" s="581"/>
      <c r="BZ50" s="571">
        <f t="shared" si="49"/>
        <v>0</v>
      </c>
      <c r="CA50" s="561">
        <f t="shared" si="50"/>
        <v>0</v>
      </c>
      <c r="CB50" s="561">
        <f t="shared" si="51"/>
        <v>0</v>
      </c>
      <c r="CC50" s="581">
        <f t="shared" ca="1" si="52"/>
        <v>0</v>
      </c>
      <c r="CD50" s="611">
        <f t="shared" si="53"/>
        <v>0</v>
      </c>
      <c r="CE50" s="611">
        <f t="shared" ca="1" si="54"/>
        <v>0</v>
      </c>
      <c r="CF50" s="592">
        <f t="shared" ca="1" si="55"/>
        <v>9</v>
      </c>
      <c r="CG50" s="593">
        <f t="shared" ca="1" si="56"/>
        <v>0</v>
      </c>
    </row>
    <row r="51" spans="44:85" ht="15.5">
      <c r="AR51" s="564">
        <v>68</v>
      </c>
      <c r="BL51" s="564"/>
      <c r="BM51" s="564"/>
      <c r="BO51" s="566">
        <v>38</v>
      </c>
      <c r="BP51" s="570" t="s">
        <v>67</v>
      </c>
      <c r="BS51" s="562"/>
      <c r="BT51" s="761"/>
      <c r="BU51" s="761"/>
      <c r="BV51" s="761"/>
      <c r="BW51" s="761"/>
      <c r="BX51" s="562"/>
      <c r="BY51" s="562"/>
      <c r="BZ51" s="562"/>
    </row>
    <row r="52" spans="44:85">
      <c r="AR52" s="564">
        <v>69</v>
      </c>
      <c r="BO52" s="566">
        <v>39</v>
      </c>
      <c r="BP52" s="570" t="s">
        <v>67</v>
      </c>
      <c r="BS52" s="562"/>
      <c r="BT52" s="561"/>
      <c r="BU52" s="625"/>
      <c r="BV52" s="625"/>
      <c r="BW52" s="561"/>
      <c r="BX52" s="562"/>
      <c r="BY52" s="562"/>
      <c r="BZ52" s="562"/>
    </row>
    <row r="53" spans="44:85">
      <c r="AR53" s="564">
        <v>73</v>
      </c>
      <c r="BO53" s="566">
        <v>40</v>
      </c>
      <c r="BP53" s="570" t="s">
        <v>23</v>
      </c>
      <c r="BS53" s="562"/>
      <c r="BT53" s="562"/>
      <c r="BU53" s="562"/>
      <c r="BV53" s="562"/>
      <c r="BW53" s="561"/>
      <c r="BX53" s="562"/>
      <c r="BY53" s="562"/>
      <c r="BZ53" s="561"/>
      <c r="CA53" s="561"/>
      <c r="CB53" s="561"/>
      <c r="CC53" s="561"/>
      <c r="CD53" s="562"/>
      <c r="CE53" s="562"/>
      <c r="CF53" s="561"/>
      <c r="CG53" s="561"/>
    </row>
    <row r="54" spans="44:85" ht="15" thickBot="1">
      <c r="AR54" s="564">
        <v>75</v>
      </c>
      <c r="BO54" s="566">
        <v>41</v>
      </c>
      <c r="BP54" s="576" t="s">
        <v>33</v>
      </c>
      <c r="BS54" s="562"/>
      <c r="BW54" s="751" t="s">
        <v>100</v>
      </c>
      <c r="BX54" s="752"/>
      <c r="BY54" s="753"/>
      <c r="CD54" s="562"/>
    </row>
    <row r="55" spans="44:85">
      <c r="AR55" s="564">
        <v>77</v>
      </c>
      <c r="BO55" s="566">
        <v>42</v>
      </c>
      <c r="BP55" s="576" t="s">
        <v>33</v>
      </c>
      <c r="BS55" s="562"/>
      <c r="BT55" s="600" t="s">
        <v>192</v>
      </c>
      <c r="BU55" s="578"/>
      <c r="BV55" s="601"/>
      <c r="BW55" s="625" t="s">
        <v>12</v>
      </c>
      <c r="BX55" s="625" t="s">
        <v>13</v>
      </c>
      <c r="BY55" s="626"/>
      <c r="CD55" s="562"/>
    </row>
    <row r="56" spans="44:85">
      <c r="AR56" s="564">
        <v>78</v>
      </c>
      <c r="BO56" s="566">
        <v>43</v>
      </c>
      <c r="BP56" s="576" t="s">
        <v>33</v>
      </c>
      <c r="BS56" s="562"/>
      <c r="BT56" s="580" t="s">
        <v>18</v>
      </c>
      <c r="BU56" s="561">
        <f>'Master Calculator'!K41</f>
        <v>0</v>
      </c>
      <c r="BV56" s="602">
        <f>'Master Calculator'!L41</f>
        <v>2</v>
      </c>
      <c r="BW56" s="571" t="str">
        <f>IF(AY31&lt;=35,"Active",0)</f>
        <v>Active</v>
      </c>
      <c r="BX56" s="625">
        <f>IF(AY31&gt;35,"Active",0)</f>
        <v>0</v>
      </c>
      <c r="BY56" s="581"/>
      <c r="CD56" s="562"/>
    </row>
    <row r="57" spans="44:85">
      <c r="AR57" s="564">
        <v>82</v>
      </c>
      <c r="BO57" s="566">
        <v>44</v>
      </c>
      <c r="BP57" s="570" t="s">
        <v>23</v>
      </c>
      <c r="BS57" s="562"/>
      <c r="BT57" s="580" t="s">
        <v>25</v>
      </c>
      <c r="BU57" s="561">
        <f>'Master Calculator'!K42</f>
        <v>0</v>
      </c>
      <c r="BV57" s="602">
        <f ca="1">'Master Calculator'!L42</f>
        <v>2</v>
      </c>
      <c r="BW57" s="561"/>
      <c r="BX57" s="561"/>
      <c r="BY57" s="581"/>
      <c r="CD57" s="562"/>
    </row>
    <row r="58" spans="44:85">
      <c r="AR58" s="564">
        <v>84</v>
      </c>
      <c r="BO58" s="566">
        <v>45</v>
      </c>
      <c r="BP58" s="570" t="s">
        <v>67</v>
      </c>
      <c r="BS58" s="562"/>
      <c r="BT58" s="580" t="s">
        <v>24</v>
      </c>
      <c r="BU58" s="561">
        <f>'Master Calculator'!K43</f>
        <v>23</v>
      </c>
      <c r="BV58" s="625">
        <f>'Master Calculator'!L43</f>
        <v>5</v>
      </c>
      <c r="BW58" s="571" t="str">
        <f>INDEX(BB$14:BJ$22,MATCH(IF(LEN(BV$35)&gt;1,LEFT(BV$35,1)+RIGHT(BV$35,1),BV$35),BA$14:BA$22,0),MATCH(IF(LEN(BV58)&gt;1,LEFT(BV58,1)+RIGHT(BV58,1),BV58),BB$13:BJ$13,0))</f>
        <v>F</v>
      </c>
      <c r="BX58" s="571" t="str">
        <f>INDEX(BB$14:BJ$22,MATCH(IF(LEN(BV$35)&gt;1,LEFT(BV$35,1)+RIGHT(BV$35,1),BV$35),BA$14:BA$22,0),MATCH(IF(LEN(BV58)&gt;1,LEFT(BV58,1)+RIGHT(BV58,1),BV58),BB$13:BJ$13,0))</f>
        <v>F</v>
      </c>
      <c r="BY58" s="582"/>
      <c r="CD58" s="562"/>
    </row>
    <row r="59" spans="44:85">
      <c r="AR59" s="564">
        <v>86</v>
      </c>
      <c r="BO59" s="566">
        <v>46</v>
      </c>
      <c r="BP59" s="570" t="s">
        <v>67</v>
      </c>
      <c r="BS59" s="562"/>
      <c r="BT59" s="580" t="s">
        <v>31</v>
      </c>
      <c r="BU59" s="561">
        <f>'Master Calculator'!K44</f>
        <v>33</v>
      </c>
      <c r="BV59" s="625">
        <f>'Master Calculator'!L44</f>
        <v>6</v>
      </c>
      <c r="BW59" s="571" t="str">
        <f t="shared" ref="BW59:BW61" si="57">INDEX(BB$14:BJ$22,MATCH(IF(LEN(BV$35)&gt;1,LEFT(BV$35,1)+RIGHT(BV$35,1),BV$35),BA$14:BA$22,0),MATCH(IF(LEN(BV59)&gt;1,LEFT(BV59,1)+RIGHT(BV59,1),BV59),BB$13:BJ$13,0))</f>
        <v>G</v>
      </c>
      <c r="BX59" s="571" t="str">
        <f t="shared" ref="BX59:BX61" si="58">INDEX(BB$14:BJ$22,MATCH(IF(LEN(BV$35)&gt;1,LEFT(BV$35,1)+RIGHT(BV$35,1),BV$35),BA$14:BA$22,0),MATCH(IF(LEN(BV59)&gt;1,LEFT(BV59,1)+RIGHT(BV59,1),BV59),BB$13:BJ$13,0))</f>
        <v>G</v>
      </c>
      <c r="BY59" s="582"/>
      <c r="CD59" s="562"/>
    </row>
    <row r="60" spans="44:85" ht="15" thickBot="1">
      <c r="AR60" s="564">
        <v>87</v>
      </c>
      <c r="BO60" s="566">
        <v>47</v>
      </c>
      <c r="BP60" s="570" t="s">
        <v>67</v>
      </c>
      <c r="BS60" s="562"/>
      <c r="BT60" s="580" t="s">
        <v>32</v>
      </c>
      <c r="BU60" s="561">
        <f>'Master Calculator'!K45</f>
        <v>8</v>
      </c>
      <c r="BV60" s="625">
        <f>'Master Calculator'!L45</f>
        <v>8</v>
      </c>
      <c r="BW60" s="571" t="str">
        <f t="shared" si="57"/>
        <v>A</v>
      </c>
      <c r="BX60" s="571" t="str">
        <f t="shared" si="58"/>
        <v>A</v>
      </c>
      <c r="BY60" s="582"/>
    </row>
    <row r="61" spans="44:85" ht="15" thickBot="1">
      <c r="AR61" s="564">
        <v>91</v>
      </c>
      <c r="BO61" s="566">
        <v>48</v>
      </c>
      <c r="BP61" s="570" t="s">
        <v>23</v>
      </c>
      <c r="BS61" s="562"/>
      <c r="BT61" s="584" t="s">
        <v>35</v>
      </c>
      <c r="BU61" s="585">
        <f>'Master Calculator'!K46</f>
        <v>25</v>
      </c>
      <c r="BV61" s="625">
        <f>'Master Calculator'!L46</f>
        <v>7</v>
      </c>
      <c r="BW61" s="571" t="str">
        <f t="shared" si="57"/>
        <v>VG</v>
      </c>
      <c r="BX61" s="571" t="str">
        <f t="shared" si="58"/>
        <v>VG</v>
      </c>
      <c r="BY61" s="604"/>
      <c r="BZ61" s="754" t="s">
        <v>36</v>
      </c>
      <c r="CA61" s="755"/>
      <c r="CB61" s="755"/>
      <c r="CC61" s="755"/>
      <c r="CD61" s="755"/>
      <c r="CE61" s="755"/>
      <c r="CF61" s="755"/>
      <c r="CG61" s="756"/>
    </row>
    <row r="62" spans="44:85" ht="15" thickBot="1">
      <c r="AR62" s="564">
        <v>93</v>
      </c>
      <c r="BO62" s="566">
        <v>49</v>
      </c>
      <c r="BP62" s="570" t="s">
        <v>23</v>
      </c>
      <c r="BW62" s="624" t="s">
        <v>38</v>
      </c>
      <c r="BX62" s="606"/>
      <c r="BZ62" s="589" t="s">
        <v>24</v>
      </c>
      <c r="CA62" s="590" t="s">
        <v>112</v>
      </c>
      <c r="CB62" s="590" t="s">
        <v>39</v>
      </c>
      <c r="CC62" s="591" t="s">
        <v>40</v>
      </c>
      <c r="CD62" s="562" t="s">
        <v>61</v>
      </c>
      <c r="CE62" s="562" t="s">
        <v>27</v>
      </c>
      <c r="CF62" s="607" t="s">
        <v>136</v>
      </c>
      <c r="CG62" s="608" t="s">
        <v>137</v>
      </c>
    </row>
    <row r="63" spans="44:85">
      <c r="AR63" s="564">
        <v>96</v>
      </c>
      <c r="BO63" s="566">
        <v>50</v>
      </c>
      <c r="BP63" s="570" t="s">
        <v>67</v>
      </c>
      <c r="BT63" s="628" t="s">
        <v>42</v>
      </c>
      <c r="BU63" s="629">
        <f>AX57+AX61</f>
        <v>0</v>
      </c>
      <c r="BV63" s="630">
        <f>IF(LEN(BU63)&gt;1,LEFT(BU63,1)+RIGHT(BU63,1),BU63)</f>
        <v>0</v>
      </c>
      <c r="BW63" s="561">
        <v>1</v>
      </c>
      <c r="BX63" s="581">
        <f>COUNTIF(C$23:AL$23,BW63)+COUNTIF(C$25:AL$25,BW63)+COUNTIF(C$27:AL$27,BW63)</f>
        <v>5</v>
      </c>
      <c r="BZ63" s="571">
        <f>IFERROR(HLOOKUP(BW63,$C$23:$AL$23,1,0),0)</f>
        <v>1</v>
      </c>
      <c r="CA63" s="561">
        <f>IFERROR(HLOOKUP(BW63,$C$25:$AL$25,1,0),0)</f>
        <v>1</v>
      </c>
      <c r="CB63" s="561">
        <f>IFERROR(HLOOKUP(BW63,$C$27:$AL$27,1,0),0)</f>
        <v>0</v>
      </c>
      <c r="CC63" s="581">
        <f ca="1">IFERROR(VLOOKUP(BW63,$BV$56:$BV$61,1,0),0)</f>
        <v>0</v>
      </c>
      <c r="CD63" s="562">
        <f>IF(SUM(BZ63:CB63)&gt;=BW63,BW63,0)</f>
        <v>1</v>
      </c>
      <c r="CE63" s="562">
        <f ca="1">IF(CC63=BW63,BW63,0)</f>
        <v>0</v>
      </c>
      <c r="CF63" s="594">
        <f ca="1">IF(SUM(CD63:CE63)&lt;=0,BW63,0)</f>
        <v>0</v>
      </c>
      <c r="CG63" s="581">
        <f>IF(CD63=BW63,0,CE63)</f>
        <v>0</v>
      </c>
    </row>
    <row r="64" spans="44:85">
      <c r="AR64" s="564">
        <v>100</v>
      </c>
      <c r="BO64" s="566">
        <v>51</v>
      </c>
      <c r="BP64" s="570" t="s">
        <v>67</v>
      </c>
      <c r="BT64" s="624" t="s">
        <v>45</v>
      </c>
      <c r="BU64" s="625">
        <f ca="1">BV57+BV59</f>
        <v>8</v>
      </c>
      <c r="BV64" s="626">
        <f ca="1">IF(LEN(BU64)&gt;1,LEFT(BU64,1)+RIGHT(BU64,1),BU64)</f>
        <v>8</v>
      </c>
      <c r="BW64" s="561">
        <v>2</v>
      </c>
      <c r="BX64" s="581">
        <f t="shared" ref="BX64:BX71" si="59">COUNTIF(C$23:AL$23,BW64)+COUNTIF(C$25:AL$25,BW64)+COUNTIF(C$27:AL$27,BW64)</f>
        <v>1</v>
      </c>
      <c r="BZ64" s="571">
        <f t="shared" ref="BZ64:BZ71" si="60">IFERROR(HLOOKUP(BW64,$C$23:$AL$23,1,0),0)</f>
        <v>2</v>
      </c>
      <c r="CA64" s="561">
        <f t="shared" ref="CA64:CA71" si="61">IFERROR(HLOOKUP(BW64,$C$25:$AL$25,1,0),0)</f>
        <v>0</v>
      </c>
      <c r="CB64" s="561">
        <f t="shared" ref="CB64:CB71" si="62">IFERROR(HLOOKUP(BW64,$C$27:$AL$27,1,0),0)</f>
        <v>0</v>
      </c>
      <c r="CC64" s="581">
        <f t="shared" ref="CC64:CC71" si="63">IFERROR(VLOOKUP(BW64,$BV$56:$BV$61,1,0),0)</f>
        <v>2</v>
      </c>
      <c r="CD64" s="562">
        <f t="shared" ref="CD64:CD71" si="64">IF(SUM(BZ64:CB64)&gt;=BW64,BW64,0)</f>
        <v>2</v>
      </c>
      <c r="CE64" s="562">
        <f t="shared" ref="CE64:CE71" si="65">IF(CC64=BW64,BW64,0)</f>
        <v>2</v>
      </c>
      <c r="CF64" s="594">
        <f t="shared" ref="CF64:CF71" si="66">IF(SUM(CD64:CE64)&lt;=0,BW64,0)</f>
        <v>0</v>
      </c>
      <c r="CG64" s="581">
        <f t="shared" ref="CG64:CG71" si="67">IF(CD64=BW64,0,CE64)</f>
        <v>0</v>
      </c>
    </row>
    <row r="65" spans="40:85" ht="15" thickBot="1">
      <c r="BO65" s="566">
        <v>52</v>
      </c>
      <c r="BP65" s="570" t="s">
        <v>67</v>
      </c>
      <c r="BT65" s="595" t="s">
        <v>49</v>
      </c>
      <c r="BU65" s="596">
        <f>+AX26+BA26</f>
        <v>0</v>
      </c>
      <c r="BV65" s="609">
        <f>IF(LEN(BU65)&gt;1,LEFT(BU65,1)+RIGHT(BU65,1),BU65)</f>
        <v>0</v>
      </c>
      <c r="BW65" s="561">
        <v>3</v>
      </c>
      <c r="BX65" s="581">
        <f t="shared" si="59"/>
        <v>2</v>
      </c>
      <c r="BZ65" s="571">
        <f t="shared" si="60"/>
        <v>3</v>
      </c>
      <c r="CA65" s="561">
        <f t="shared" si="61"/>
        <v>0</v>
      </c>
      <c r="CB65" s="561">
        <f t="shared" si="62"/>
        <v>0</v>
      </c>
      <c r="CC65" s="581">
        <f t="shared" ca="1" si="63"/>
        <v>0</v>
      </c>
      <c r="CD65" s="562">
        <f t="shared" si="64"/>
        <v>3</v>
      </c>
      <c r="CE65" s="562">
        <f t="shared" ca="1" si="65"/>
        <v>0</v>
      </c>
      <c r="CF65" s="594">
        <f t="shared" ca="1" si="66"/>
        <v>0</v>
      </c>
      <c r="CG65" s="581">
        <f t="shared" si="67"/>
        <v>0</v>
      </c>
    </row>
    <row r="66" spans="40:85">
      <c r="BW66" s="571">
        <v>4</v>
      </c>
      <c r="BX66" s="581">
        <f t="shared" si="59"/>
        <v>1</v>
      </c>
      <c r="BZ66" s="571">
        <f t="shared" si="60"/>
        <v>4</v>
      </c>
      <c r="CA66" s="561">
        <f t="shared" si="61"/>
        <v>0</v>
      </c>
      <c r="CB66" s="561">
        <f t="shared" si="62"/>
        <v>0</v>
      </c>
      <c r="CC66" s="581">
        <f t="shared" ca="1" si="63"/>
        <v>0</v>
      </c>
      <c r="CD66" s="562">
        <f t="shared" si="64"/>
        <v>4</v>
      </c>
      <c r="CE66" s="562">
        <f t="shared" ca="1" si="65"/>
        <v>0</v>
      </c>
      <c r="CF66" s="594">
        <f t="shared" ca="1" si="66"/>
        <v>0</v>
      </c>
      <c r="CG66" s="581">
        <f t="shared" si="67"/>
        <v>0</v>
      </c>
    </row>
    <row r="67" spans="40:85">
      <c r="BO67" s="564" t="s">
        <v>89</v>
      </c>
      <c r="BP67" s="567" t="s">
        <v>16</v>
      </c>
      <c r="BW67" s="571">
        <v>5</v>
      </c>
      <c r="BX67" s="581">
        <f t="shared" si="59"/>
        <v>2</v>
      </c>
      <c r="BZ67" s="571">
        <f t="shared" si="60"/>
        <v>5</v>
      </c>
      <c r="CA67" s="561">
        <f t="shared" si="61"/>
        <v>0</v>
      </c>
      <c r="CB67" s="561">
        <f t="shared" si="62"/>
        <v>0</v>
      </c>
      <c r="CC67" s="581">
        <f t="shared" ca="1" si="63"/>
        <v>5</v>
      </c>
      <c r="CD67" s="562">
        <f t="shared" si="64"/>
        <v>5</v>
      </c>
      <c r="CE67" s="562">
        <f t="shared" ca="1" si="65"/>
        <v>5</v>
      </c>
      <c r="CF67" s="594">
        <f t="shared" ca="1" si="66"/>
        <v>0</v>
      </c>
      <c r="CG67" s="581">
        <f t="shared" si="67"/>
        <v>0</v>
      </c>
    </row>
    <row r="68" spans="40:85">
      <c r="BO68" s="564">
        <v>1</v>
      </c>
      <c r="BP68" s="570" t="s">
        <v>67</v>
      </c>
      <c r="BW68" s="571">
        <v>6</v>
      </c>
      <c r="BX68" s="581">
        <f t="shared" si="59"/>
        <v>1</v>
      </c>
      <c r="BZ68" s="571">
        <f t="shared" si="60"/>
        <v>0</v>
      </c>
      <c r="CA68" s="561">
        <f t="shared" si="61"/>
        <v>6</v>
      </c>
      <c r="CB68" s="561">
        <f t="shared" si="62"/>
        <v>0</v>
      </c>
      <c r="CC68" s="581">
        <f t="shared" ca="1" si="63"/>
        <v>6</v>
      </c>
      <c r="CD68" s="562">
        <f t="shared" si="64"/>
        <v>6</v>
      </c>
      <c r="CE68" s="562">
        <f t="shared" ca="1" si="65"/>
        <v>6</v>
      </c>
      <c r="CF68" s="594">
        <f t="shared" ca="1" si="66"/>
        <v>0</v>
      </c>
      <c r="CG68" s="581">
        <f t="shared" si="67"/>
        <v>0</v>
      </c>
    </row>
    <row r="69" spans="40:85">
      <c r="BO69" s="564">
        <v>3</v>
      </c>
      <c r="BP69" s="570" t="s">
        <v>67</v>
      </c>
      <c r="BT69" s="610"/>
      <c r="BW69" s="571">
        <v>7</v>
      </c>
      <c r="BX69" s="581">
        <f t="shared" si="59"/>
        <v>0</v>
      </c>
      <c r="BZ69" s="571">
        <f t="shared" si="60"/>
        <v>0</v>
      </c>
      <c r="CA69" s="561">
        <f t="shared" si="61"/>
        <v>0</v>
      </c>
      <c r="CB69" s="561">
        <f t="shared" si="62"/>
        <v>0</v>
      </c>
      <c r="CC69" s="581">
        <f t="shared" ca="1" si="63"/>
        <v>7</v>
      </c>
      <c r="CD69" s="562">
        <f t="shared" si="64"/>
        <v>0</v>
      </c>
      <c r="CE69" s="562">
        <f t="shared" ca="1" si="65"/>
        <v>7</v>
      </c>
      <c r="CF69" s="594">
        <f t="shared" ca="1" si="66"/>
        <v>0</v>
      </c>
      <c r="CG69" s="581">
        <f t="shared" ca="1" si="67"/>
        <v>7</v>
      </c>
    </row>
    <row r="70" spans="40:85">
      <c r="BO70" s="564">
        <v>5</v>
      </c>
      <c r="BP70" s="570" t="s">
        <v>67</v>
      </c>
      <c r="BW70" s="571">
        <v>8</v>
      </c>
      <c r="BX70" s="581">
        <f t="shared" si="59"/>
        <v>0</v>
      </c>
      <c r="BZ70" s="571">
        <f t="shared" si="60"/>
        <v>0</v>
      </c>
      <c r="CA70" s="561">
        <f t="shared" si="61"/>
        <v>0</v>
      </c>
      <c r="CB70" s="561">
        <f t="shared" si="62"/>
        <v>0</v>
      </c>
      <c r="CC70" s="581">
        <f t="shared" ca="1" si="63"/>
        <v>8</v>
      </c>
      <c r="CD70" s="562">
        <f t="shared" si="64"/>
        <v>0</v>
      </c>
      <c r="CE70" s="562">
        <f t="shared" ca="1" si="65"/>
        <v>8</v>
      </c>
      <c r="CF70" s="594">
        <f t="shared" ca="1" si="66"/>
        <v>0</v>
      </c>
      <c r="CG70" s="581">
        <f t="shared" ca="1" si="67"/>
        <v>8</v>
      </c>
    </row>
    <row r="71" spans="40:85" ht="15" thickBot="1">
      <c r="BO71" s="564">
        <v>6</v>
      </c>
      <c r="BP71" s="570" t="s">
        <v>67</v>
      </c>
      <c r="BW71" s="571">
        <v>9</v>
      </c>
      <c r="BX71" s="581">
        <f t="shared" si="59"/>
        <v>0</v>
      </c>
      <c r="BZ71" s="571">
        <f t="shared" si="60"/>
        <v>0</v>
      </c>
      <c r="CA71" s="561">
        <f t="shared" si="61"/>
        <v>0</v>
      </c>
      <c r="CB71" s="561">
        <f t="shared" si="62"/>
        <v>0</v>
      </c>
      <c r="CC71" s="581">
        <f t="shared" ca="1" si="63"/>
        <v>0</v>
      </c>
      <c r="CD71" s="611">
        <f t="shared" si="64"/>
        <v>0</v>
      </c>
      <c r="CE71" s="611">
        <f t="shared" ca="1" si="65"/>
        <v>0</v>
      </c>
      <c r="CF71" s="592">
        <f t="shared" ca="1" si="66"/>
        <v>9</v>
      </c>
      <c r="CG71" s="593">
        <f t="shared" ca="1" si="67"/>
        <v>0</v>
      </c>
    </row>
    <row r="72" spans="40:85">
      <c r="BO72" s="564">
        <v>2</v>
      </c>
      <c r="BP72" s="576" t="s">
        <v>33</v>
      </c>
    </row>
    <row r="73" spans="40:85">
      <c r="BO73" s="564">
        <v>7</v>
      </c>
      <c r="BP73" s="576" t="s">
        <v>33</v>
      </c>
      <c r="BQ73" s="564" t="s">
        <v>18</v>
      </c>
    </row>
    <row r="74" spans="40:85" ht="15" thickBot="1">
      <c r="BO74" s="564">
        <v>4</v>
      </c>
      <c r="BP74" s="570" t="s">
        <v>23</v>
      </c>
      <c r="BQ74" s="564" t="s">
        <v>25</v>
      </c>
      <c r="BW74" s="751" t="s">
        <v>100</v>
      </c>
      <c r="BX74" s="752"/>
      <c r="BY74" s="753"/>
      <c r="CD74" s="562"/>
    </row>
    <row r="75" spans="40:85">
      <c r="BO75" s="564">
        <v>8</v>
      </c>
      <c r="BP75" s="570" t="s">
        <v>23</v>
      </c>
      <c r="BT75" s="600" t="s">
        <v>193</v>
      </c>
      <c r="BU75" s="578"/>
      <c r="BV75" s="601"/>
      <c r="BW75" s="625" t="s">
        <v>12</v>
      </c>
      <c r="BX75" s="625" t="s">
        <v>13</v>
      </c>
      <c r="BY75" s="626"/>
      <c r="CD75" s="562"/>
    </row>
    <row r="76" spans="40:85">
      <c r="BO76" s="564">
        <v>9</v>
      </c>
      <c r="BP76" s="576" t="s">
        <v>33</v>
      </c>
      <c r="BT76" s="580" t="s">
        <v>18</v>
      </c>
      <c r="BU76" s="561">
        <f>'Master Calculator'!K52</f>
        <v>0</v>
      </c>
      <c r="BV76" s="602">
        <f>'Master Calculator'!L52</f>
        <v>2</v>
      </c>
      <c r="BW76" s="571" t="str">
        <f>IF(AY51&lt;=35,"Active",0)</f>
        <v>Active</v>
      </c>
      <c r="BX76" s="625">
        <f>IF(AY51&gt;35,"Active",0)</f>
        <v>0</v>
      </c>
      <c r="BY76" s="581"/>
      <c r="CD76" s="562"/>
    </row>
    <row r="77" spans="40:85">
      <c r="BP77" s="570"/>
      <c r="BT77" s="580" t="s">
        <v>25</v>
      </c>
      <c r="BU77" s="561">
        <f>'Master Calculator'!K53</f>
        <v>0</v>
      </c>
      <c r="BV77" s="602">
        <f ca="1">'Master Calculator'!L53</f>
        <v>2</v>
      </c>
      <c r="BW77" s="561"/>
      <c r="BX77" s="561"/>
      <c r="BY77" s="581"/>
      <c r="CD77" s="562"/>
    </row>
    <row r="78" spans="40:85">
      <c r="BP78" s="570"/>
      <c r="BT78" s="580" t="s">
        <v>24</v>
      </c>
      <c r="BU78" s="561">
        <f>'Master Calculator'!K54</f>
        <v>0</v>
      </c>
      <c r="BV78" s="625">
        <f>'Master Calculator'!L54</f>
        <v>9</v>
      </c>
      <c r="BW78" s="571" t="str">
        <f>INDEX(BB$14:BJ$22,MATCH(IF(LEN(BV$35)&gt;1,LEFT(BV$35,1)+RIGHT(BV$35,1),BV$35),BA$14:BA$22,0),MATCH(IF(LEN(BV78)&gt;1,LEFT(BV78,1)+RIGHT(BV78,1),BV78),BB$13:BJ$13,0))</f>
        <v>A</v>
      </c>
      <c r="BX78" s="571" t="str">
        <f>INDEX(BB$14:BJ$22,MATCH(IF(LEN(BV$35)&gt;1,LEFT(BV$35,1)+RIGHT(BV$35,1),BV$35),BA$14:BA$22,0),MATCH(IF(LEN(BV78)&gt;1,LEFT(BV78,1)+RIGHT(BV78,1),BV78),BB$13:BJ$13,0))</f>
        <v>A</v>
      </c>
      <c r="BY78" s="582"/>
      <c r="CD78" s="562"/>
    </row>
    <row r="79" spans="40:85">
      <c r="AN79" s="561"/>
      <c r="AO79" s="561"/>
      <c r="AP79" s="561"/>
      <c r="AQ79" s="561"/>
      <c r="AR79" s="570"/>
      <c r="AS79" s="566"/>
      <c r="BP79" s="576"/>
      <c r="BT79" s="580" t="s">
        <v>31</v>
      </c>
      <c r="BU79" s="561">
        <f>'Master Calculator'!K55</f>
        <v>0</v>
      </c>
      <c r="BV79" s="625">
        <f>'Master Calculator'!L55</f>
        <v>9</v>
      </c>
      <c r="BW79" s="571" t="str">
        <f t="shared" ref="BW79:BW81" si="68">INDEX(BB$14:BJ$22,MATCH(IF(LEN(BV$35)&gt;1,LEFT(BV$35,1)+RIGHT(BV$35,1),BV$35),BA$14:BA$22,0),MATCH(IF(LEN(BV79)&gt;1,LEFT(BV79,1)+RIGHT(BV79,1),BV79),BB$13:BJ$13,0))</f>
        <v>A</v>
      </c>
      <c r="BX79" s="571" t="str">
        <f t="shared" ref="BX79:BX81" si="69">INDEX(BB$14:BJ$22,MATCH(IF(LEN(BV$35)&gt;1,LEFT(BV$35,1)+RIGHT(BV$35,1),BV$35),BA$14:BA$22,0),MATCH(IF(LEN(BV79)&gt;1,LEFT(BV79,1)+RIGHT(BV79,1),BV79),BB$13:BJ$13,0))</f>
        <v>A</v>
      </c>
      <c r="BY79" s="582"/>
      <c r="CD79" s="562"/>
    </row>
    <row r="80" spans="40:85" ht="15" thickBot="1">
      <c r="AN80" s="566"/>
      <c r="AO80" s="566"/>
      <c r="AP80" s="566"/>
      <c r="AQ80" s="566"/>
      <c r="BT80" s="580" t="s">
        <v>32</v>
      </c>
      <c r="BU80" s="561">
        <f>'Master Calculator'!K56</f>
        <v>0</v>
      </c>
      <c r="BV80" s="625">
        <f>'Master Calculator'!L56</f>
        <v>9</v>
      </c>
      <c r="BW80" s="571" t="str">
        <f t="shared" si="68"/>
        <v>A</v>
      </c>
      <c r="BX80" s="571" t="str">
        <f t="shared" si="69"/>
        <v>A</v>
      </c>
      <c r="BY80" s="582"/>
    </row>
    <row r="81" spans="72:85" ht="15" thickBot="1">
      <c r="BT81" s="584" t="s">
        <v>35</v>
      </c>
      <c r="BU81" s="585">
        <f>'Master Calculator'!K57</f>
        <v>0</v>
      </c>
      <c r="BV81" s="625">
        <f>'Master Calculator'!L57</f>
        <v>9</v>
      </c>
      <c r="BW81" s="571" t="str">
        <f t="shared" si="68"/>
        <v>A</v>
      </c>
      <c r="BX81" s="571" t="str">
        <f t="shared" si="69"/>
        <v>A</v>
      </c>
      <c r="BY81" s="604"/>
      <c r="BZ81" s="754" t="s">
        <v>36</v>
      </c>
      <c r="CA81" s="755"/>
      <c r="CB81" s="755"/>
      <c r="CC81" s="755"/>
      <c r="CD81" s="755"/>
      <c r="CE81" s="755"/>
      <c r="CF81" s="755"/>
      <c r="CG81" s="756"/>
    </row>
    <row r="82" spans="72:85" ht="15" thickBot="1">
      <c r="BW82" s="624" t="s">
        <v>38</v>
      </c>
      <c r="BX82" s="606"/>
      <c r="BZ82" s="589" t="s">
        <v>24</v>
      </c>
      <c r="CA82" s="590" t="s">
        <v>112</v>
      </c>
      <c r="CB82" s="590" t="s">
        <v>39</v>
      </c>
      <c r="CC82" s="591" t="s">
        <v>40</v>
      </c>
      <c r="CD82" s="562" t="s">
        <v>61</v>
      </c>
      <c r="CE82" s="562" t="s">
        <v>27</v>
      </c>
      <c r="CF82" s="607" t="s">
        <v>136</v>
      </c>
      <c r="CG82" s="608" t="s">
        <v>137</v>
      </c>
    </row>
    <row r="83" spans="72:85">
      <c r="BT83" s="628" t="s">
        <v>42</v>
      </c>
      <c r="BU83" s="629">
        <f>AX77+AX81</f>
        <v>0</v>
      </c>
      <c r="BV83" s="630">
        <f>IF(LEN(BU83)&gt;1,LEFT(BU83,1)+RIGHT(BU83,1),BU83)</f>
        <v>0</v>
      </c>
      <c r="BW83" s="561">
        <v>1</v>
      </c>
      <c r="BX83" s="581">
        <f>COUNTIF(C$33:AL$33,BW83)+COUNTIF(C$35:AL$35,BW83)+COUNTIF(C$37:AL$37,BW83)</f>
        <v>0</v>
      </c>
      <c r="BZ83" s="571">
        <f>IFERROR(HLOOKUP(BW83,$C$33:$AL$33,1,0),0)</f>
        <v>0</v>
      </c>
      <c r="CA83" s="561">
        <f>IFERROR(HLOOKUP(BW83,$C$35:$AL$35,1,0),0)</f>
        <v>0</v>
      </c>
      <c r="CB83" s="561">
        <f>IFERROR(HLOOKUP(BW83,$C$37:$AL$37,1,0),0)</f>
        <v>0</v>
      </c>
      <c r="CC83" s="581">
        <f ca="1">IFERROR(VLOOKUP(BW83,$BV$76:$BV$81,1,0),0)</f>
        <v>0</v>
      </c>
      <c r="CD83" s="562">
        <f>IF(SUM(BZ83:CB83)&gt;=BW83,BW83,0)</f>
        <v>0</v>
      </c>
      <c r="CE83" s="562">
        <f ca="1">IF(CC83=BW83,BW83,0)</f>
        <v>0</v>
      </c>
      <c r="CF83" s="594">
        <f ca="1">IF(SUM(CD83:CE83)&lt;=0,BW83,0)</f>
        <v>1</v>
      </c>
      <c r="CG83" s="581">
        <f ca="1">IF(CD83=BW83,0,CE83)</f>
        <v>0</v>
      </c>
    </row>
    <row r="84" spans="72:85">
      <c r="BT84" s="624" t="s">
        <v>45</v>
      </c>
      <c r="BU84" s="625">
        <f ca="1">BV77+BV79</f>
        <v>11</v>
      </c>
      <c r="BV84" s="626">
        <f ca="1">IF(LEN(BU84)&gt;1,LEFT(BU84,1)+RIGHT(BU84,1),BU84)</f>
        <v>2</v>
      </c>
      <c r="BW84" s="561">
        <v>2</v>
      </c>
      <c r="BX84" s="581">
        <f t="shared" ref="BX84:BX91" si="70">COUNTIF(C$33:AL$33,BW84)+COUNTIF(C$35:AL$35,BW84)+COUNTIF(C$37:AL$37,BW84)</f>
        <v>0</v>
      </c>
      <c r="BZ84" s="571">
        <f t="shared" ref="BZ84:BZ91" si="71">IFERROR(HLOOKUP(BW84,$C$33:$AL$33,1,0),0)</f>
        <v>0</v>
      </c>
      <c r="CA84" s="561">
        <f t="shared" ref="CA84:CA91" si="72">IFERROR(HLOOKUP(BW84,$C$35:$AL$35,1,0),0)</f>
        <v>0</v>
      </c>
      <c r="CB84" s="561">
        <f t="shared" ref="CB84:CB91" si="73">IFERROR(HLOOKUP(BW84,$C$37:$AL$37,1,0),0)</f>
        <v>0</v>
      </c>
      <c r="CC84" s="581">
        <f t="shared" ref="CC84:CC91" si="74">IFERROR(VLOOKUP(BW84,$BV$76:$BV$81,1,0),0)</f>
        <v>2</v>
      </c>
      <c r="CD84" s="562">
        <f t="shared" ref="CD84:CD91" si="75">IF(SUM(BZ84:CB84)&gt;=BW84,BW84,0)</f>
        <v>0</v>
      </c>
      <c r="CE84" s="562">
        <f t="shared" ref="CE84:CE91" si="76">IF(CC84=BW84,BW84,0)</f>
        <v>2</v>
      </c>
      <c r="CF84" s="594">
        <f t="shared" ref="CF84:CF91" si="77">IF(SUM(CD84:CE84)&lt;=0,BW84,0)</f>
        <v>0</v>
      </c>
      <c r="CG84" s="581">
        <f t="shared" ref="CG84:CG91" si="78">IF(CD84=BW84,0,CE84)</f>
        <v>2</v>
      </c>
    </row>
    <row r="85" spans="72:85" ht="15" thickBot="1">
      <c r="BT85" s="595" t="s">
        <v>49</v>
      </c>
      <c r="BU85" s="596">
        <f>+AX46+BA46</f>
        <v>0</v>
      </c>
      <c r="BV85" s="609">
        <f>IF(LEN(BU85)&gt;1,LEFT(BU85,1)+RIGHT(BU85,1),BU85)</f>
        <v>0</v>
      </c>
      <c r="BW85" s="561">
        <v>3</v>
      </c>
      <c r="BX85" s="581">
        <f t="shared" si="70"/>
        <v>0</v>
      </c>
      <c r="BZ85" s="571">
        <f t="shared" si="71"/>
        <v>0</v>
      </c>
      <c r="CA85" s="561">
        <f t="shared" si="72"/>
        <v>0</v>
      </c>
      <c r="CB85" s="561">
        <f t="shared" si="73"/>
        <v>0</v>
      </c>
      <c r="CC85" s="581">
        <f t="shared" ca="1" si="74"/>
        <v>0</v>
      </c>
      <c r="CD85" s="562">
        <f t="shared" si="75"/>
        <v>0</v>
      </c>
      <c r="CE85" s="562">
        <f t="shared" ca="1" si="76"/>
        <v>0</v>
      </c>
      <c r="CF85" s="594">
        <f t="shared" ca="1" si="77"/>
        <v>3</v>
      </c>
      <c r="CG85" s="581">
        <f t="shared" ca="1" si="78"/>
        <v>0</v>
      </c>
    </row>
    <row r="86" spans="72:85">
      <c r="BW86" s="571">
        <v>4</v>
      </c>
      <c r="BX86" s="581">
        <f t="shared" si="70"/>
        <v>0</v>
      </c>
      <c r="BZ86" s="571">
        <f t="shared" si="71"/>
        <v>0</v>
      </c>
      <c r="CA86" s="561">
        <f t="shared" si="72"/>
        <v>0</v>
      </c>
      <c r="CB86" s="561">
        <f t="shared" si="73"/>
        <v>0</v>
      </c>
      <c r="CC86" s="581">
        <f t="shared" ca="1" si="74"/>
        <v>0</v>
      </c>
      <c r="CD86" s="562">
        <f t="shared" si="75"/>
        <v>0</v>
      </c>
      <c r="CE86" s="562">
        <f t="shared" ca="1" si="76"/>
        <v>0</v>
      </c>
      <c r="CF86" s="594">
        <f t="shared" ca="1" si="77"/>
        <v>4</v>
      </c>
      <c r="CG86" s="581">
        <f t="shared" ca="1" si="78"/>
        <v>0</v>
      </c>
    </row>
    <row r="87" spans="72:85">
      <c r="BW87" s="571">
        <v>5</v>
      </c>
      <c r="BX87" s="581">
        <f t="shared" si="70"/>
        <v>0</v>
      </c>
      <c r="BZ87" s="571">
        <f t="shared" si="71"/>
        <v>0</v>
      </c>
      <c r="CA87" s="561">
        <f t="shared" si="72"/>
        <v>0</v>
      </c>
      <c r="CB87" s="561">
        <f t="shared" si="73"/>
        <v>0</v>
      </c>
      <c r="CC87" s="581">
        <f t="shared" ca="1" si="74"/>
        <v>0</v>
      </c>
      <c r="CD87" s="562">
        <f t="shared" si="75"/>
        <v>0</v>
      </c>
      <c r="CE87" s="562">
        <f t="shared" ca="1" si="76"/>
        <v>0</v>
      </c>
      <c r="CF87" s="594">
        <f t="shared" ca="1" si="77"/>
        <v>5</v>
      </c>
      <c r="CG87" s="581">
        <f t="shared" ca="1" si="78"/>
        <v>0</v>
      </c>
    </row>
    <row r="88" spans="72:85">
      <c r="BW88" s="571">
        <v>6</v>
      </c>
      <c r="BX88" s="581">
        <f t="shared" si="70"/>
        <v>0</v>
      </c>
      <c r="BZ88" s="571">
        <f t="shared" si="71"/>
        <v>0</v>
      </c>
      <c r="CA88" s="561">
        <f t="shared" si="72"/>
        <v>0</v>
      </c>
      <c r="CB88" s="561">
        <f t="shared" si="73"/>
        <v>0</v>
      </c>
      <c r="CC88" s="581">
        <f t="shared" ca="1" si="74"/>
        <v>0</v>
      </c>
      <c r="CD88" s="562">
        <f t="shared" si="75"/>
        <v>0</v>
      </c>
      <c r="CE88" s="562">
        <f t="shared" ca="1" si="76"/>
        <v>0</v>
      </c>
      <c r="CF88" s="594">
        <f t="shared" ca="1" si="77"/>
        <v>6</v>
      </c>
      <c r="CG88" s="581">
        <f t="shared" ca="1" si="78"/>
        <v>0</v>
      </c>
    </row>
    <row r="89" spans="72:85">
      <c r="BT89" s="610"/>
      <c r="BW89" s="571">
        <v>7</v>
      </c>
      <c r="BX89" s="581">
        <f t="shared" si="70"/>
        <v>0</v>
      </c>
      <c r="BZ89" s="571">
        <f t="shared" si="71"/>
        <v>0</v>
      </c>
      <c r="CA89" s="561">
        <f t="shared" si="72"/>
        <v>0</v>
      </c>
      <c r="CB89" s="561">
        <f t="shared" si="73"/>
        <v>0</v>
      </c>
      <c r="CC89" s="581">
        <f t="shared" ca="1" si="74"/>
        <v>0</v>
      </c>
      <c r="CD89" s="562">
        <f t="shared" si="75"/>
        <v>0</v>
      </c>
      <c r="CE89" s="562">
        <f t="shared" ca="1" si="76"/>
        <v>0</v>
      </c>
      <c r="CF89" s="594">
        <f t="shared" ca="1" si="77"/>
        <v>7</v>
      </c>
      <c r="CG89" s="581">
        <f t="shared" ca="1" si="78"/>
        <v>0</v>
      </c>
    </row>
    <row r="90" spans="72:85">
      <c r="BW90" s="571">
        <v>8</v>
      </c>
      <c r="BX90" s="581">
        <f t="shared" si="70"/>
        <v>0</v>
      </c>
      <c r="BZ90" s="571">
        <f t="shared" si="71"/>
        <v>0</v>
      </c>
      <c r="CA90" s="561">
        <f t="shared" si="72"/>
        <v>0</v>
      </c>
      <c r="CB90" s="561">
        <f t="shared" si="73"/>
        <v>0</v>
      </c>
      <c r="CC90" s="581">
        <f t="shared" ca="1" si="74"/>
        <v>0</v>
      </c>
      <c r="CD90" s="562">
        <f t="shared" si="75"/>
        <v>0</v>
      </c>
      <c r="CE90" s="562">
        <f t="shared" ca="1" si="76"/>
        <v>0</v>
      </c>
      <c r="CF90" s="594">
        <f t="shared" ca="1" si="77"/>
        <v>8</v>
      </c>
      <c r="CG90" s="581">
        <f t="shared" ca="1" si="78"/>
        <v>0</v>
      </c>
    </row>
    <row r="91" spans="72:85" ht="15" thickBot="1">
      <c r="BW91" s="571">
        <v>9</v>
      </c>
      <c r="BX91" s="581">
        <f t="shared" si="70"/>
        <v>0</v>
      </c>
      <c r="BZ91" s="571">
        <f t="shared" si="71"/>
        <v>0</v>
      </c>
      <c r="CA91" s="561">
        <f t="shared" si="72"/>
        <v>0</v>
      </c>
      <c r="CB91" s="561">
        <f t="shared" si="73"/>
        <v>0</v>
      </c>
      <c r="CC91" s="581">
        <f t="shared" ca="1" si="74"/>
        <v>9</v>
      </c>
      <c r="CD91" s="611">
        <f t="shared" si="75"/>
        <v>0</v>
      </c>
      <c r="CE91" s="611">
        <f t="shared" ca="1" si="76"/>
        <v>9</v>
      </c>
      <c r="CF91" s="592">
        <f t="shared" ca="1" si="77"/>
        <v>0</v>
      </c>
      <c r="CG91" s="593">
        <f t="shared" ca="1" si="78"/>
        <v>9</v>
      </c>
    </row>
    <row r="92" spans="72:85">
      <c r="BX92" s="570"/>
      <c r="BY92" s="566"/>
    </row>
    <row r="97" spans="1:74">
      <c r="A97" s="560" t="s">
        <v>17</v>
      </c>
      <c r="B97" s="561" t="str">
        <f>'Mobile-Vehicle-House-Bank-CoNam'!B23</f>
        <v>Avaa Enterprises Limited</v>
      </c>
      <c r="C97" s="561" t="str">
        <f>MID($B97,COLUMNS($B$13:B$13),1)</f>
        <v>A</v>
      </c>
      <c r="D97" s="561" t="str">
        <f>MID($B97,COLUMNS($B$13:C$13),1)</f>
        <v>v</v>
      </c>
      <c r="E97" s="561" t="str">
        <f>MID($B97,COLUMNS($B$13:D$13),1)</f>
        <v>a</v>
      </c>
      <c r="F97" s="561" t="str">
        <f>MID($B97,COLUMNS($B$13:E$13),1)</f>
        <v>a</v>
      </c>
      <c r="G97" s="561" t="str">
        <f>MID($B97,COLUMNS($B$13:F$13),1)</f>
        <v xml:space="preserve"> </v>
      </c>
      <c r="H97" s="561" t="str">
        <f>MID($B97,COLUMNS($B$13:G$13),1)</f>
        <v>E</v>
      </c>
      <c r="I97" s="561" t="str">
        <f>MID($B97,COLUMNS($B$13:H$13),1)</f>
        <v>n</v>
      </c>
      <c r="J97" s="561" t="str">
        <f>MID($B97,COLUMNS($B$13:I$13),1)</f>
        <v>t</v>
      </c>
      <c r="K97" s="561" t="str">
        <f>MID($B97,COLUMNS($B$13:J$13),1)</f>
        <v>e</v>
      </c>
      <c r="L97" s="561" t="str">
        <f>MID($B97,COLUMNS($B$13:K$13),1)</f>
        <v>r</v>
      </c>
      <c r="M97" s="561" t="str">
        <f>MID($B97,COLUMNS($B$13:L$13),1)</f>
        <v>p</v>
      </c>
      <c r="N97" s="561" t="str">
        <f>MID($B97,COLUMNS($B$13:M$13),1)</f>
        <v>r</v>
      </c>
      <c r="O97" s="561" t="str">
        <f>MID($B97,COLUMNS($B$13:N$13),1)</f>
        <v>i</v>
      </c>
      <c r="P97" s="561" t="str">
        <f>MID($B97,COLUMNS($B$13:O$13),1)</f>
        <v>s</v>
      </c>
      <c r="Q97" s="561" t="str">
        <f>MID($B97,COLUMNS($B$13:P$13),1)</f>
        <v>e</v>
      </c>
      <c r="R97" s="561" t="str">
        <f>MID($B97,COLUMNS($B$13:Q$13),1)</f>
        <v>s</v>
      </c>
      <c r="S97" s="561" t="str">
        <f>MID($B97,COLUMNS($B$13:R$13),1)</f>
        <v xml:space="preserve"> </v>
      </c>
      <c r="T97" s="561" t="str">
        <f>MID($B97,COLUMNS($B$13:S$13),1)</f>
        <v>L</v>
      </c>
      <c r="U97" s="561" t="str">
        <f>MID($B97,COLUMNS($B$13:T$13),1)</f>
        <v>i</v>
      </c>
      <c r="V97" s="561" t="str">
        <f>MID($B97,COLUMNS($B$13:U$13),1)</f>
        <v>m</v>
      </c>
      <c r="W97" s="561" t="str">
        <f>MID($B97,COLUMNS($B$13:V$13),1)</f>
        <v>i</v>
      </c>
      <c r="X97" s="561" t="str">
        <f>MID($B97,COLUMNS($B$13:W$13),1)</f>
        <v>t</v>
      </c>
      <c r="Y97" s="561" t="str">
        <f>MID($B97,COLUMNS($B$13:X$13),1)</f>
        <v>e</v>
      </c>
      <c r="Z97" s="561" t="str">
        <f>MID($B97,COLUMNS($B$13:Y$13),1)</f>
        <v>d</v>
      </c>
      <c r="AA97" s="561" t="str">
        <f>MID($B97,COLUMNS($B$13:Z$13),1)</f>
        <v/>
      </c>
      <c r="AB97" s="561" t="str">
        <f>MID($B97,COLUMNS($B$13:AA$13),1)</f>
        <v/>
      </c>
      <c r="AC97" s="561" t="str">
        <f>MID($B97,COLUMNS($B$13:AB$13),1)</f>
        <v/>
      </c>
      <c r="AD97" s="561" t="str">
        <f>MID($B97,COLUMNS($B$13:AC$13),1)</f>
        <v/>
      </c>
      <c r="AE97" s="561" t="str">
        <f>MID($B97,COLUMNS($B$13:AD$13),1)</f>
        <v/>
      </c>
      <c r="AF97" s="561" t="str">
        <f>MID($B97,COLUMNS($B$13:AE$13),1)</f>
        <v/>
      </c>
      <c r="AG97" s="561" t="str">
        <f>MID($B97,COLUMNS($B$13:AF$13),1)</f>
        <v/>
      </c>
      <c r="AH97" s="561" t="str">
        <f>MID($B97,COLUMNS($B$13:AG$13),1)</f>
        <v/>
      </c>
      <c r="AI97" s="561" t="str">
        <f>MID($B97,COLUMNS($B$13:AH$13),1)</f>
        <v/>
      </c>
      <c r="AJ97" s="561" t="str">
        <f>MID($B97,COLUMNS($B$13:AI$13),1)</f>
        <v/>
      </c>
      <c r="AK97" s="561" t="str">
        <f>MID($B97,COLUMNS($B$13:AJ$13),1)</f>
        <v/>
      </c>
      <c r="AL97" s="561" t="str">
        <f>MID($B97,COLUMNS($B$13:AK$13),1)</f>
        <v/>
      </c>
      <c r="AM97" s="561" t="str">
        <f>MID($B97,COLUMNS($B$13:AL$13),1)</f>
        <v/>
      </c>
      <c r="AN97" s="561" t="str">
        <f>MID($B97,COLUMNS($B$13:AM$13),1)</f>
        <v/>
      </c>
      <c r="AO97" s="561" t="str">
        <f>MID($B97,COLUMNS($B$13:AN$13),1)</f>
        <v/>
      </c>
      <c r="AP97" s="561" t="str">
        <f>MID($B97,COLUMNS($B$13:AO$13),1)</f>
        <v/>
      </c>
      <c r="AQ97" s="561" t="str">
        <f>MID($B97,COLUMNS($B$13:AP$13),1)</f>
        <v/>
      </c>
      <c r="AR97" s="561" t="str">
        <f>MID($B97,COLUMNS($B$13:AQ$13),1)</f>
        <v/>
      </c>
      <c r="AS97" s="561" t="str">
        <f>MID($B97,COLUMNS($B$13:AR$13),1)</f>
        <v/>
      </c>
      <c r="AT97" s="561" t="str">
        <f>MID($B97,COLUMNS($B$13:AS$13),1)</f>
        <v/>
      </c>
      <c r="AU97" s="561" t="str">
        <f>MID($B97,COLUMNS($B$13:AT$13),1)</f>
        <v/>
      </c>
      <c r="AV97" s="561" t="str">
        <f>MID($B97,COLUMNS($B$13:AU$13),1)</f>
        <v/>
      </c>
      <c r="AW97" s="561" t="str">
        <f>MID($B97,COLUMNS($B$13:AV$13),1)</f>
        <v/>
      </c>
      <c r="AX97" s="561" t="str">
        <f>MID($B97,COLUMNS($B$13:AW$13),1)</f>
        <v/>
      </c>
      <c r="AY97" s="561" t="str">
        <f>MID($B97,COLUMNS($B$13:AX$13),1)</f>
        <v/>
      </c>
      <c r="AZ97" s="561" t="str">
        <f>MID($B97,COLUMNS($B$13:AY$13),1)</f>
        <v/>
      </c>
      <c r="BA97" s="561" t="str">
        <f>MID($B97,COLUMNS($B$13:AZ$13),1)</f>
        <v/>
      </c>
      <c r="BB97" s="561" t="str">
        <f>MID($B97,COLUMNS($B$13:BA$13),1)</f>
        <v/>
      </c>
      <c r="BC97" s="561" t="str">
        <f>MID($B97,COLUMNS($B$13:BB$13),1)</f>
        <v/>
      </c>
      <c r="BD97" s="561" t="str">
        <f>MID($B97,COLUMNS($B$13:BC$13),1)</f>
        <v/>
      </c>
      <c r="BE97" s="561" t="str">
        <f>MID($B97,COLUMNS($B$13:BD$13),1)</f>
        <v/>
      </c>
      <c r="BF97" s="561" t="str">
        <f>MID($B97,COLUMNS($B$13:BE$13),1)</f>
        <v/>
      </c>
      <c r="BG97" s="561" t="str">
        <f>MID($B97,COLUMNS($B$13:BF$13),1)</f>
        <v/>
      </c>
      <c r="BH97" s="561" t="str">
        <f>MID($B97,COLUMNS($B$13:BG$13),1)</f>
        <v/>
      </c>
      <c r="BI97" s="561" t="str">
        <f>MID($B97,COLUMNS($B$13:BH$13),1)</f>
        <v/>
      </c>
      <c r="BJ97" s="561" t="str">
        <f>MID($B97,COLUMNS($B$13:BI$13),1)</f>
        <v/>
      </c>
      <c r="BK97" s="561" t="str">
        <f>MID($B97,COLUMNS($B$13:BJ$13),1)</f>
        <v/>
      </c>
      <c r="BL97" s="561" t="str">
        <f>MID($B97,COLUMNS($B$13:BK$13),1)</f>
        <v/>
      </c>
      <c r="BM97" s="561" t="str">
        <f>MID($B97,COLUMNS($B$13:BL$13),1)</f>
        <v/>
      </c>
      <c r="BN97" s="561" t="str">
        <f>MID($B97,COLUMNS($B$13:BM$13),1)</f>
        <v/>
      </c>
      <c r="BO97" s="561" t="str">
        <f>MID($B97,COLUMNS($B$13:BN$13),1)</f>
        <v/>
      </c>
      <c r="BP97" s="561" t="str">
        <f>MID($B97,COLUMNS($B$13:BO$13),1)</f>
        <v/>
      </c>
      <c r="BQ97" s="561" t="str">
        <f>MID($B97,COLUMNS($B$13:BP$13),1)</f>
        <v/>
      </c>
      <c r="BR97" s="561" t="str">
        <f>MID($B97,COLUMNS($B$13:BQ$13),1)</f>
        <v/>
      </c>
      <c r="BS97" s="561" t="str">
        <f>MID($B97,COLUMNS($B$13:BR$13),1)</f>
        <v/>
      </c>
      <c r="BT97" s="561" t="str">
        <f>MID($B97,COLUMNS($B$13:BS$13),1)</f>
        <v/>
      </c>
    </row>
    <row r="98" spans="1:74">
      <c r="A98" s="560"/>
      <c r="B98" s="562"/>
      <c r="C98" s="561">
        <f>IFERROR(VLOOKUP(C97,$BL:$BM,2,0),0)</f>
        <v>1</v>
      </c>
      <c r="D98" s="561">
        <f t="shared" ref="D98:BO98" si="79">IFERROR(VLOOKUP(D97,$BL:$BM,2,0),0)</f>
        <v>6</v>
      </c>
      <c r="E98" s="561">
        <f t="shared" si="79"/>
        <v>1</v>
      </c>
      <c r="F98" s="561">
        <f t="shared" si="79"/>
        <v>1</v>
      </c>
      <c r="G98" s="561">
        <f t="shared" si="79"/>
        <v>0</v>
      </c>
      <c r="H98" s="561">
        <f t="shared" si="79"/>
        <v>5</v>
      </c>
      <c r="I98" s="561">
        <f t="shared" si="79"/>
        <v>5</v>
      </c>
      <c r="J98" s="561">
        <f t="shared" si="79"/>
        <v>4</v>
      </c>
      <c r="K98" s="561">
        <f t="shared" si="79"/>
        <v>5</v>
      </c>
      <c r="L98" s="561">
        <f t="shared" si="79"/>
        <v>2</v>
      </c>
      <c r="M98" s="561">
        <f t="shared" si="79"/>
        <v>8</v>
      </c>
      <c r="N98" s="561">
        <f t="shared" si="79"/>
        <v>2</v>
      </c>
      <c r="O98" s="561">
        <f t="shared" si="79"/>
        <v>1</v>
      </c>
      <c r="P98" s="561">
        <f t="shared" si="79"/>
        <v>3</v>
      </c>
      <c r="Q98" s="561">
        <f t="shared" si="79"/>
        <v>5</v>
      </c>
      <c r="R98" s="561">
        <f t="shared" si="79"/>
        <v>3</v>
      </c>
      <c r="S98" s="561">
        <f t="shared" si="79"/>
        <v>0</v>
      </c>
      <c r="T98" s="561">
        <f t="shared" si="79"/>
        <v>3</v>
      </c>
      <c r="U98" s="561">
        <f t="shared" si="79"/>
        <v>1</v>
      </c>
      <c r="V98" s="561">
        <f t="shared" si="79"/>
        <v>4</v>
      </c>
      <c r="W98" s="561">
        <f t="shared" si="79"/>
        <v>1</v>
      </c>
      <c r="X98" s="561">
        <f t="shared" si="79"/>
        <v>4</v>
      </c>
      <c r="Y98" s="561">
        <f t="shared" si="79"/>
        <v>5</v>
      </c>
      <c r="Z98" s="561">
        <f t="shared" si="79"/>
        <v>4</v>
      </c>
      <c r="AA98" s="561" t="str">
        <f t="shared" si="79"/>
        <v/>
      </c>
      <c r="AB98" s="561" t="str">
        <f t="shared" si="79"/>
        <v/>
      </c>
      <c r="AC98" s="561" t="str">
        <f t="shared" si="79"/>
        <v/>
      </c>
      <c r="AD98" s="561" t="str">
        <f t="shared" si="79"/>
        <v/>
      </c>
      <c r="AE98" s="561" t="str">
        <f t="shared" si="79"/>
        <v/>
      </c>
      <c r="AF98" s="561" t="str">
        <f t="shared" si="79"/>
        <v/>
      </c>
      <c r="AG98" s="561" t="str">
        <f t="shared" si="79"/>
        <v/>
      </c>
      <c r="AH98" s="561" t="str">
        <f t="shared" si="79"/>
        <v/>
      </c>
      <c r="AI98" s="561" t="str">
        <f t="shared" si="79"/>
        <v/>
      </c>
      <c r="AJ98" s="561" t="str">
        <f t="shared" si="79"/>
        <v/>
      </c>
      <c r="AK98" s="561" t="str">
        <f t="shared" si="79"/>
        <v/>
      </c>
      <c r="AL98" s="561" t="str">
        <f t="shared" si="79"/>
        <v/>
      </c>
      <c r="AM98" s="561" t="str">
        <f t="shared" si="79"/>
        <v/>
      </c>
      <c r="AN98" s="561" t="str">
        <f t="shared" si="79"/>
        <v/>
      </c>
      <c r="AO98" s="561" t="str">
        <f t="shared" si="79"/>
        <v/>
      </c>
      <c r="AP98" s="561" t="str">
        <f t="shared" si="79"/>
        <v/>
      </c>
      <c r="AQ98" s="561" t="str">
        <f t="shared" si="79"/>
        <v/>
      </c>
      <c r="AR98" s="561" t="str">
        <f t="shared" si="79"/>
        <v/>
      </c>
      <c r="AS98" s="561" t="str">
        <f t="shared" si="79"/>
        <v/>
      </c>
      <c r="AT98" s="561" t="str">
        <f t="shared" si="79"/>
        <v/>
      </c>
      <c r="AU98" s="561" t="str">
        <f t="shared" si="79"/>
        <v/>
      </c>
      <c r="AV98" s="561" t="str">
        <f t="shared" si="79"/>
        <v/>
      </c>
      <c r="AW98" s="561" t="str">
        <f t="shared" si="79"/>
        <v/>
      </c>
      <c r="AX98" s="561" t="str">
        <f t="shared" si="79"/>
        <v/>
      </c>
      <c r="AY98" s="561" t="str">
        <f t="shared" si="79"/>
        <v/>
      </c>
      <c r="AZ98" s="561" t="str">
        <f t="shared" si="79"/>
        <v/>
      </c>
      <c r="BA98" s="561" t="str">
        <f t="shared" si="79"/>
        <v/>
      </c>
      <c r="BB98" s="561" t="str">
        <f t="shared" si="79"/>
        <v/>
      </c>
      <c r="BC98" s="561" t="str">
        <f t="shared" si="79"/>
        <v/>
      </c>
      <c r="BD98" s="561" t="str">
        <f t="shared" si="79"/>
        <v/>
      </c>
      <c r="BE98" s="561" t="str">
        <f t="shared" si="79"/>
        <v/>
      </c>
      <c r="BF98" s="561" t="str">
        <f t="shared" si="79"/>
        <v/>
      </c>
      <c r="BG98" s="561" t="str">
        <f t="shared" si="79"/>
        <v/>
      </c>
      <c r="BH98" s="561" t="str">
        <f t="shared" si="79"/>
        <v/>
      </c>
      <c r="BI98" s="561" t="str">
        <f t="shared" si="79"/>
        <v/>
      </c>
      <c r="BJ98" s="561" t="str">
        <f t="shared" si="79"/>
        <v/>
      </c>
      <c r="BK98" s="561" t="str">
        <f t="shared" si="79"/>
        <v/>
      </c>
      <c r="BL98" s="561" t="str">
        <f t="shared" si="79"/>
        <v/>
      </c>
      <c r="BM98" s="561" t="str">
        <f t="shared" si="79"/>
        <v/>
      </c>
      <c r="BN98" s="561" t="str">
        <f t="shared" si="79"/>
        <v/>
      </c>
      <c r="BO98" s="561" t="str">
        <f t="shared" si="79"/>
        <v/>
      </c>
      <c r="BP98" s="561" t="str">
        <f t="shared" ref="BP98:BT98" si="80">IFERROR(VLOOKUP(BP97,$BL:$BM,2,0),0)</f>
        <v/>
      </c>
      <c r="BQ98" s="561" t="str">
        <f t="shared" si="80"/>
        <v/>
      </c>
      <c r="BR98" s="561" t="str">
        <f t="shared" si="80"/>
        <v/>
      </c>
      <c r="BS98" s="561" t="str">
        <f t="shared" si="80"/>
        <v/>
      </c>
      <c r="BT98" s="561" t="str">
        <f t="shared" si="80"/>
        <v/>
      </c>
      <c r="BU98" s="564">
        <f>SUM(C98:BT98)</f>
        <v>74</v>
      </c>
      <c r="BV98" s="583">
        <f>MOD(BU98-1,9)+1</f>
        <v>2</v>
      </c>
    </row>
    <row r="99" spans="1:74">
      <c r="BL99" s="564"/>
      <c r="BM99" s="564"/>
      <c r="BP99" s="564"/>
    </row>
    <row r="100" spans="1:74">
      <c r="BL100" s="564"/>
      <c r="BM100" s="564"/>
      <c r="BP100" s="564"/>
    </row>
    <row r="101" spans="1:74">
      <c r="A101" s="560" t="s">
        <v>17</v>
      </c>
      <c r="B101" s="561" t="str">
        <f>'Mobile-Vehicle-House-Bank-CoNam'!B30</f>
        <v>ChaganBahi Maganbhai Chimanlal Financial Services Private Limited</v>
      </c>
      <c r="C101" s="561" t="str">
        <f>MID($B101,COLUMNS($B$13:B$13),1)</f>
        <v>C</v>
      </c>
      <c r="D101" s="561" t="str">
        <f>MID($B101,COLUMNS($B$13:C$13),1)</f>
        <v>h</v>
      </c>
      <c r="E101" s="561" t="str">
        <f>MID($B101,COLUMNS($B$13:D$13),1)</f>
        <v>a</v>
      </c>
      <c r="F101" s="561" t="str">
        <f>MID($B101,COLUMNS($B$13:E$13),1)</f>
        <v>g</v>
      </c>
      <c r="G101" s="561" t="str">
        <f>MID($B101,COLUMNS($B$13:F$13),1)</f>
        <v>a</v>
      </c>
      <c r="H101" s="561" t="str">
        <f>MID($B101,COLUMNS($B$13:G$13),1)</f>
        <v>n</v>
      </c>
      <c r="I101" s="561" t="str">
        <f>MID($B101,COLUMNS($B$13:H$13),1)</f>
        <v>B</v>
      </c>
      <c r="J101" s="561" t="str">
        <f>MID($B101,COLUMNS($B$13:I$13),1)</f>
        <v>a</v>
      </c>
      <c r="K101" s="561" t="str">
        <f>MID($B101,COLUMNS($B$13:J$13),1)</f>
        <v>h</v>
      </c>
      <c r="L101" s="561" t="str">
        <f>MID($B101,COLUMNS($B$13:K$13),1)</f>
        <v>i</v>
      </c>
      <c r="M101" s="561" t="str">
        <f>MID($B101,COLUMNS($B$13:L$13),1)</f>
        <v xml:space="preserve"> </v>
      </c>
      <c r="N101" s="561" t="str">
        <f>MID($B101,COLUMNS($B$13:M$13),1)</f>
        <v>M</v>
      </c>
      <c r="O101" s="561" t="str">
        <f>MID($B101,COLUMNS($B$13:N$13),1)</f>
        <v>a</v>
      </c>
      <c r="P101" s="561" t="str">
        <f>MID($B101,COLUMNS($B$13:O$13),1)</f>
        <v>g</v>
      </c>
      <c r="Q101" s="561" t="str">
        <f>MID($B101,COLUMNS($B$13:P$13),1)</f>
        <v>a</v>
      </c>
      <c r="R101" s="561" t="str">
        <f>MID($B101,COLUMNS($B$13:Q$13),1)</f>
        <v>n</v>
      </c>
      <c r="S101" s="561" t="str">
        <f>MID($B101,COLUMNS($B$13:R$13),1)</f>
        <v>b</v>
      </c>
      <c r="T101" s="561" t="str">
        <f>MID($B101,COLUMNS($B$13:S$13),1)</f>
        <v>h</v>
      </c>
      <c r="U101" s="561" t="str">
        <f>MID($B101,COLUMNS($B$13:T$13),1)</f>
        <v>a</v>
      </c>
      <c r="V101" s="561" t="str">
        <f>MID($B101,COLUMNS($B$13:U$13),1)</f>
        <v>i</v>
      </c>
      <c r="W101" s="561" t="str">
        <f>MID($B101,COLUMNS($B$13:V$13),1)</f>
        <v xml:space="preserve"> </v>
      </c>
      <c r="X101" s="561" t="str">
        <f>MID($B101,COLUMNS($B$13:W$13),1)</f>
        <v>C</v>
      </c>
      <c r="Y101" s="561" t="str">
        <f>MID($B101,COLUMNS($B$13:X$13),1)</f>
        <v>h</v>
      </c>
      <c r="Z101" s="561" t="str">
        <f>MID($B101,COLUMNS($B$13:Y$13),1)</f>
        <v>i</v>
      </c>
      <c r="AA101" s="561" t="str">
        <f>MID($B101,COLUMNS($B$13:Z$13),1)</f>
        <v>m</v>
      </c>
      <c r="AB101" s="561" t="str">
        <f>MID($B101,COLUMNS($B$13:AA$13),1)</f>
        <v>a</v>
      </c>
      <c r="AC101" s="561" t="str">
        <f>MID($B101,COLUMNS($B$13:AB$13),1)</f>
        <v>n</v>
      </c>
      <c r="AD101" s="561" t="str">
        <f>MID($B101,COLUMNS($B$13:AC$13),1)</f>
        <v>l</v>
      </c>
      <c r="AE101" s="561" t="str">
        <f>MID($B101,COLUMNS($B$13:AD$13),1)</f>
        <v>a</v>
      </c>
      <c r="AF101" s="561" t="str">
        <f>MID($B101,COLUMNS($B$13:AE$13),1)</f>
        <v>l</v>
      </c>
      <c r="AG101" s="561" t="str">
        <f>MID($B101,COLUMNS($B$13:AF$13),1)</f>
        <v xml:space="preserve"> </v>
      </c>
      <c r="AH101" s="561" t="str">
        <f>MID($B101,COLUMNS($B$13:AG$13),1)</f>
        <v>F</v>
      </c>
      <c r="AI101" s="561" t="str">
        <f>MID($B101,COLUMNS($B$13:AH$13),1)</f>
        <v>i</v>
      </c>
      <c r="AJ101" s="561" t="str">
        <f>MID($B101,COLUMNS($B$13:AI$13),1)</f>
        <v>n</v>
      </c>
      <c r="AK101" s="561" t="str">
        <f>MID($B101,COLUMNS($B$13:AJ$13),1)</f>
        <v>a</v>
      </c>
      <c r="AL101" s="561" t="str">
        <f>MID($B101,COLUMNS($B$13:AK$13),1)</f>
        <v>n</v>
      </c>
      <c r="AM101" s="561" t="str">
        <f>MID($B101,COLUMNS($B$13:AL$13),1)</f>
        <v>c</v>
      </c>
      <c r="AN101" s="561" t="str">
        <f>MID($B101,COLUMNS($B$13:AM$13),1)</f>
        <v>i</v>
      </c>
      <c r="AO101" s="561" t="str">
        <f>MID($B101,COLUMNS($B$13:AN$13),1)</f>
        <v>a</v>
      </c>
      <c r="AP101" s="561" t="str">
        <f>MID($B101,COLUMNS($B$13:AO$13),1)</f>
        <v>l</v>
      </c>
      <c r="AQ101" s="561" t="str">
        <f>MID($B101,COLUMNS($B$13:AP$13),1)</f>
        <v xml:space="preserve"> </v>
      </c>
      <c r="AR101" s="561" t="str">
        <f>MID($B101,COLUMNS($B$13:AQ$13),1)</f>
        <v>S</v>
      </c>
      <c r="AS101" s="561" t="str">
        <f>MID($B101,COLUMNS($B$13:AR$13),1)</f>
        <v>e</v>
      </c>
      <c r="AT101" s="561" t="str">
        <f>MID($B101,COLUMNS($B$13:AS$13),1)</f>
        <v>r</v>
      </c>
      <c r="AU101" s="561" t="str">
        <f>MID($B101,COLUMNS($B$13:AT$13),1)</f>
        <v>v</v>
      </c>
      <c r="AV101" s="561" t="str">
        <f>MID($B101,COLUMNS($B$13:AU$13),1)</f>
        <v>i</v>
      </c>
      <c r="AW101" s="561" t="str">
        <f>MID($B101,COLUMNS($B$13:AV$13),1)</f>
        <v>c</v>
      </c>
      <c r="AX101" s="561" t="str">
        <f>MID($B101,COLUMNS($B$13:AW$13),1)</f>
        <v>e</v>
      </c>
      <c r="AY101" s="561" t="str">
        <f>MID($B101,COLUMNS($B$13:AX$13),1)</f>
        <v>s</v>
      </c>
      <c r="AZ101" s="561" t="str">
        <f>MID($B101,COLUMNS($B$13:AY$13),1)</f>
        <v xml:space="preserve"> </v>
      </c>
      <c r="BA101" s="561" t="str">
        <f>MID($B101,COLUMNS($B$13:AZ$13),1)</f>
        <v>P</v>
      </c>
      <c r="BB101" s="561" t="str">
        <f>MID($B101,COLUMNS($B$13:BA$13),1)</f>
        <v>r</v>
      </c>
      <c r="BC101" s="561" t="str">
        <f>MID($B101,COLUMNS($B$13:BB$13),1)</f>
        <v>i</v>
      </c>
      <c r="BD101" s="561" t="str">
        <f>MID($B101,COLUMNS($B$13:BC$13),1)</f>
        <v>v</v>
      </c>
      <c r="BE101" s="561" t="str">
        <f>MID($B101,COLUMNS($B$13:BD$13),1)</f>
        <v>a</v>
      </c>
      <c r="BF101" s="561" t="str">
        <f>MID($B101,COLUMNS($B$13:BE$13),1)</f>
        <v>t</v>
      </c>
      <c r="BG101" s="561" t="str">
        <f>MID($B101,COLUMNS($B$13:BF$13),1)</f>
        <v>e</v>
      </c>
      <c r="BH101" s="561" t="str">
        <f>MID($B101,COLUMNS($B$13:BG$13),1)</f>
        <v xml:space="preserve"> </v>
      </c>
      <c r="BI101" s="561" t="str">
        <f>MID($B101,COLUMNS($B$13:BH$13),1)</f>
        <v>L</v>
      </c>
      <c r="BJ101" s="561" t="str">
        <f>MID($B101,COLUMNS($B$13:BI$13),1)</f>
        <v>i</v>
      </c>
      <c r="BK101" s="561" t="str">
        <f>MID($B101,COLUMNS($B$13:BJ$13),1)</f>
        <v>m</v>
      </c>
      <c r="BL101" s="561" t="str">
        <f>MID($B101,COLUMNS($B$13:BK$13),1)</f>
        <v>i</v>
      </c>
      <c r="BM101" s="561" t="str">
        <f>MID($B101,COLUMNS($B$13:BL$13),1)</f>
        <v>t</v>
      </c>
      <c r="BN101" s="561" t="str">
        <f>MID($B101,COLUMNS($B$13:BM$13),1)</f>
        <v>e</v>
      </c>
      <c r="BO101" s="561" t="str">
        <f>MID($B101,COLUMNS($B$13:BN$13),1)</f>
        <v>d</v>
      </c>
      <c r="BP101" s="561" t="str">
        <f>MID($B101,COLUMNS($B$13:BO$13),1)</f>
        <v/>
      </c>
      <c r="BQ101" s="561" t="str">
        <f>MID($B101,COLUMNS($B$13:BP$13),1)</f>
        <v/>
      </c>
      <c r="BR101" s="561" t="str">
        <f>MID($B101,COLUMNS($B$13:BQ$13),1)</f>
        <v/>
      </c>
      <c r="BS101" s="561" t="str">
        <f>MID($B101,COLUMNS($B$13:BR$13),1)</f>
        <v/>
      </c>
      <c r="BT101" s="561" t="str">
        <f>MID($B101,COLUMNS($B$13:BS$13),1)</f>
        <v/>
      </c>
    </row>
    <row r="102" spans="1:74">
      <c r="A102" s="560"/>
      <c r="B102" s="562"/>
      <c r="C102" s="561">
        <f>IFERROR(VLOOKUP(C101,$BL:$BM,2,0),0)</f>
        <v>3</v>
      </c>
      <c r="D102" s="561">
        <f t="shared" ref="D102:BO102" si="81">IFERROR(VLOOKUP(D101,$BL:$BM,2,0),0)</f>
        <v>5</v>
      </c>
      <c r="E102" s="561">
        <f t="shared" si="81"/>
        <v>1</v>
      </c>
      <c r="F102" s="561">
        <f t="shared" si="81"/>
        <v>3</v>
      </c>
      <c r="G102" s="561">
        <f t="shared" si="81"/>
        <v>1</v>
      </c>
      <c r="H102" s="561">
        <f t="shared" si="81"/>
        <v>5</v>
      </c>
      <c r="I102" s="561">
        <f t="shared" si="81"/>
        <v>2</v>
      </c>
      <c r="J102" s="561">
        <f t="shared" si="81"/>
        <v>1</v>
      </c>
      <c r="K102" s="561">
        <f t="shared" si="81"/>
        <v>5</v>
      </c>
      <c r="L102" s="561">
        <f t="shared" si="81"/>
        <v>1</v>
      </c>
      <c r="M102" s="561">
        <f t="shared" si="81"/>
        <v>0</v>
      </c>
      <c r="N102" s="561">
        <f t="shared" si="81"/>
        <v>4</v>
      </c>
      <c r="O102" s="561">
        <f t="shared" si="81"/>
        <v>1</v>
      </c>
      <c r="P102" s="561">
        <f t="shared" si="81"/>
        <v>3</v>
      </c>
      <c r="Q102" s="561">
        <f t="shared" si="81"/>
        <v>1</v>
      </c>
      <c r="R102" s="561">
        <f t="shared" si="81"/>
        <v>5</v>
      </c>
      <c r="S102" s="561">
        <f t="shared" si="81"/>
        <v>2</v>
      </c>
      <c r="T102" s="561">
        <f t="shared" si="81"/>
        <v>5</v>
      </c>
      <c r="U102" s="561">
        <f t="shared" si="81"/>
        <v>1</v>
      </c>
      <c r="V102" s="561">
        <f t="shared" si="81"/>
        <v>1</v>
      </c>
      <c r="W102" s="561">
        <f t="shared" si="81"/>
        <v>0</v>
      </c>
      <c r="X102" s="561">
        <f t="shared" si="81"/>
        <v>3</v>
      </c>
      <c r="Y102" s="561">
        <f t="shared" si="81"/>
        <v>5</v>
      </c>
      <c r="Z102" s="561">
        <f t="shared" si="81"/>
        <v>1</v>
      </c>
      <c r="AA102" s="561">
        <f t="shared" si="81"/>
        <v>4</v>
      </c>
      <c r="AB102" s="561">
        <f t="shared" si="81"/>
        <v>1</v>
      </c>
      <c r="AC102" s="561">
        <f t="shared" si="81"/>
        <v>5</v>
      </c>
      <c r="AD102" s="561">
        <f t="shared" si="81"/>
        <v>3</v>
      </c>
      <c r="AE102" s="561">
        <f t="shared" si="81"/>
        <v>1</v>
      </c>
      <c r="AF102" s="561">
        <f t="shared" si="81"/>
        <v>3</v>
      </c>
      <c r="AG102" s="561">
        <f t="shared" si="81"/>
        <v>0</v>
      </c>
      <c r="AH102" s="561">
        <f t="shared" si="81"/>
        <v>8</v>
      </c>
      <c r="AI102" s="561">
        <f t="shared" si="81"/>
        <v>1</v>
      </c>
      <c r="AJ102" s="561">
        <f t="shared" si="81"/>
        <v>5</v>
      </c>
      <c r="AK102" s="561">
        <f t="shared" si="81"/>
        <v>1</v>
      </c>
      <c r="AL102" s="561">
        <f t="shared" si="81"/>
        <v>5</v>
      </c>
      <c r="AM102" s="561">
        <f t="shared" si="81"/>
        <v>3</v>
      </c>
      <c r="AN102" s="561">
        <f t="shared" si="81"/>
        <v>1</v>
      </c>
      <c r="AO102" s="561">
        <f t="shared" si="81"/>
        <v>1</v>
      </c>
      <c r="AP102" s="561">
        <f t="shared" si="81"/>
        <v>3</v>
      </c>
      <c r="AQ102" s="561">
        <f t="shared" si="81"/>
        <v>0</v>
      </c>
      <c r="AR102" s="561">
        <f t="shared" si="81"/>
        <v>3</v>
      </c>
      <c r="AS102" s="561">
        <f t="shared" si="81"/>
        <v>5</v>
      </c>
      <c r="AT102" s="561">
        <f t="shared" si="81"/>
        <v>2</v>
      </c>
      <c r="AU102" s="561">
        <f t="shared" si="81"/>
        <v>6</v>
      </c>
      <c r="AV102" s="561">
        <f t="shared" si="81"/>
        <v>1</v>
      </c>
      <c r="AW102" s="561">
        <f t="shared" si="81"/>
        <v>3</v>
      </c>
      <c r="AX102" s="561">
        <f t="shared" si="81"/>
        <v>5</v>
      </c>
      <c r="AY102" s="561">
        <f t="shared" si="81"/>
        <v>3</v>
      </c>
      <c r="AZ102" s="561">
        <f t="shared" si="81"/>
        <v>0</v>
      </c>
      <c r="BA102" s="561">
        <f t="shared" si="81"/>
        <v>8</v>
      </c>
      <c r="BB102" s="561">
        <f t="shared" si="81"/>
        <v>2</v>
      </c>
      <c r="BC102" s="561">
        <f t="shared" si="81"/>
        <v>1</v>
      </c>
      <c r="BD102" s="561">
        <f t="shared" si="81"/>
        <v>6</v>
      </c>
      <c r="BE102" s="561">
        <f t="shared" si="81"/>
        <v>1</v>
      </c>
      <c r="BF102" s="561">
        <f t="shared" si="81"/>
        <v>4</v>
      </c>
      <c r="BG102" s="561">
        <f t="shared" si="81"/>
        <v>5</v>
      </c>
      <c r="BH102" s="561">
        <f t="shared" si="81"/>
        <v>0</v>
      </c>
      <c r="BI102" s="561">
        <f t="shared" si="81"/>
        <v>3</v>
      </c>
      <c r="BJ102" s="561">
        <f t="shared" si="81"/>
        <v>1</v>
      </c>
      <c r="BK102" s="561">
        <f t="shared" si="81"/>
        <v>4</v>
      </c>
      <c r="BL102" s="561">
        <f t="shared" si="81"/>
        <v>1</v>
      </c>
      <c r="BM102" s="561">
        <f t="shared" si="81"/>
        <v>4</v>
      </c>
      <c r="BN102" s="561">
        <f t="shared" si="81"/>
        <v>5</v>
      </c>
      <c r="BO102" s="561">
        <f t="shared" si="81"/>
        <v>4</v>
      </c>
      <c r="BP102" s="561" t="str">
        <f t="shared" ref="BP102:BT102" si="82">IFERROR(VLOOKUP(BP101,$BL:$BM,2,0),0)</f>
        <v/>
      </c>
      <c r="BQ102" s="561" t="str">
        <f t="shared" si="82"/>
        <v/>
      </c>
      <c r="BR102" s="561" t="str">
        <f t="shared" si="82"/>
        <v/>
      </c>
      <c r="BS102" s="561" t="str">
        <f t="shared" si="82"/>
        <v/>
      </c>
      <c r="BT102" s="561" t="str">
        <f t="shared" si="82"/>
        <v/>
      </c>
      <c r="BU102" s="564">
        <f>SUM(C102:BT102)</f>
        <v>181</v>
      </c>
      <c r="BV102" s="583">
        <f>MOD(BU102-1,9)+1</f>
        <v>1</v>
      </c>
    </row>
  </sheetData>
  <mergeCells count="11">
    <mergeCell ref="BW74:BY74"/>
    <mergeCell ref="BZ81:CG81"/>
    <mergeCell ref="BA12:BJ12"/>
    <mergeCell ref="BO12:BP12"/>
    <mergeCell ref="BW54:BY54"/>
    <mergeCell ref="BZ61:CG61"/>
    <mergeCell ref="BW12:BY12"/>
    <mergeCell ref="BZ19:CG19"/>
    <mergeCell ref="BW33:BY33"/>
    <mergeCell ref="BZ40:CG40"/>
    <mergeCell ref="BT51:BW51"/>
  </mergeCells>
  <conditionalFormatting sqref="AP2">
    <cfRule type="cellIs" dxfId="92" priority="138" operator="equal">
      <formula>"√"</formula>
    </cfRule>
    <cfRule type="cellIs" dxfId="91" priority="139" operator="equal">
      <formula>"*"</formula>
    </cfRule>
    <cfRule type="cellIs" dxfId="90" priority="140" operator="equal">
      <formula>"X"</formula>
    </cfRule>
  </conditionalFormatting>
  <conditionalFormatting sqref="AP7">
    <cfRule type="cellIs" dxfId="89" priority="135" operator="equal">
      <formula>"√"</formula>
    </cfRule>
    <cfRule type="cellIs" dxfId="88" priority="136" operator="equal">
      <formula>"*"</formula>
    </cfRule>
    <cfRule type="cellIs" dxfId="87" priority="137" operator="equal">
      <formula>"X"</formula>
    </cfRule>
  </conditionalFormatting>
  <conditionalFormatting sqref="AP13">
    <cfRule type="cellIs" dxfId="86" priority="132" operator="equal">
      <formula>"√"</formula>
    </cfRule>
    <cfRule type="cellIs" dxfId="85" priority="133" operator="equal">
      <formula>"*"</formula>
    </cfRule>
    <cfRule type="cellIs" dxfId="84" priority="134" operator="equal">
      <formula>"X"</formula>
    </cfRule>
  </conditionalFormatting>
  <conditionalFormatting sqref="AP18">
    <cfRule type="cellIs" dxfId="83" priority="129" operator="equal">
      <formula>"√"</formula>
    </cfRule>
    <cfRule type="cellIs" dxfId="82" priority="130" operator="equal">
      <formula>"*"</formula>
    </cfRule>
    <cfRule type="cellIs" dxfId="81" priority="131" operator="equal">
      <formula>"X"</formula>
    </cfRule>
  </conditionalFormatting>
  <conditionalFormatting sqref="AP23">
    <cfRule type="cellIs" dxfId="80" priority="126" operator="equal">
      <formula>"√"</formula>
    </cfRule>
    <cfRule type="cellIs" dxfId="79" priority="127" operator="equal">
      <formula>"*"</formula>
    </cfRule>
    <cfRule type="cellIs" dxfId="78" priority="128" operator="equal">
      <formula>"X"</formula>
    </cfRule>
  </conditionalFormatting>
  <conditionalFormatting sqref="AP28">
    <cfRule type="cellIs" dxfId="77" priority="123" operator="equal">
      <formula>"√"</formula>
    </cfRule>
    <cfRule type="cellIs" dxfId="76" priority="124" operator="equal">
      <formula>"*"</formula>
    </cfRule>
    <cfRule type="cellIs" dxfId="75" priority="125" operator="equal">
      <formula>"X"</formula>
    </cfRule>
  </conditionalFormatting>
  <conditionalFormatting sqref="AP33">
    <cfRule type="cellIs" dxfId="74" priority="120" operator="equal">
      <formula>"√"</formula>
    </cfRule>
    <cfRule type="cellIs" dxfId="73" priority="121" operator="equal">
      <formula>"*"</formula>
    </cfRule>
    <cfRule type="cellIs" dxfId="72" priority="122" operator="equal">
      <formula>"X"</formula>
    </cfRule>
  </conditionalFormatting>
  <conditionalFormatting sqref="AP38">
    <cfRule type="cellIs" dxfId="71" priority="117" operator="equal">
      <formula>"√"</formula>
    </cfRule>
    <cfRule type="cellIs" dxfId="70" priority="118" operator="equal">
      <formula>"*"</formula>
    </cfRule>
    <cfRule type="cellIs" dxfId="69" priority="119" operator="equal">
      <formula>"X"</formula>
    </cfRule>
  </conditionalFormatting>
  <conditionalFormatting sqref="BW37:BW40">
    <cfRule type="cellIs" dxfId="68" priority="108" operator="equal">
      <formula>"A"</formula>
    </cfRule>
  </conditionalFormatting>
  <conditionalFormatting sqref="BX21:BX28">
    <cfRule type="colorScale" priority="101">
      <colorScale>
        <cfvo type="min" val="0"/>
        <cfvo type="max" val="0"/>
        <color rgb="FFFF3399"/>
        <color theme="8" tint="0.79998168889431442"/>
      </colorScale>
    </cfRule>
  </conditionalFormatting>
  <conditionalFormatting sqref="CF21:CF32">
    <cfRule type="cellIs" dxfId="67" priority="100" operator="greaterThan">
      <formula>1</formula>
    </cfRule>
  </conditionalFormatting>
  <conditionalFormatting sqref="CG21:CG32">
    <cfRule type="cellIs" dxfId="66" priority="99" operator="greaterThan">
      <formula>1</formula>
    </cfRule>
  </conditionalFormatting>
  <conditionalFormatting sqref="CF42:CF50">
    <cfRule type="cellIs" dxfId="65" priority="98" operator="greaterThan">
      <formula>1</formula>
    </cfRule>
  </conditionalFormatting>
  <conditionalFormatting sqref="CG42:CG50">
    <cfRule type="cellIs" dxfId="64" priority="97" operator="greaterThan">
      <formula>1</formula>
    </cfRule>
  </conditionalFormatting>
  <conditionalFormatting sqref="BZ21:CC29">
    <cfRule type="cellIs" dxfId="63" priority="96" operator="equal">
      <formula>0</formula>
    </cfRule>
  </conditionalFormatting>
  <conditionalFormatting sqref="BW14">
    <cfRule type="cellIs" dxfId="62" priority="94" operator="equal">
      <formula>"Active"</formula>
    </cfRule>
  </conditionalFormatting>
  <conditionalFormatting sqref="BX14">
    <cfRule type="cellIs" dxfId="61" priority="93" operator="equal">
      <formula>"Active"</formula>
    </cfRule>
  </conditionalFormatting>
  <conditionalFormatting sqref="BW35">
    <cfRule type="cellIs" dxfId="60" priority="92" operator="equal">
      <formula>"Active"</formula>
    </cfRule>
  </conditionalFormatting>
  <conditionalFormatting sqref="BX35">
    <cfRule type="cellIs" dxfId="59" priority="91" operator="equal">
      <formula>"Active"</formula>
    </cfRule>
  </conditionalFormatting>
  <conditionalFormatting sqref="BW37:BW40">
    <cfRule type="cellIs" dxfId="58" priority="89" operator="equal">
      <formula>"SA"</formula>
    </cfRule>
    <cfRule type="cellIs" dxfId="57" priority="90" operator="equal">
      <formula>"A"</formula>
    </cfRule>
  </conditionalFormatting>
  <conditionalFormatting sqref="BZ30:CC32">
    <cfRule type="cellIs" dxfId="56" priority="88" operator="greaterThan">
      <formula>1</formula>
    </cfRule>
  </conditionalFormatting>
  <conditionalFormatting sqref="BX42">
    <cfRule type="colorScale" priority="87">
      <colorScale>
        <cfvo type="min" val="0"/>
        <cfvo type="max" val="0"/>
        <color rgb="FFFF3399"/>
        <color theme="8" tint="0.79998168889431442"/>
      </colorScale>
    </cfRule>
  </conditionalFormatting>
  <conditionalFormatting sqref="BX43:BX49">
    <cfRule type="colorScale" priority="85">
      <colorScale>
        <cfvo type="min" val="0"/>
        <cfvo type="max" val="0"/>
        <color rgb="FFFF3399"/>
        <color theme="8" tint="0.79998168889431442"/>
      </colorScale>
    </cfRule>
  </conditionalFormatting>
  <conditionalFormatting sqref="BZ64:CC71">
    <cfRule type="cellIs" dxfId="55" priority="61" operator="equal">
      <formula>0</formula>
    </cfRule>
  </conditionalFormatting>
  <conditionalFormatting sqref="BZ42:CC42">
    <cfRule type="cellIs" dxfId="54" priority="81" operator="equal">
      <formula>0</formula>
    </cfRule>
  </conditionalFormatting>
  <conditionalFormatting sqref="BZ43:CC50">
    <cfRule type="cellIs" dxfId="53" priority="80" operator="equal">
      <formula>0</formula>
    </cfRule>
  </conditionalFormatting>
  <conditionalFormatting sqref="CF53">
    <cfRule type="cellIs" dxfId="52" priority="75" operator="greaterThan">
      <formula>1</formula>
    </cfRule>
  </conditionalFormatting>
  <conditionalFormatting sqref="CG53">
    <cfRule type="cellIs" dxfId="51" priority="74" operator="greaterThan">
      <formula>1</formula>
    </cfRule>
  </conditionalFormatting>
  <conditionalFormatting sqref="CF63:CF71">
    <cfRule type="cellIs" dxfId="50" priority="73" operator="greaterThan">
      <formula>1</formula>
    </cfRule>
  </conditionalFormatting>
  <conditionalFormatting sqref="CG63:CG71">
    <cfRule type="cellIs" dxfId="49" priority="72" operator="greaterThan">
      <formula>1</formula>
    </cfRule>
  </conditionalFormatting>
  <conditionalFormatting sqref="BW56">
    <cfRule type="cellIs" dxfId="48" priority="71" operator="equal">
      <formula>"Active"</formula>
    </cfRule>
  </conditionalFormatting>
  <conditionalFormatting sqref="BX56">
    <cfRule type="cellIs" dxfId="47" priority="70" operator="equal">
      <formula>"Active"</formula>
    </cfRule>
  </conditionalFormatting>
  <conditionalFormatting sqref="BZ53:CC53">
    <cfRule type="cellIs" dxfId="46" priority="67" operator="greaterThan">
      <formula>1</formula>
    </cfRule>
  </conditionalFormatting>
  <conditionalFormatting sqref="BX63">
    <cfRule type="colorScale" priority="66">
      <colorScale>
        <cfvo type="min" val="0"/>
        <cfvo type="max" val="0"/>
        <color rgb="FFFF3399"/>
        <color theme="8" tint="0.79998168889431442"/>
      </colorScale>
    </cfRule>
  </conditionalFormatting>
  <conditionalFormatting sqref="BZ63:CC63">
    <cfRule type="cellIs" dxfId="45" priority="64" operator="equal">
      <formula>0</formula>
    </cfRule>
  </conditionalFormatting>
  <conditionalFormatting sqref="BX64:BX71">
    <cfRule type="colorScale" priority="62">
      <colorScale>
        <cfvo type="min" val="0"/>
        <cfvo type="max" val="0"/>
        <color rgb="FFFF3399"/>
        <color theme="8" tint="0.79998168889431442"/>
      </colorScale>
    </cfRule>
  </conditionalFormatting>
  <conditionalFormatting sqref="CF83:CF91">
    <cfRule type="cellIs" dxfId="44" priority="56" operator="greaterThan">
      <formula>1</formula>
    </cfRule>
  </conditionalFormatting>
  <conditionalFormatting sqref="CG83:CG91">
    <cfRule type="cellIs" dxfId="43" priority="55" operator="greaterThan">
      <formula>1</formula>
    </cfRule>
  </conditionalFormatting>
  <conditionalFormatting sqref="BW76">
    <cfRule type="cellIs" dxfId="42" priority="54" operator="equal">
      <formula>"Active"</formula>
    </cfRule>
  </conditionalFormatting>
  <conditionalFormatting sqref="BX76">
    <cfRule type="cellIs" dxfId="41" priority="53" operator="equal">
      <formula>"Active"</formula>
    </cfRule>
  </conditionalFormatting>
  <conditionalFormatting sqref="BZ83:CC83">
    <cfRule type="cellIs" dxfId="40" priority="49" operator="equal">
      <formula>0</formula>
    </cfRule>
  </conditionalFormatting>
  <conditionalFormatting sqref="BZ84:CC91">
    <cfRule type="cellIs" dxfId="39" priority="44" operator="equal">
      <formula>0</formula>
    </cfRule>
  </conditionalFormatting>
  <conditionalFormatting sqref="BX83:BX91">
    <cfRule type="colorScale" priority="43">
      <colorScale>
        <cfvo type="min" val="0"/>
        <cfvo type="max" val="0"/>
        <color rgb="FFFF3399"/>
        <color theme="8" tint="0.79998168889431442"/>
      </colorScale>
    </cfRule>
  </conditionalFormatting>
  <conditionalFormatting sqref="BX37">
    <cfRule type="cellIs" dxfId="38" priority="42" operator="equal">
      <formula>"A"</formula>
    </cfRule>
  </conditionalFormatting>
  <conditionalFormatting sqref="BX37">
    <cfRule type="cellIs" dxfId="37" priority="40" operator="equal">
      <formula>"SA"</formula>
    </cfRule>
    <cfRule type="cellIs" dxfId="36" priority="41" operator="equal">
      <formula>"A"</formula>
    </cfRule>
  </conditionalFormatting>
  <conditionalFormatting sqref="BX38:BX40">
    <cfRule type="cellIs" dxfId="35" priority="36" operator="equal">
      <formula>"A"</formula>
    </cfRule>
  </conditionalFormatting>
  <conditionalFormatting sqref="BX38:BX40">
    <cfRule type="cellIs" dxfId="34" priority="34" operator="equal">
      <formula>"SA"</formula>
    </cfRule>
    <cfRule type="cellIs" dxfId="33" priority="35" operator="equal">
      <formula>"A"</formula>
    </cfRule>
  </conditionalFormatting>
  <conditionalFormatting sqref="BW16:BW19">
    <cfRule type="cellIs" dxfId="32" priority="33" operator="equal">
      <formula>"A"</formula>
    </cfRule>
  </conditionalFormatting>
  <conditionalFormatting sqref="BW16:BW19">
    <cfRule type="cellIs" dxfId="31" priority="31" operator="equal">
      <formula>"SA"</formula>
    </cfRule>
    <cfRule type="cellIs" dxfId="30" priority="32" operator="equal">
      <formula>"A"</formula>
    </cfRule>
  </conditionalFormatting>
  <conditionalFormatting sqref="BX16">
    <cfRule type="cellIs" dxfId="29" priority="30" operator="equal">
      <formula>"A"</formula>
    </cfRule>
  </conditionalFormatting>
  <conditionalFormatting sqref="BX16">
    <cfRule type="cellIs" dxfId="28" priority="28" operator="equal">
      <formula>"SA"</formula>
    </cfRule>
    <cfRule type="cellIs" dxfId="27" priority="29" operator="equal">
      <formula>"A"</formula>
    </cfRule>
  </conditionalFormatting>
  <conditionalFormatting sqref="BX17:BX19">
    <cfRule type="cellIs" dxfId="26" priority="27" operator="equal">
      <formula>"A"</formula>
    </cfRule>
  </conditionalFormatting>
  <conditionalFormatting sqref="BX17:BX19">
    <cfRule type="cellIs" dxfId="25" priority="25" operator="equal">
      <formula>"SA"</formula>
    </cfRule>
    <cfRule type="cellIs" dxfId="24" priority="26" operator="equal">
      <formula>"A"</formula>
    </cfRule>
  </conditionalFormatting>
  <conditionalFormatting sqref="BW58:BW61">
    <cfRule type="cellIs" dxfId="23" priority="24" operator="equal">
      <formula>"A"</formula>
    </cfRule>
  </conditionalFormatting>
  <conditionalFormatting sqref="BW58:BW61">
    <cfRule type="cellIs" dxfId="22" priority="22" operator="equal">
      <formula>"SA"</formula>
    </cfRule>
    <cfRule type="cellIs" dxfId="21" priority="23" operator="equal">
      <formula>"A"</formula>
    </cfRule>
  </conditionalFormatting>
  <conditionalFormatting sqref="BX58">
    <cfRule type="cellIs" dxfId="20" priority="21" operator="equal">
      <formula>"A"</formula>
    </cfRule>
  </conditionalFormatting>
  <conditionalFormatting sqref="BX58">
    <cfRule type="cellIs" dxfId="19" priority="19" operator="equal">
      <formula>"SA"</formula>
    </cfRule>
    <cfRule type="cellIs" dxfId="18" priority="20" operator="equal">
      <formula>"A"</formula>
    </cfRule>
  </conditionalFormatting>
  <conditionalFormatting sqref="BX59:BX61">
    <cfRule type="cellIs" dxfId="17" priority="18" operator="equal">
      <formula>"A"</formula>
    </cfRule>
  </conditionalFormatting>
  <conditionalFormatting sqref="BX59:BX61">
    <cfRule type="cellIs" dxfId="16" priority="16" operator="equal">
      <formula>"SA"</formula>
    </cfRule>
    <cfRule type="cellIs" dxfId="15" priority="17" operator="equal">
      <formula>"A"</formula>
    </cfRule>
  </conditionalFormatting>
  <conditionalFormatting sqref="BW78:BW81">
    <cfRule type="cellIs" dxfId="14" priority="15" operator="equal">
      <formula>"A"</formula>
    </cfRule>
  </conditionalFormatting>
  <conditionalFormatting sqref="BW78:BW81">
    <cfRule type="cellIs" dxfId="13" priority="13" operator="equal">
      <formula>"SA"</formula>
    </cfRule>
    <cfRule type="cellIs" dxfId="12" priority="14" operator="equal">
      <formula>"A"</formula>
    </cfRule>
  </conditionalFormatting>
  <conditionalFormatting sqref="BX78">
    <cfRule type="cellIs" dxfId="11" priority="12" operator="equal">
      <formula>"A"</formula>
    </cfRule>
  </conditionalFormatting>
  <conditionalFormatting sqref="BX78">
    <cfRule type="cellIs" dxfId="10" priority="10" operator="equal">
      <formula>"SA"</formula>
    </cfRule>
    <cfRule type="cellIs" dxfId="9" priority="11" operator="equal">
      <formula>"A"</formula>
    </cfRule>
  </conditionalFormatting>
  <conditionalFormatting sqref="BX79:BX81">
    <cfRule type="cellIs" dxfId="8" priority="9" operator="equal">
      <formula>"A"</formula>
    </cfRule>
  </conditionalFormatting>
  <conditionalFormatting sqref="BX79:BX81">
    <cfRule type="cellIs" dxfId="7" priority="7" operator="equal">
      <formula>"SA"</formula>
    </cfRule>
    <cfRule type="cellIs" dxfId="6" priority="8" operator="equal">
      <formula>"A"</formula>
    </cfRule>
  </conditionalFormatting>
  <conditionalFormatting sqref="BB14:BJ22">
    <cfRule type="containsText" dxfId="5" priority="1" operator="containsText" text="SA">
      <formula>NOT(ISERROR(SEARCH("SA",BB14)))</formula>
    </cfRule>
    <cfRule type="containsText" dxfId="4" priority="2" operator="containsText" text="A">
      <formula>NOT(ISERROR(SEARCH("A",BB14)))</formula>
    </cfRule>
    <cfRule type="containsText" dxfId="3" priority="3" operator="containsText" text="VG">
      <formula>NOT(ISERROR(SEARCH("VG",BB14)))</formula>
    </cfRule>
    <cfRule type="containsText" dxfId="2" priority="4" operator="containsText" text="G">
      <formula>NOT(ISERROR(SEARCH("G",BB14)))</formula>
    </cfRule>
    <cfRule type="containsText" dxfId="1" priority="5" operator="containsText" text="VG">
      <formula>NOT(ISERROR(SEARCH("VG",BB14)))</formula>
    </cfRule>
    <cfRule type="containsText" dxfId="0" priority="6" operator="containsText" text="E">
      <formula>NOT(ISERROR(SEARCH("E",BB14)))</formula>
    </cfRule>
  </conditionalFormatting>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sheetPr>
    <tabColor rgb="FF0070C0"/>
  </sheetPr>
  <dimension ref="A1:GC31"/>
  <sheetViews>
    <sheetView zoomScale="73" zoomScaleNormal="73" workbookViewId="0">
      <selection activeCell="B8" sqref="B8"/>
    </sheetView>
  </sheetViews>
  <sheetFormatPr defaultRowHeight="14.5"/>
  <cols>
    <col min="1" max="1" width="23.453125" bestFit="1" customWidth="1"/>
    <col min="2" max="2" width="14.36328125" style="666" bestFit="1" customWidth="1"/>
    <col min="3" max="3" width="22.08984375" bestFit="1" customWidth="1"/>
    <col min="4" max="4" width="21.08984375" bestFit="1" customWidth="1"/>
    <col min="5" max="5" width="7.08984375" style="523" customWidth="1"/>
    <col min="6" max="6" width="18.90625" bestFit="1" customWidth="1"/>
    <col min="7" max="7" width="17" bestFit="1" customWidth="1"/>
    <col min="8" max="8" width="13.54296875" bestFit="1" customWidth="1"/>
    <col min="9" max="9" width="17.7265625" bestFit="1" customWidth="1"/>
  </cols>
  <sheetData>
    <row r="1" spans="1:185" s="682" customFormat="1" ht="35.5" customHeight="1">
      <c r="A1" s="762" t="s">
        <v>277</v>
      </c>
      <c r="B1" s="762"/>
      <c r="C1" s="762"/>
      <c r="D1" s="762"/>
      <c r="E1" s="762"/>
      <c r="F1" s="762"/>
      <c r="G1" s="762"/>
      <c r="H1" s="762"/>
      <c r="I1" s="762"/>
      <c r="J1" s="762"/>
      <c r="K1" s="762"/>
      <c r="L1" s="762"/>
      <c r="M1" s="762"/>
      <c r="N1" s="762"/>
      <c r="O1" s="762"/>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row>
    <row r="2" spans="1:185" ht="19">
      <c r="A2" s="763"/>
      <c r="B2" s="764"/>
      <c r="C2" s="764"/>
      <c r="D2" s="764"/>
      <c r="E2" s="764"/>
      <c r="F2" s="764"/>
      <c r="G2" s="764"/>
      <c r="H2" s="764"/>
      <c r="I2" s="764"/>
      <c r="J2" s="764"/>
      <c r="K2" s="764"/>
      <c r="L2" s="764"/>
      <c r="M2" s="764"/>
      <c r="N2" s="764"/>
      <c r="O2" s="764"/>
    </row>
    <row r="3" spans="1:185" ht="15.5">
      <c r="A3" s="678" t="s">
        <v>269</v>
      </c>
      <c r="B3" s="659">
        <f>'Master Calculator'!B19</f>
        <v>0</v>
      </c>
      <c r="C3" s="659"/>
      <c r="D3" s="659"/>
      <c r="E3" s="659"/>
      <c r="F3" s="651"/>
      <c r="G3" s="765" t="s">
        <v>279</v>
      </c>
      <c r="H3" s="766"/>
      <c r="I3" s="767"/>
      <c r="J3" s="655"/>
      <c r="K3" s="651"/>
      <c r="L3" s="765" t="s">
        <v>280</v>
      </c>
      <c r="M3" s="766"/>
      <c r="N3" s="766"/>
      <c r="O3" s="766"/>
    </row>
    <row r="4" spans="1:185">
      <c r="A4" s="683" t="s">
        <v>270</v>
      </c>
      <c r="B4" s="660" t="s">
        <v>289</v>
      </c>
      <c r="C4" s="660"/>
      <c r="D4" s="660"/>
      <c r="E4" s="660"/>
      <c r="F4" s="648"/>
      <c r="G4" s="653" t="s">
        <v>273</v>
      </c>
      <c r="H4" s="667">
        <f>'Master Calculator'!C62</f>
        <v>1</v>
      </c>
      <c r="I4" s="653" t="str">
        <f>'Master Calculator'!D62</f>
        <v>0 to 35 yrs</v>
      </c>
      <c r="J4" s="648"/>
      <c r="K4" s="648"/>
      <c r="L4" s="771" t="s">
        <v>271</v>
      </c>
      <c r="M4" s="772"/>
      <c r="N4" s="775">
        <f ca="1">'Master Calculator'!E22</f>
        <v>5</v>
      </c>
      <c r="O4" s="776"/>
    </row>
    <row r="5" spans="1:185">
      <c r="A5" s="678" t="s">
        <v>278</v>
      </c>
      <c r="B5" s="685" t="s">
        <v>290</v>
      </c>
      <c r="C5" s="659"/>
      <c r="D5" s="659"/>
      <c r="E5" s="659"/>
      <c r="F5" s="651"/>
      <c r="G5" s="650" t="s">
        <v>274</v>
      </c>
      <c r="H5" s="668">
        <f ca="1">'Master Calculator'!C63</f>
        <v>6</v>
      </c>
      <c r="I5" s="658" t="str">
        <f>'Master Calculator'!D63</f>
        <v>35 to 55 yrs</v>
      </c>
      <c r="J5" s="651"/>
      <c r="K5" s="651"/>
      <c r="L5" s="773" t="s">
        <v>272</v>
      </c>
      <c r="M5" s="774"/>
      <c r="N5" s="777">
        <f>'Master Calculator'!G10</f>
        <v>5</v>
      </c>
      <c r="O5" s="778"/>
    </row>
    <row r="6" spans="1:185">
      <c r="A6" s="683" t="s">
        <v>278</v>
      </c>
      <c r="B6" s="686" t="s">
        <v>291</v>
      </c>
      <c r="C6" s="661"/>
      <c r="D6" s="661"/>
      <c r="E6" s="661"/>
      <c r="F6" s="648"/>
      <c r="G6" s="653" t="s">
        <v>275</v>
      </c>
      <c r="H6" s="667">
        <f ca="1">'Master Calculator'!C64</f>
        <v>5</v>
      </c>
      <c r="I6" s="653" t="str">
        <f>'Master Calculator'!D64</f>
        <v>Birth to Death</v>
      </c>
      <c r="J6" s="648"/>
      <c r="K6" s="648"/>
      <c r="L6" s="771" t="s">
        <v>288</v>
      </c>
      <c r="M6" s="772"/>
      <c r="N6" s="775">
        <f>'Master Calculator'!G11</f>
        <v>3</v>
      </c>
      <c r="O6" s="776"/>
    </row>
    <row r="7" spans="1:185">
      <c r="A7" s="678" t="s">
        <v>281</v>
      </c>
      <c r="B7" s="662">
        <v>27958</v>
      </c>
      <c r="C7" s="662"/>
      <c r="D7" s="662"/>
      <c r="E7" s="662"/>
      <c r="F7" s="651"/>
      <c r="G7" s="650" t="s">
        <v>276</v>
      </c>
      <c r="H7" s="668">
        <f ca="1">'Master Calculator'!C65</f>
        <v>7</v>
      </c>
      <c r="I7" s="658" t="str">
        <f>'Master Calculator'!D65</f>
        <v>55 till Death</v>
      </c>
      <c r="J7" s="651"/>
      <c r="K7" s="651"/>
      <c r="L7" s="651"/>
      <c r="M7" s="651"/>
      <c r="N7" s="652"/>
      <c r="O7" s="652"/>
    </row>
    <row r="8" spans="1:185">
      <c r="A8" s="675" t="s">
        <v>111</v>
      </c>
      <c r="B8" s="681">
        <f ca="1">'Master Calculator'!N5</f>
        <v>43.243835616438353</v>
      </c>
      <c r="C8" s="648"/>
      <c r="D8" s="648"/>
      <c r="E8" s="648"/>
      <c r="F8" s="648"/>
      <c r="G8" s="669"/>
      <c r="H8" s="648"/>
      <c r="I8" s="648"/>
      <c r="J8" s="648"/>
      <c r="K8" s="648"/>
      <c r="L8" s="648"/>
      <c r="M8" s="649"/>
      <c r="N8" s="649"/>
      <c r="O8" s="649"/>
    </row>
    <row r="9" spans="1:185">
      <c r="A9" s="678"/>
      <c r="B9" s="662"/>
      <c r="C9" s="651"/>
      <c r="D9" s="651"/>
      <c r="E9" s="651"/>
      <c r="F9" s="650"/>
      <c r="G9" s="656"/>
      <c r="H9" s="650"/>
      <c r="I9" s="651"/>
      <c r="J9" s="651"/>
      <c r="K9" s="651"/>
      <c r="L9" s="651"/>
      <c r="M9" s="652"/>
      <c r="N9" s="652"/>
      <c r="O9" s="652"/>
    </row>
    <row r="10" spans="1:185">
      <c r="A10" s="675" t="s">
        <v>18</v>
      </c>
      <c r="B10" s="663">
        <f>'Master Calculator'!L17</f>
        <v>2</v>
      </c>
      <c r="C10" s="663"/>
      <c r="D10" s="663"/>
      <c r="E10" s="663"/>
      <c r="F10" s="648"/>
      <c r="G10" s="768" t="s">
        <v>282</v>
      </c>
      <c r="H10" s="769"/>
      <c r="I10" s="769"/>
      <c r="J10" s="770"/>
      <c r="K10" s="648"/>
      <c r="L10" s="648"/>
      <c r="M10" s="648"/>
      <c r="N10" s="649"/>
      <c r="O10" s="649"/>
    </row>
    <row r="11" spans="1:185">
      <c r="A11" s="678" t="s">
        <v>25</v>
      </c>
      <c r="B11" s="684">
        <f ca="1">'Master Calculator'!L18</f>
        <v>2</v>
      </c>
      <c r="C11" s="664"/>
      <c r="D11" s="664"/>
      <c r="E11" s="664"/>
      <c r="F11" s="651"/>
      <c r="G11" s="671"/>
      <c r="H11" s="672"/>
      <c r="I11" s="672" t="s">
        <v>133</v>
      </c>
      <c r="J11" s="673" t="s">
        <v>134</v>
      </c>
      <c r="K11" s="651"/>
      <c r="L11" s="651"/>
      <c r="M11" s="651"/>
      <c r="N11" s="652"/>
      <c r="O11" s="652"/>
    </row>
    <row r="12" spans="1:185">
      <c r="A12" s="675" t="s">
        <v>24</v>
      </c>
      <c r="B12" s="663">
        <f>'Master Calculator'!L19</f>
        <v>5</v>
      </c>
      <c r="C12" s="663"/>
      <c r="D12" s="663"/>
      <c r="E12" s="663"/>
      <c r="F12" s="648"/>
      <c r="G12" s="674" t="s">
        <v>266</v>
      </c>
      <c r="H12" s="675">
        <f>'Master Calculator'!H88</f>
        <v>1</v>
      </c>
      <c r="I12" s="675">
        <f>'Master Calculator'!J88</f>
        <v>0</v>
      </c>
      <c r="J12" s="675">
        <f ca="1">'Master Calculator'!K88</f>
        <v>25</v>
      </c>
      <c r="K12" s="648"/>
      <c r="L12" s="648"/>
      <c r="M12" s="648"/>
      <c r="N12" s="649"/>
      <c r="O12" s="649"/>
    </row>
    <row r="13" spans="1:185">
      <c r="A13" s="678" t="s">
        <v>31</v>
      </c>
      <c r="B13" s="664">
        <f>'Master Calculator'!L20</f>
        <v>3</v>
      </c>
      <c r="C13" s="664"/>
      <c r="D13" s="664"/>
      <c r="E13" s="664"/>
      <c r="F13" s="651"/>
      <c r="G13" s="676" t="s">
        <v>267</v>
      </c>
      <c r="H13" s="677">
        <f>'Master Calculator'!H89</f>
        <v>2</v>
      </c>
      <c r="I13" s="677">
        <f ca="1">'Master Calculator'!J89</f>
        <v>30</v>
      </c>
      <c r="J13" s="677">
        <f ca="1">'Master Calculator'!K89</f>
        <v>52</v>
      </c>
      <c r="K13" s="651"/>
      <c r="L13" s="651"/>
      <c r="M13" s="651"/>
      <c r="N13" s="652"/>
      <c r="O13" s="652"/>
    </row>
    <row r="14" spans="1:185">
      <c r="A14" s="683" t="s">
        <v>32</v>
      </c>
      <c r="B14" s="663">
        <f>'Master Calculator'!L21</f>
        <v>2</v>
      </c>
      <c r="C14" s="663"/>
      <c r="D14" s="663"/>
      <c r="E14" s="663"/>
      <c r="F14" s="648"/>
      <c r="G14" s="674" t="s">
        <v>268</v>
      </c>
      <c r="H14" s="675">
        <f ca="1">'Master Calculator'!H90</f>
        <v>8</v>
      </c>
      <c r="I14" s="675">
        <f ca="1">'Master Calculator'!J90</f>
        <v>57</v>
      </c>
      <c r="J14" s="675" t="str">
        <f>'Master Calculator'!K90</f>
        <v>till death</v>
      </c>
      <c r="K14" s="648"/>
      <c r="L14" s="648"/>
      <c r="M14" s="648"/>
      <c r="N14" s="649"/>
      <c r="O14" s="649"/>
    </row>
    <row r="15" spans="1:185">
      <c r="A15" s="678" t="s">
        <v>35</v>
      </c>
      <c r="B15" s="664">
        <f>'Master Calculator'!L22</f>
        <v>1</v>
      </c>
      <c r="C15" s="651"/>
      <c r="D15" s="651"/>
      <c r="E15" s="651"/>
      <c r="F15" s="651"/>
      <c r="G15" s="670"/>
      <c r="H15" s="651"/>
      <c r="I15" s="651"/>
      <c r="J15" s="651"/>
      <c r="K15" s="651"/>
      <c r="L15" s="651"/>
      <c r="M15" s="652"/>
      <c r="N15" s="652"/>
      <c r="O15" s="652"/>
    </row>
    <row r="16" spans="1:185" ht="18.5" customHeight="1">
      <c r="A16" s="663"/>
      <c r="B16" s="663"/>
      <c r="C16" s="663"/>
      <c r="D16" s="663"/>
      <c r="E16" s="663"/>
      <c r="F16" s="648"/>
      <c r="G16" s="663"/>
      <c r="H16" s="648"/>
      <c r="I16" s="648"/>
      <c r="J16" s="663"/>
      <c r="K16" s="648"/>
      <c r="L16" s="663"/>
      <c r="M16" s="648"/>
      <c r="N16" s="649"/>
      <c r="O16" s="649"/>
    </row>
    <row r="17" spans="1:15">
      <c r="A17" s="662"/>
      <c r="B17" s="651"/>
      <c r="C17" s="662"/>
      <c r="D17" s="664"/>
      <c r="E17" s="664"/>
      <c r="F17" s="650"/>
      <c r="G17" s="662"/>
      <c r="H17" s="650"/>
      <c r="I17" s="650"/>
      <c r="J17" s="662"/>
      <c r="K17" s="650"/>
      <c r="L17" s="662"/>
      <c r="M17" s="650"/>
      <c r="N17" s="652"/>
      <c r="O17" s="652"/>
    </row>
    <row r="18" spans="1:15">
      <c r="A18" s="663"/>
      <c r="B18" s="663"/>
      <c r="C18" s="663"/>
      <c r="D18" s="663"/>
      <c r="E18" s="663"/>
      <c r="F18" s="648"/>
      <c r="G18" s="663"/>
      <c r="H18" s="648"/>
      <c r="I18" s="648"/>
      <c r="J18" s="663"/>
      <c r="K18" s="648"/>
      <c r="L18" s="663"/>
      <c r="M18" s="648"/>
      <c r="N18" s="649"/>
      <c r="O18" s="649"/>
    </row>
    <row r="19" spans="1:15">
      <c r="A19" s="662"/>
      <c r="B19" s="651"/>
      <c r="C19" s="662"/>
      <c r="D19" s="664"/>
      <c r="E19" s="664"/>
      <c r="F19" s="650"/>
      <c r="G19" s="662"/>
      <c r="H19" s="650"/>
      <c r="I19" s="650"/>
      <c r="J19" s="662"/>
      <c r="K19" s="650"/>
      <c r="L19" s="662"/>
      <c r="M19" s="650"/>
      <c r="N19" s="652"/>
      <c r="O19" s="652"/>
    </row>
    <row r="20" spans="1:15">
      <c r="A20" s="680" t="s">
        <v>286</v>
      </c>
      <c r="B20" s="657" t="s">
        <v>284</v>
      </c>
      <c r="C20" s="679" t="s">
        <v>285</v>
      </c>
      <c r="D20" s="679" t="s">
        <v>287</v>
      </c>
      <c r="E20" s="679"/>
      <c r="F20" s="648"/>
      <c r="G20" s="768" t="s">
        <v>283</v>
      </c>
      <c r="H20" s="769"/>
      <c r="I20" s="769"/>
      <c r="J20" s="770"/>
      <c r="K20" s="648"/>
      <c r="L20" s="648"/>
      <c r="M20" s="648"/>
      <c r="N20" s="649"/>
      <c r="O20" s="649"/>
    </row>
    <row r="21" spans="1:15">
      <c r="A21" s="652">
        <f>'Master Calculator'!Q16</f>
        <v>1</v>
      </c>
      <c r="B21" s="651">
        <f ca="1">'Master Calculator'!R16</f>
        <v>0</v>
      </c>
      <c r="C21" s="664">
        <f>'Master Calculator'!S16</f>
        <v>0</v>
      </c>
      <c r="D21" s="664">
        <f>'Master Calculator'!U16</f>
        <v>6</v>
      </c>
      <c r="E21" s="664"/>
      <c r="F21" s="651"/>
      <c r="G21" s="671"/>
      <c r="H21" s="672"/>
      <c r="I21" s="672" t="s">
        <v>133</v>
      </c>
      <c r="J21" s="673" t="s">
        <v>134</v>
      </c>
      <c r="K21" s="651"/>
      <c r="L21" s="651"/>
      <c r="M21" s="651"/>
      <c r="N21" s="652"/>
      <c r="O21" s="652"/>
    </row>
    <row r="22" spans="1:15">
      <c r="A22" s="649">
        <f>A21+1</f>
        <v>2</v>
      </c>
      <c r="B22" s="663">
        <f>'Master Calculator'!R17</f>
        <v>0</v>
      </c>
      <c r="C22" s="663">
        <f>'Master Calculator'!S17</f>
        <v>0</v>
      </c>
      <c r="D22" s="663">
        <f>'Master Calculator'!U17</f>
        <v>2</v>
      </c>
      <c r="E22" s="663"/>
      <c r="F22" s="648"/>
      <c r="G22" s="675" t="str">
        <f>'Master Calculator'!A68</f>
        <v>P1</v>
      </c>
      <c r="H22" s="675">
        <f>'Master Calculator'!C68</f>
        <v>3</v>
      </c>
      <c r="I22" s="675">
        <f>'Master Calculator'!D68</f>
        <v>0</v>
      </c>
      <c r="J22" s="675">
        <f ca="1">'Master Calculator'!E68</f>
        <v>34</v>
      </c>
      <c r="K22" s="648"/>
      <c r="L22" s="648"/>
      <c r="M22" s="648"/>
      <c r="N22" s="649"/>
      <c r="O22" s="649"/>
    </row>
    <row r="23" spans="1:15">
      <c r="A23" s="652">
        <f>A21+2</f>
        <v>3</v>
      </c>
      <c r="B23" s="651">
        <f ca="1">'Master Calculator'!R18</f>
        <v>0</v>
      </c>
      <c r="C23" s="651">
        <f>'Master Calculator'!S18</f>
        <v>0</v>
      </c>
      <c r="D23" s="664">
        <f>'Master Calculator'!U18</f>
        <v>3</v>
      </c>
      <c r="E23" s="665"/>
      <c r="F23" s="654"/>
      <c r="G23" s="676" t="str">
        <f>'Master Calculator'!A69</f>
        <v>P2</v>
      </c>
      <c r="H23" s="677">
        <f ca="1">'Master Calculator'!C69</f>
        <v>1</v>
      </c>
      <c r="I23" s="677">
        <f ca="1">+'Master Calculator'!D69</f>
        <v>35</v>
      </c>
      <c r="J23" s="677">
        <f ca="1">'Master Calculator'!E69</f>
        <v>43</v>
      </c>
      <c r="K23" s="654"/>
      <c r="L23" s="654"/>
      <c r="M23" s="654"/>
      <c r="N23" s="652"/>
      <c r="O23" s="652"/>
    </row>
    <row r="24" spans="1:15">
      <c r="A24" s="649">
        <f>A23+1</f>
        <v>4</v>
      </c>
      <c r="B24" s="663">
        <f ca="1">'Master Calculator'!R19</f>
        <v>0</v>
      </c>
      <c r="C24" s="663">
        <f>'Master Calculator'!S19</f>
        <v>0</v>
      </c>
      <c r="D24" s="663">
        <f>'Master Calculator'!U19</f>
        <v>2</v>
      </c>
      <c r="E24" s="663"/>
      <c r="F24" s="648"/>
      <c r="G24" s="675" t="str">
        <f>'Master Calculator'!A70</f>
        <v>P3</v>
      </c>
      <c r="H24" s="675">
        <f ca="1">'Master Calculator'!C70</f>
        <v>4</v>
      </c>
      <c r="I24" s="675">
        <f ca="1">'Master Calculator'!D70</f>
        <v>44</v>
      </c>
      <c r="J24" s="675">
        <f ca="1">'Master Calculator'!E70</f>
        <v>52</v>
      </c>
      <c r="K24" s="648"/>
      <c r="L24" s="663"/>
      <c r="M24" s="648"/>
      <c r="N24" s="649"/>
      <c r="O24" s="649"/>
    </row>
    <row r="25" spans="1:15">
      <c r="A25" s="652">
        <f>A23+2</f>
        <v>5</v>
      </c>
      <c r="B25" s="651">
        <f ca="1">'Master Calculator'!R20</f>
        <v>0</v>
      </c>
      <c r="C25" s="651">
        <f>'Master Calculator'!S20</f>
        <v>0</v>
      </c>
      <c r="D25" s="664">
        <f>'Master Calculator'!U20</f>
        <v>6</v>
      </c>
      <c r="E25" s="664"/>
      <c r="F25" s="651"/>
      <c r="G25" s="676" t="str">
        <f>'Master Calculator'!A71</f>
        <v>P4</v>
      </c>
      <c r="H25" s="677">
        <f ca="1">'Master Calculator'!C71</f>
        <v>9</v>
      </c>
      <c r="I25" s="677">
        <f ca="1">'Master Calculator'!D71</f>
        <v>53</v>
      </c>
      <c r="J25" s="651" t="str">
        <f>'Master Calculator'!E71</f>
        <v>-</v>
      </c>
      <c r="K25" s="651"/>
      <c r="L25" s="651"/>
      <c r="M25" s="651"/>
      <c r="N25" s="652"/>
      <c r="O25" s="652"/>
    </row>
    <row r="26" spans="1:15">
      <c r="A26" s="649">
        <f t="shared" ref="A26:A28" si="0">A25+1</f>
        <v>6</v>
      </c>
      <c r="B26" s="663">
        <f ca="1">'Master Calculator'!R21</f>
        <v>6</v>
      </c>
      <c r="C26" s="663">
        <f ca="1">'Master Calculator'!S21</f>
        <v>0</v>
      </c>
      <c r="D26" s="663">
        <f>'Master Calculator'!U21</f>
        <v>0</v>
      </c>
      <c r="E26" s="663"/>
      <c r="F26" s="657"/>
      <c r="G26" s="663"/>
      <c r="H26" s="657"/>
      <c r="I26" s="657"/>
      <c r="J26" s="663"/>
      <c r="K26" s="657"/>
      <c r="L26" s="663"/>
      <c r="M26" s="657"/>
      <c r="N26" s="649"/>
      <c r="O26" s="649"/>
    </row>
    <row r="27" spans="1:15">
      <c r="A27" s="652">
        <f>A25+2</f>
        <v>7</v>
      </c>
      <c r="B27" s="651">
        <f ca="1">'Master Calculator'!R22</f>
        <v>7</v>
      </c>
      <c r="C27" s="651">
        <f ca="1">'Master Calculator'!S22</f>
        <v>0</v>
      </c>
      <c r="D27" s="664">
        <f>'Master Calculator'!U22</f>
        <v>0</v>
      </c>
      <c r="E27" s="664"/>
      <c r="F27" s="651"/>
      <c r="G27" s="664"/>
      <c r="H27" s="651"/>
      <c r="I27" s="651"/>
      <c r="J27" s="664"/>
      <c r="K27" s="651"/>
      <c r="L27" s="664"/>
      <c r="M27" s="651"/>
      <c r="N27" s="652"/>
      <c r="O27" s="652"/>
    </row>
    <row r="28" spans="1:15">
      <c r="A28" s="649">
        <f t="shared" si="0"/>
        <v>8</v>
      </c>
      <c r="B28" s="663">
        <f ca="1">'Master Calculator'!R23</f>
        <v>8</v>
      </c>
      <c r="C28" s="663">
        <f ca="1">'Master Calculator'!S23</f>
        <v>0</v>
      </c>
      <c r="D28" s="663">
        <f>'Master Calculator'!U23</f>
        <v>0</v>
      </c>
      <c r="E28" s="663"/>
      <c r="F28" s="648"/>
      <c r="G28" s="663"/>
      <c r="H28" s="648"/>
      <c r="I28" s="648"/>
      <c r="J28" s="663"/>
      <c r="K28" s="648"/>
      <c r="L28" s="663"/>
      <c r="M28" s="648"/>
      <c r="N28" s="649"/>
      <c r="O28" s="649"/>
    </row>
    <row r="29" spans="1:15">
      <c r="A29" s="652">
        <f>A27+2</f>
        <v>9</v>
      </c>
      <c r="B29" s="651">
        <f ca="1">'Master Calculator'!R24</f>
        <v>9</v>
      </c>
      <c r="C29" s="651">
        <f ca="1">'Master Calculator'!S24</f>
        <v>0</v>
      </c>
      <c r="D29" s="664">
        <f>'Master Calculator'!U24</f>
        <v>0</v>
      </c>
      <c r="E29" s="665"/>
      <c r="F29" s="654"/>
      <c r="G29" s="665"/>
      <c r="H29" s="654"/>
      <c r="I29" s="654"/>
      <c r="J29" s="665"/>
      <c r="K29" s="654"/>
      <c r="L29" s="665"/>
      <c r="M29" s="654"/>
      <c r="N29" s="652"/>
      <c r="O29" s="652"/>
    </row>
    <row r="30" spans="1:15">
      <c r="A30" s="663"/>
      <c r="B30" s="663"/>
      <c r="C30" s="663"/>
      <c r="D30" s="663"/>
      <c r="E30" s="663"/>
      <c r="F30" s="648"/>
      <c r="G30" s="663"/>
      <c r="H30" s="648"/>
      <c r="I30" s="648"/>
      <c r="J30" s="663"/>
      <c r="K30" s="648"/>
      <c r="L30" s="663"/>
      <c r="M30" s="648"/>
      <c r="N30" s="649"/>
      <c r="O30" s="649"/>
    </row>
    <row r="31" spans="1:15">
      <c r="A31" s="662"/>
      <c r="B31" s="651"/>
      <c r="C31" s="662"/>
      <c r="D31" s="664"/>
      <c r="E31" s="664"/>
      <c r="F31" s="650"/>
      <c r="G31" s="662"/>
      <c r="H31" s="650"/>
      <c r="I31" s="650"/>
      <c r="J31" s="662"/>
      <c r="K31" s="650"/>
      <c r="L31" s="662"/>
      <c r="M31" s="650"/>
      <c r="N31" s="652"/>
      <c r="O31" s="652"/>
    </row>
  </sheetData>
  <mergeCells count="12">
    <mergeCell ref="A1:O1"/>
    <mergeCell ref="A2:O2"/>
    <mergeCell ref="G3:I3"/>
    <mergeCell ref="G10:J10"/>
    <mergeCell ref="G20:J20"/>
    <mergeCell ref="L3:O3"/>
    <mergeCell ref="L4:M4"/>
    <mergeCell ref="L6:M6"/>
    <mergeCell ref="L5:M5"/>
    <mergeCell ref="N4:O4"/>
    <mergeCell ref="N5:O5"/>
    <mergeCell ref="N6:O6"/>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 &amp; Glossary</vt:lpstr>
      <vt:lpstr>Master Calculator</vt:lpstr>
      <vt:lpstr>Lo-Shu</vt:lpstr>
      <vt:lpstr>Personal Year-Month-Day</vt:lpstr>
      <vt:lpstr>Mobile-Vehicle-House-Bank-CoNam</vt:lpstr>
      <vt:lpstr>Past - Future PY-PM-PD</vt:lpstr>
      <vt:lpstr>MasterTables</vt:lpstr>
      <vt:lpstr>Output</vt:lpstr>
    </vt:vector>
  </TitlesOfParts>
  <Company>Workline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Manoaj Kasturia</dc:creator>
  <cp:lastModifiedBy>Kamlesh Meena</cp:lastModifiedBy>
  <cp:lastPrinted>2020-06-23T14:08:57Z</cp:lastPrinted>
  <dcterms:created xsi:type="dcterms:W3CDTF">2020-02-08T12:44:24Z</dcterms:created>
  <dcterms:modified xsi:type="dcterms:W3CDTF">2022-04-17T12:49:06Z</dcterms:modified>
</cp:coreProperties>
</file>